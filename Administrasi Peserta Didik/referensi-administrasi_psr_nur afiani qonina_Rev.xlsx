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mc:AlternateContent xmlns:mc="http://schemas.openxmlformats.org/markup-compatibility/2006">
    <mc:Choice Requires="x15">
      <x15ac:absPath xmlns:x15ac="http://schemas.microsoft.com/office/spreadsheetml/2010/11/ac" url="D:\KULIAH\SEMESTER 8\BISMILLAH PK\ADMNISTRASI PENDIDIK\"/>
    </mc:Choice>
  </mc:AlternateContent>
  <xr:revisionPtr revIDLastSave="0" documentId="13_ncr:1_{AFBF7147-4178-4BCC-B8F2-44CFFF37F99E}" xr6:coauthVersionLast="47" xr6:coauthVersionMax="47" xr10:uidLastSave="{00000000-0000-0000-0000-000000000000}"/>
  <bookViews>
    <workbookView xWindow="-120" yWindow="-120" windowWidth="29040" windowHeight="16440" tabRatio="892" firstSheet="18" activeTab="23" xr2:uid="{00000000-000D-0000-FFFF-FFFF00000000}"/>
  </bookViews>
  <sheets>
    <sheet name="COVER " sheetId="127" r:id="rId1"/>
    <sheet name="Visi,Misi,Tuj&amp;KebjkMutu" sheetId="124" r:id="rId2"/>
    <sheet name="Daftar Isi " sheetId="181" r:id="rId3"/>
    <sheet name="Kalender Akademik (1)" sheetId="131" r:id="rId4"/>
    <sheet name="Jadwal (2)" sheetId="105" r:id="rId5"/>
    <sheet name="Prhtngn Mingg Ef(3)" sheetId="177" r:id="rId6"/>
    <sheet name="effektif genap" sheetId="214" r:id="rId7"/>
    <sheet name="effektif gasal" sheetId="215" r:id="rId8"/>
    <sheet name="PROTA (4)" sheetId="179" r:id="rId9"/>
    <sheet name="print prota" sheetId="216" r:id="rId10"/>
    <sheet name="TP(9)" sheetId="203" r:id="rId11"/>
    <sheet name="PROSEM(5)  " sheetId="178" r:id="rId12"/>
    <sheet name="prosem gasal" sheetId="213" r:id="rId13"/>
    <sheet name="prosem genap" sheetId="217" r:id="rId14"/>
    <sheet name="Analisis Materi (7)" sheetId="169" r:id="rId15"/>
    <sheet name="CP(6)" sheetId="201" r:id="rId16"/>
    <sheet name="ATP (8)" sheetId="196" r:id="rId17"/>
    <sheet name="Sheet7" sheetId="218" r:id="rId18"/>
    <sheet name="KKTP (10)" sheetId="198" r:id="rId19"/>
    <sheet name="kktp 2" sheetId="204" r:id="rId20"/>
    <sheet name="kktp 1" sheetId="205" r:id="rId21"/>
    <sheet name="Daft Hdr (12)" sheetId="125" r:id="rId22"/>
    <sheet name="KKM (8) batal" sheetId="183" state="hidden" r:id="rId23"/>
    <sheet name="Agenda  (22)" sheetId="140" r:id="rId24"/>
    <sheet name="MA- LKPD (11)" sheetId="184" r:id="rId25"/>
    <sheet name="rpp 1" sheetId="206" r:id="rId26"/>
    <sheet name="rpp 2" sheetId="207" r:id="rId27"/>
    <sheet name="rpp 3" sheetId="208" r:id="rId28"/>
    <sheet name="rpp 4" sheetId="209" r:id="rId29"/>
    <sheet name="rpp 5" sheetId="210" r:id="rId30"/>
    <sheet name="Analisis Kebutuhan Alat(15)" sheetId="185" r:id="rId31"/>
    <sheet name="Buku Pegangan (16)" sheetId="8" r:id="rId32"/>
    <sheet name="Kisi-Kisi (17)" sheetId="145" r:id="rId33"/>
    <sheet name="Penanganan Pesdik Brmslh (13)" sheetId="164" r:id="rId34"/>
    <sheet name="FORMATIF (14)" sheetId="160" r:id="rId35"/>
    <sheet name="NILAI KETRAMPILAN (12.b)" sheetId="161" state="hidden" r:id="rId36"/>
    <sheet name="Sheet1" sheetId="199" state="hidden" r:id="rId37"/>
    <sheet name="Anailis Hasil Ulangan (18)" sheetId="186" r:id="rId38"/>
    <sheet name="Anl daya serap Hal Ev(19)" sheetId="200" r:id="rId39"/>
    <sheet name="Prg. Perb.&amp;pengyn(20)" sheetId="141" r:id="rId40"/>
    <sheet name="Prog. Pengayaan(21)" sheetId="187" r:id="rId41"/>
    <sheet name="Target&amp;Capaian Kur ( (23)" sheetId="188" r:id="rId42"/>
    <sheet name="AJP (22)" sheetId="171" state="hidden" r:id="rId43"/>
    <sheet name="Analisis SKM (8)" sheetId="189" state="hidden" r:id="rId44"/>
    <sheet name="Rencana Penilaian (24)" sheetId="190" r:id="rId45"/>
    <sheet name="Rekap Nil.Peng.(24)" sheetId="191" state="hidden" r:id="rId46"/>
    <sheet name="Rekap Nil. Ket (25)" sheetId="192" state="hidden" r:id="rId47"/>
    <sheet name="Telaah Soal PG (25)" sheetId="193" r:id="rId48"/>
    <sheet name="Sheet2" sheetId="211" r:id="rId49"/>
    <sheet name="Telaah Soal Essay (26)" sheetId="194" r:id="rId50"/>
    <sheet name="Alokasi Waktu (28)" sheetId="195" state="hidden" r:id="rId51"/>
  </sheets>
  <definedNames>
    <definedName name="_xlnm.Print_Area" localSheetId="14">'Analisis Materi (7)'!$A$1:$G$48</definedName>
    <definedName name="_xlnm.Print_Area" localSheetId="16">'ATP (8)'!$A$1:$F$22</definedName>
    <definedName name="_xlnm.Print_Area" localSheetId="4">'Jadwal (2)'!$A$1:$S$35</definedName>
    <definedName name="_xlnm.Print_Area" localSheetId="8">'PROTA (4)'!$B$1:$F$37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6" i="217" l="1"/>
  <c r="E21" i="216"/>
  <c r="D21" i="216"/>
  <c r="F19" i="216"/>
  <c r="F17" i="216"/>
  <c r="F15" i="216"/>
  <c r="F21" i="216" s="1"/>
  <c r="E23" i="214"/>
  <c r="F18" i="214"/>
  <c r="D18" i="214"/>
  <c r="C18" i="214"/>
  <c r="H17" i="214"/>
  <c r="H16" i="214"/>
  <c r="H15" i="214"/>
  <c r="H14" i="214"/>
  <c r="H13" i="214"/>
  <c r="H12" i="214"/>
  <c r="H18" i="214" s="1"/>
  <c r="E21" i="214" s="1"/>
  <c r="E23" i="215"/>
  <c r="G18" i="215"/>
  <c r="F18" i="215"/>
  <c r="D18" i="215"/>
  <c r="C18" i="215"/>
  <c r="H17" i="215"/>
  <c r="H16" i="215"/>
  <c r="H15" i="215"/>
  <c r="H14" i="215"/>
  <c r="H13" i="215"/>
  <c r="H12" i="215"/>
  <c r="H18" i="215" s="1"/>
  <c r="E21" i="215" s="1"/>
  <c r="AJ47" i="125" l="1"/>
  <c r="AH47" i="125"/>
  <c r="AI47" i="125" s="1"/>
  <c r="AK47" i="125" s="1"/>
  <c r="AJ46" i="125"/>
  <c r="AH46" i="125"/>
  <c r="AI46" i="125" s="1"/>
  <c r="AK46" i="125" s="1"/>
  <c r="AK45" i="125"/>
  <c r="AJ45" i="125"/>
  <c r="AI45" i="125"/>
  <c r="AH45" i="125"/>
  <c r="AK44" i="125"/>
  <c r="AJ44" i="125"/>
  <c r="AI44" i="125"/>
  <c r="AH44" i="125"/>
  <c r="AK43" i="125"/>
  <c r="AJ43" i="125"/>
  <c r="AI43" i="125"/>
  <c r="AH43" i="125"/>
  <c r="AK42" i="125"/>
  <c r="AJ42" i="125"/>
  <c r="AI42" i="125"/>
  <c r="AH42" i="125"/>
  <c r="AK41" i="125"/>
  <c r="AJ41" i="125"/>
  <c r="AI41" i="125"/>
  <c r="AH41" i="125"/>
  <c r="AK40" i="125"/>
  <c r="AJ40" i="125"/>
  <c r="AI40" i="125"/>
  <c r="AH40" i="125"/>
  <c r="AK39" i="125"/>
  <c r="AJ39" i="125"/>
  <c r="AI39" i="125"/>
  <c r="AH39" i="125"/>
  <c r="AK38" i="125"/>
  <c r="AJ38" i="125"/>
  <c r="AI38" i="125"/>
  <c r="AH38" i="125"/>
  <c r="AK37" i="125"/>
  <c r="AJ37" i="125"/>
  <c r="AI37" i="125"/>
  <c r="AH37" i="125"/>
  <c r="AK36" i="125"/>
  <c r="AJ36" i="125"/>
  <c r="AI36" i="125"/>
  <c r="AH36" i="125"/>
  <c r="AK35" i="125"/>
  <c r="AJ35" i="125"/>
  <c r="AI35" i="125"/>
  <c r="AH35" i="125"/>
  <c r="AK34" i="125"/>
  <c r="AJ34" i="125"/>
  <c r="AI34" i="125"/>
  <c r="AH34" i="125"/>
  <c r="AK33" i="125"/>
  <c r="AJ33" i="125"/>
  <c r="AI33" i="125"/>
  <c r="AH33" i="125"/>
  <c r="AK32" i="125"/>
  <c r="AJ32" i="125"/>
  <c r="AI32" i="125"/>
  <c r="AH32" i="125"/>
  <c r="AK31" i="125"/>
  <c r="AJ31" i="125"/>
  <c r="AI31" i="125"/>
  <c r="AH31" i="125"/>
  <c r="AK30" i="125"/>
  <c r="AJ30" i="125"/>
  <c r="AI30" i="125"/>
  <c r="AH30" i="125"/>
  <c r="AK29" i="125"/>
  <c r="AJ29" i="125"/>
  <c r="AI29" i="125"/>
  <c r="AH29" i="125"/>
  <c r="AK28" i="125"/>
  <c r="AJ28" i="125"/>
  <c r="AI28" i="125"/>
  <c r="AH28" i="125"/>
  <c r="AK27" i="125"/>
  <c r="AJ27" i="125"/>
  <c r="AI27" i="125"/>
  <c r="AH27" i="125"/>
  <c r="AH26" i="125"/>
  <c r="AI26" i="125" s="1"/>
  <c r="AK26" i="125" s="1"/>
  <c r="AJ25" i="125"/>
  <c r="AH25" i="125"/>
  <c r="AI25" i="125" s="1"/>
  <c r="AK25" i="125" s="1"/>
  <c r="AI24" i="125"/>
  <c r="AK24" i="125" s="1"/>
  <c r="AH24" i="125"/>
  <c r="AJ23" i="125"/>
  <c r="AI23" i="125"/>
  <c r="AK23" i="125" s="1"/>
  <c r="AH23" i="125"/>
  <c r="AJ22" i="125"/>
  <c r="AI22" i="125"/>
  <c r="AK22" i="125" s="1"/>
  <c r="AH22" i="125"/>
  <c r="AJ21" i="125"/>
  <c r="AI21" i="125"/>
  <c r="AK21" i="125" s="1"/>
  <c r="AH21" i="125"/>
  <c r="AJ20" i="125"/>
  <c r="AI20" i="125"/>
  <c r="AK20" i="125" s="1"/>
  <c r="AH20" i="125"/>
  <c r="AH19" i="125"/>
  <c r="AI19" i="125" s="1"/>
  <c r="AK19" i="125" s="1"/>
  <c r="AH18" i="125"/>
  <c r="AI18" i="125" s="1"/>
  <c r="AK18" i="125" s="1"/>
  <c r="AJ17" i="125"/>
  <c r="AH17" i="125"/>
  <c r="AI17" i="125" s="1"/>
  <c r="AK17" i="125" s="1"/>
  <c r="AJ16" i="125"/>
  <c r="AH16" i="125"/>
  <c r="AI16" i="125" s="1"/>
  <c r="AK16" i="125" s="1"/>
  <c r="AJ15" i="125"/>
  <c r="AH15" i="125"/>
  <c r="AI15" i="125" s="1"/>
  <c r="AK15" i="125" s="1"/>
  <c r="AJ14" i="125"/>
  <c r="AH14" i="125"/>
  <c r="AI14" i="125" s="1"/>
  <c r="AK14" i="125" s="1"/>
  <c r="AJ13" i="125"/>
  <c r="AH13" i="125"/>
  <c r="AI13" i="125" s="1"/>
  <c r="AK13" i="125" s="1"/>
  <c r="AJ12" i="125"/>
  <c r="AH12" i="125"/>
  <c r="AI12" i="125" s="1"/>
  <c r="AK12" i="125" s="1"/>
  <c r="D28" i="169" l="1"/>
  <c r="E28" i="169"/>
  <c r="C48" i="178" l="1"/>
  <c r="D21" i="179" l="1"/>
  <c r="E21" i="179"/>
  <c r="F15" i="179"/>
  <c r="F21" i="179" s="1"/>
  <c r="F19" i="179"/>
  <c r="F17" i="179"/>
  <c r="G18" i="177"/>
  <c r="F18" i="177"/>
  <c r="D18" i="177"/>
  <c r="C18" i="177"/>
  <c r="E23" i="177" l="1"/>
  <c r="H17" i="177"/>
  <c r="H16" i="177"/>
  <c r="H15" i="177"/>
  <c r="H14" i="177"/>
  <c r="H13" i="177"/>
  <c r="H12" i="177"/>
  <c r="H18" i="177" l="1"/>
  <c r="E21" i="177" s="1"/>
  <c r="F66" i="177" l="1"/>
  <c r="E71" i="177" l="1"/>
  <c r="H64" i="177" l="1"/>
  <c r="H65" i="177" l="1"/>
  <c r="H63" i="177"/>
  <c r="H62" i="177"/>
  <c r="H61" i="177"/>
  <c r="H60" i="177"/>
  <c r="T54" i="186" l="1"/>
  <c r="D66" i="177" l="1"/>
  <c r="C66" i="177"/>
  <c r="E21" i="171" l="1"/>
  <c r="F19" i="183" l="1"/>
  <c r="F16" i="183"/>
  <c r="G16" i="183" l="1"/>
  <c r="H66" i="177" l="1"/>
  <c r="E69" i="177" s="1"/>
  <c r="D21" i="171"/>
</calcChain>
</file>

<file path=xl/sharedStrings.xml><?xml version="1.0" encoding="utf-8"?>
<sst xmlns="http://schemas.openxmlformats.org/spreadsheetml/2006/main" count="5936" uniqueCount="1695">
  <si>
    <t>NO</t>
  </si>
  <si>
    <t>A</t>
  </si>
  <si>
    <t>B</t>
  </si>
  <si>
    <t>C</t>
  </si>
  <si>
    <t>No</t>
  </si>
  <si>
    <t>Standar Kompetensi/Kompetensi Dasar</t>
  </si>
  <si>
    <t>Jumlah Jam</t>
  </si>
  <si>
    <t>Sept</t>
  </si>
  <si>
    <t>Okt</t>
  </si>
  <si>
    <t>Nov</t>
  </si>
  <si>
    <t>Des</t>
  </si>
  <si>
    <t>Jan</t>
  </si>
  <si>
    <t>Feb</t>
  </si>
  <si>
    <t>Mei</t>
  </si>
  <si>
    <t>x</t>
  </si>
  <si>
    <t>Mar</t>
  </si>
  <si>
    <t>Keterangan :</t>
  </si>
  <si>
    <t>DAFTAR BUKU PEGANGAN</t>
  </si>
  <si>
    <t>HARI</t>
  </si>
  <si>
    <t>JAM KE</t>
  </si>
  <si>
    <t>SENIN</t>
  </si>
  <si>
    <t>SELASA</t>
  </si>
  <si>
    <t>RABU</t>
  </si>
  <si>
    <t>KAMIS</t>
  </si>
  <si>
    <t>JUM'AT</t>
  </si>
  <si>
    <t>WAKTU PELAJARAN</t>
  </si>
  <si>
    <t>DAFTAR HADIR</t>
  </si>
  <si>
    <t>NAMA</t>
  </si>
  <si>
    <t>Jumlah</t>
  </si>
  <si>
    <t>I</t>
  </si>
  <si>
    <t>N</t>
  </si>
  <si>
    <t>NILAI</t>
  </si>
  <si>
    <t>Kepala SMK Negeri 3 Yogyakarta,</t>
  </si>
  <si>
    <t>Mengetahui :</t>
  </si>
  <si>
    <t xml:space="preserve">: </t>
  </si>
  <si>
    <t>SMK NEGERI 3 YOGYAKARTA</t>
  </si>
  <si>
    <t xml:space="preserve"> </t>
  </si>
  <si>
    <t>ADMINISTRASI PENDIDIK</t>
  </si>
  <si>
    <t>Mata Pelajaran</t>
  </si>
  <si>
    <t>Kelas</t>
  </si>
  <si>
    <t>Tahun Pelajaran</t>
  </si>
  <si>
    <t>Pendidik,</t>
  </si>
  <si>
    <t>Kesimpulan :</t>
  </si>
  <si>
    <t>Kelas/Semester</t>
  </si>
  <si>
    <t>Catatan :</t>
  </si>
  <si>
    <t>1. Jangan mengubah jadwal tanpa sepengetahuan Kepala Sekolah</t>
  </si>
  <si>
    <t>DU/DI (Jam.pel)</t>
  </si>
  <si>
    <t>Kegiatan Tatap Muka</t>
  </si>
  <si>
    <t>Evaluasi Tiap Kompetensi</t>
  </si>
  <si>
    <t>TUNTAS</t>
  </si>
  <si>
    <t xml:space="preserve"> (ketercapaian belajarnya) ≥ KKM</t>
  </si>
  <si>
    <t>b. Jumlah Tuntas</t>
  </si>
  <si>
    <t xml:space="preserve">Perlu perbaikan secara klasikal untuk soal </t>
  </si>
  <si>
    <t xml:space="preserve">Perlu program perbaikan secara individual </t>
  </si>
  <si>
    <t>JML SKOR</t>
  </si>
  <si>
    <t xml:space="preserve">Mata Pelajaran           </t>
  </si>
  <si>
    <t xml:space="preserve">Bentuk Soal                </t>
  </si>
  <si>
    <t xml:space="preserve">Jumlah Soal               </t>
  </si>
  <si>
    <t xml:space="preserve">Peserta didik disebut TUNTAS belajar jika telah menguasai bahan </t>
  </si>
  <si>
    <t>d. Ketuntasan Klasikal</t>
  </si>
  <si>
    <t>e. Secara Klasikal</t>
  </si>
  <si>
    <t xml:space="preserve">Tanggal Evaluasi           </t>
  </si>
  <si>
    <t>JP</t>
  </si>
  <si>
    <t xml:space="preserve">Jml Peserta Didik  </t>
  </si>
  <si>
    <t xml:space="preserve">Kelas/Semester  </t>
  </si>
  <si>
    <t>:</t>
  </si>
  <si>
    <t>H</t>
  </si>
  <si>
    <t>D</t>
  </si>
  <si>
    <t>L</t>
  </si>
  <si>
    <t>umanis</t>
  </si>
  <si>
    <t>gamis</t>
  </si>
  <si>
    <t>ormatif</t>
  </si>
  <si>
    <t>daptif</t>
  </si>
  <si>
    <t>oyal</t>
  </si>
  <si>
    <t>struktif</t>
  </si>
  <si>
    <t>S</t>
  </si>
  <si>
    <t>T</t>
  </si>
  <si>
    <t>E</t>
  </si>
  <si>
    <t>KON</t>
  </si>
  <si>
    <t>nteraktif</t>
  </si>
  <si>
    <t>olutif</t>
  </si>
  <si>
    <t>aktis</t>
  </si>
  <si>
    <t>fektif-Efisien</t>
  </si>
  <si>
    <t>yaman</t>
  </si>
  <si>
    <t xml:space="preserve">VISI, MISI, TUJUAN DAN KEBIJAKAN MUTU </t>
  </si>
  <si>
    <t>VISI :</t>
  </si>
  <si>
    <t>MISI :</t>
  </si>
  <si>
    <t>TUJUAN :</t>
  </si>
  <si>
    <t>KEBIJAKAN MUTU :</t>
  </si>
  <si>
    <t>Tidak Upacara</t>
  </si>
  <si>
    <t xml:space="preserve">  1.  07.00 - 07.45</t>
  </si>
  <si>
    <t xml:space="preserve">  2.  07.45 - 08.30</t>
  </si>
  <si>
    <t xml:space="preserve">  3.  08.30 - 09.15</t>
  </si>
  <si>
    <t xml:space="preserve">  4.  09.15 - 10.00</t>
  </si>
  <si>
    <t xml:space="preserve">    ISTIRAHAT ( 15' )</t>
  </si>
  <si>
    <t xml:space="preserve">  5.  10.15 - 11.00</t>
  </si>
  <si>
    <t xml:space="preserve">  6.  11.00 - 11.45</t>
  </si>
  <si>
    <t xml:space="preserve">    ISTIRAHAT ( 30' )</t>
  </si>
  <si>
    <t xml:space="preserve">  7.  12.15 - 13.00</t>
  </si>
  <si>
    <t xml:space="preserve">  8.  13.00 - 13.45</t>
  </si>
  <si>
    <t xml:space="preserve">  9.  13.45 - 14.30</t>
  </si>
  <si>
    <t>10.  14.30 - 15.15</t>
  </si>
  <si>
    <t xml:space="preserve">Kelas       </t>
  </si>
  <si>
    <t>istematis</t>
  </si>
  <si>
    <t>Semester</t>
  </si>
  <si>
    <t>No.</t>
  </si>
  <si>
    <t>Bulan</t>
  </si>
  <si>
    <t>Rincian :</t>
  </si>
  <si>
    <t>PROGRAM TAHUNAN</t>
  </si>
  <si>
    <t>Kode Profil</t>
  </si>
  <si>
    <t>Tempat  Pembelajaran</t>
  </si>
  <si>
    <t>Sekolah (Jam.pel)</t>
  </si>
  <si>
    <t>ANALISIS MATERI PEMBELAJARAN</t>
  </si>
  <si>
    <t>PROGRAM SEMESTER</t>
  </si>
  <si>
    <t>Jml Jam</t>
  </si>
  <si>
    <t>Apr</t>
  </si>
  <si>
    <t>Jun</t>
  </si>
  <si>
    <t>Jul</t>
  </si>
  <si>
    <t>PEGANGAN PENDIDIK</t>
  </si>
  <si>
    <t>PEGANGAN PESERTA DIDIK</t>
  </si>
  <si>
    <t>Judul Buku</t>
  </si>
  <si>
    <t>Pengarang</t>
  </si>
  <si>
    <t>Penerbit</t>
  </si>
  <si>
    <t>Tahun</t>
  </si>
  <si>
    <t>Keterangan</t>
  </si>
  <si>
    <t>Hari/Tgl</t>
  </si>
  <si>
    <t>Nama</t>
  </si>
  <si>
    <t>Wali Kelas</t>
  </si>
  <si>
    <t xml:space="preserve">Jumlah Jam Pelajaran per Minggu      </t>
  </si>
  <si>
    <t xml:space="preserve">Jumlah Jam Pelajaran Efektif                  </t>
  </si>
  <si>
    <t xml:space="preserve">Jumlah           </t>
  </si>
  <si>
    <t>Bidang Studi Keahlian</t>
  </si>
  <si>
    <t>JL. R. W. MONGINSIDI NO. 2 YOGYAKARTA 55233</t>
  </si>
  <si>
    <t>Telp./Fax : (0274) 513503, e-mail : humas@smkn3jogja.sch.id</t>
  </si>
  <si>
    <t>Program Studi Keahlian</t>
  </si>
  <si>
    <t>inamis</t>
  </si>
  <si>
    <t>PENYUSUNAN PROGRAM</t>
  </si>
  <si>
    <t>Kepala Sekolah</t>
  </si>
  <si>
    <t xml:space="preserve">a. Tatap Muka                             </t>
  </si>
  <si>
    <t>JANUARI</t>
  </si>
  <si>
    <t>FEBRUARI</t>
  </si>
  <si>
    <t>MARET</t>
  </si>
  <si>
    <t>APRIL</t>
  </si>
  <si>
    <t>MEI</t>
  </si>
  <si>
    <t>JUNI</t>
  </si>
  <si>
    <t>Jml Minggu dalam Semester</t>
  </si>
  <si>
    <t>Jml Minggu Tidak Efektif</t>
  </si>
  <si>
    <t>Jml Minggu Efektif</t>
  </si>
  <si>
    <t>Jml Hari Efektif</t>
  </si>
  <si>
    <t>Jml Jam Efektif</t>
  </si>
  <si>
    <t>Kelas / Semester</t>
  </si>
  <si>
    <t>INDIKATOR</t>
  </si>
  <si>
    <t>NIP. ………………………</t>
  </si>
  <si>
    <t>AGENDA HARIAN</t>
  </si>
  <si>
    <t>Jam</t>
  </si>
  <si>
    <t xml:space="preserve">NIP. </t>
  </si>
  <si>
    <t>Tahapan :</t>
  </si>
  <si>
    <t>1. Analisis Ketuntasan Belajar</t>
  </si>
  <si>
    <t>2. Melakukan Pembinaan/Pengarahan sesuai dengan jenis kesukaran</t>
  </si>
  <si>
    <t>3. Pemberian Tugas / Materi Perbaikan / Pengayaan</t>
  </si>
  <si>
    <t>4. Pemberian Nilai Perbaikan / Pengayaan</t>
  </si>
  <si>
    <t>1. Perhitungan Ketuntasan Belajar</t>
  </si>
  <si>
    <t>NILAI (INTERVAL)</t>
  </si>
  <si>
    <t>JUMLAH SISWA</t>
  </si>
  <si>
    <t>KETERANGAN</t>
  </si>
  <si>
    <t>N &gt; 75</t>
  </si>
  <si>
    <t>2. Sebelum mendapat tugas, peserta didik mendapat arahan/bimbingan berupa jenis kesukaran</t>
  </si>
  <si>
    <t>KESUKARAN</t>
  </si>
  <si>
    <t>3. Setelah mendapat bimbingan siswa mendapat tugas</t>
  </si>
  <si>
    <t>4. Data peserta didik yang mendapat nilai Perbaikan / Pengayaan</t>
  </si>
  <si>
    <t>Sebelum Perbaikan</t>
  </si>
  <si>
    <t>Setelah Perbaikam</t>
  </si>
  <si>
    <t>Mengetahui</t>
  </si>
  <si>
    <t>Kepala sekolah</t>
  </si>
  <si>
    <t>Pendidik</t>
  </si>
  <si>
    <t>KISI-KISI PENYUSUNAN SOAL EVALUASI</t>
  </si>
  <si>
    <t>JUMLAH SOAL</t>
  </si>
  <si>
    <t>URAIAN MATERI</t>
  </si>
  <si>
    <t>NO SOAL</t>
  </si>
  <si>
    <t>KUNCI JAWABAN</t>
  </si>
  <si>
    <t>Semester : …………</t>
  </si>
  <si>
    <t>Tahun Pelajaran : …………… / ……………</t>
  </si>
  <si>
    <t xml:space="preserve">Yogyakarta,  ……………….  </t>
  </si>
  <si>
    <t>Tgl/bln</t>
  </si>
  <si>
    <t>R/P</t>
  </si>
  <si>
    <t>NA</t>
  </si>
  <si>
    <t xml:space="preserve">          Total skor</t>
  </si>
  <si>
    <t xml:space="preserve">         Jml Peserta Didik </t>
  </si>
  <si>
    <t>a. Jumlah Peserta Didik</t>
  </si>
  <si>
    <t>c. Jumlah tidak tuntas</t>
  </si>
  <si>
    <t>Perlu program pengayaan untuk</t>
  </si>
  <si>
    <t>Klasifikasi</t>
  </si>
  <si>
    <t>TARGET DAN PENCAPAIAN TARGET KURIKULUM</t>
  </si>
  <si>
    <t>Ags</t>
  </si>
  <si>
    <t xml:space="preserve"> Target Kurikulum =</t>
  </si>
  <si>
    <t xml:space="preserve">Jumlah jam pelajaran yang harus diselesaikan </t>
  </si>
  <si>
    <t>(tampilan berupa histogram)</t>
  </si>
  <si>
    <t>Jumlah jam pelajaran yang harus diselesaikan dalam satu tahun</t>
  </si>
  <si>
    <t>Pencapaian Target Kurikulum :</t>
  </si>
  <si>
    <t xml:space="preserve">Jumlah jam pelajaran yang sudah diselesaikan </t>
  </si>
  <si>
    <t>(tampilan berupa diagram garis)</t>
  </si>
  <si>
    <t xml:space="preserve">Mata Pelajaran : </t>
  </si>
  <si>
    <t xml:space="preserve">Kelas : </t>
  </si>
  <si>
    <t>Ket :</t>
  </si>
  <si>
    <t>C+</t>
  </si>
  <si>
    <t>B+</t>
  </si>
  <si>
    <t>C-</t>
  </si>
  <si>
    <t>D+</t>
  </si>
  <si>
    <t>B-</t>
  </si>
  <si>
    <t>PREDIKAT</t>
  </si>
  <si>
    <t>KD KE-</t>
  </si>
  <si>
    <t>RERATA</t>
  </si>
  <si>
    <t>NH</t>
  </si>
  <si>
    <t xml:space="preserve">A  </t>
  </si>
  <si>
    <t>( 96 s/d 100 )</t>
  </si>
  <si>
    <t>( 70 s/d 74 )</t>
  </si>
  <si>
    <t>NILAI RERATA</t>
  </si>
  <si>
    <t>Nilai Harian</t>
  </si>
  <si>
    <t xml:space="preserve">A-   </t>
  </si>
  <si>
    <t>( 91 s/d 95 )</t>
  </si>
  <si>
    <t>( 65 s/d 69 )</t>
  </si>
  <si>
    <t>LPK.P =  _____________  X 4</t>
  </si>
  <si>
    <t>Remidi/Pengayaan</t>
  </si>
  <si>
    <t>( 86 s/d 90 )</t>
  </si>
  <si>
    <t>( 60 s/d 64 )</t>
  </si>
  <si>
    <t>Penilaian dalam bentuk Angka Puluhan</t>
  </si>
  <si>
    <t>( 81 s/d 85 )</t>
  </si>
  <si>
    <t>( 55 s/d 59 )</t>
  </si>
  <si>
    <t>( 75 s/d 80 )</t>
  </si>
  <si>
    <t xml:space="preserve"> ( Kurang dari 54 )</t>
  </si>
  <si>
    <t>LEMBAR PENILAIAN KETRAMPILAN (K-4)</t>
  </si>
  <si>
    <t>4.1</t>
  </si>
  <si>
    <t>4.2</t>
  </si>
  <si>
    <t>4.3</t>
  </si>
  <si>
    <t>4.4</t>
  </si>
  <si>
    <t>4.5</t>
  </si>
  <si>
    <t>4.6</t>
  </si>
  <si>
    <t>4.7</t>
  </si>
  <si>
    <t>4.8</t>
  </si>
  <si>
    <t>4.9</t>
  </si>
  <si>
    <t>4.10</t>
  </si>
  <si>
    <t>4.11</t>
  </si>
  <si>
    <t>4.12</t>
  </si>
  <si>
    <t>Nilai Lap Pencap Komp. Ketrampiln (LPK.K)</t>
  </si>
  <si>
    <t>NPr</t>
  </si>
  <si>
    <t>NPj</t>
  </si>
  <si>
    <t>Npo</t>
  </si>
  <si>
    <t>Npr</t>
  </si>
  <si>
    <t>Nilai Praktek</t>
  </si>
  <si>
    <t>LPK.K =  _____________  X 4</t>
  </si>
  <si>
    <t>Npj</t>
  </si>
  <si>
    <t>Nilai Projek</t>
  </si>
  <si>
    <t>Nilai Portopolio</t>
  </si>
  <si>
    <t>Penilaian dalam  Angka Puluhan</t>
  </si>
  <si>
    <t xml:space="preserve">Tidak Terampil </t>
  </si>
  <si>
    <t>Terampil Praktek Dengan Banyak bantuan Pembimbing</t>
  </si>
  <si>
    <t>Trampil Praktek Dengan Sedikit Bantuan pembimbing</t>
  </si>
  <si>
    <t>Trampil Praktek TaNKa Bantuan pembimbing</t>
  </si>
  <si>
    <t>……………………………..</t>
  </si>
  <si>
    <t>Nama Siswa</t>
  </si>
  <si>
    <t>K3/Koord Mapel</t>
  </si>
  <si>
    <t xml:space="preserve">    Mata Pelajaran</t>
  </si>
  <si>
    <t xml:space="preserve">    Kelas/Program</t>
  </si>
  <si>
    <t xml:space="preserve">    Kompetensi Dasar</t>
  </si>
  <si>
    <t xml:space="preserve">   Tanggal Tes</t>
  </si>
  <si>
    <t xml:space="preserve">    d. …………………………….</t>
  </si>
  <si>
    <t xml:space="preserve">   *) Sebut jenis dan bukti fisiknya dilampirkan</t>
  </si>
  <si>
    <t>N &lt; 75</t>
  </si>
  <si>
    <t>PROGRAM PENGAYAAN</t>
  </si>
  <si>
    <t>2. Sebelum mendapat tugas pengayaan, peserta didik mendapat arahan/bimbingan.</t>
  </si>
  <si>
    <t>4. Data peserta didik yang mendapat nilai Pengayaan</t>
  </si>
  <si>
    <t>JENIS ARAHAN/BIMBINGAN</t>
  </si>
  <si>
    <t xml:space="preserve">    b. Mengerjakan soal berikutnya</t>
  </si>
  <si>
    <t xml:space="preserve">    c. …………………………….</t>
  </si>
  <si>
    <t xml:space="preserve">    a. Membuat ringkasan / ikhtisar materi tentang ………………………………………...……….*)</t>
  </si>
  <si>
    <t>PENANGANAN PESERTA DIDIK BERMASALAH</t>
  </si>
  <si>
    <t>NAMA PESERTA DIDIK</t>
  </si>
  <si>
    <t>MASALAH YANG DIHADAPI</t>
  </si>
  <si>
    <t>TANGGAL</t>
  </si>
  <si>
    <t>PENYELESAIAN MASALAH</t>
  </si>
  <si>
    <t>Paket Keahlian</t>
  </si>
  <si>
    <t>KP/Koord Mapel</t>
  </si>
  <si>
    <t>MATA PELAJARAN</t>
  </si>
  <si>
    <t>NIP. 19630830 198703 1 003</t>
  </si>
  <si>
    <t>Koordinator Mapel</t>
  </si>
  <si>
    <t>WKS 1</t>
  </si>
  <si>
    <t>Ruang</t>
  </si>
  <si>
    <t>Drs. B. Sabri</t>
  </si>
  <si>
    <t>Alokasi Waktu ( Jam Pelajaran )</t>
  </si>
  <si>
    <t>KP/Koordinator Mapel</t>
  </si>
  <si>
    <t>Drs. B Sabri</t>
  </si>
  <si>
    <t>1.</t>
  </si>
  <si>
    <t>2.</t>
  </si>
  <si>
    <t>Ket.</t>
  </si>
  <si>
    <t>NIP. 1963 0830 198703 1 003</t>
  </si>
  <si>
    <t>Koord Mapel</t>
  </si>
  <si>
    <t>JUMLAH</t>
  </si>
  <si>
    <t>Maryuli Darmawan, S.Pd. M.Eng</t>
  </si>
  <si>
    <t xml:space="preserve">NIP.  19700720 199802 1 003    </t>
  </si>
  <si>
    <t>Waka Kurikulum</t>
  </si>
  <si>
    <t>3.31 Menentukan turunan fungsi aljabar menggunakan definisi limit fungsi atau sifat-sifat turunan fungsi serta penerapannya</t>
  </si>
  <si>
    <t>3.32 Menganalisis keberkaitan turunan pertama fungsi dengan nilai maksimum, nilai minimum, dan selang kemonotonan fungsi, serta kemiringan garis singgung kurva</t>
  </si>
  <si>
    <t>TURUNAN FUNGSI ALJABAR</t>
  </si>
  <si>
    <t>3.33 Menentukan nilai integral tak tentu dan tertentu fungsi aljabar</t>
  </si>
  <si>
    <t>INTEGRAL</t>
  </si>
  <si>
    <t>3.34 Menentukan luas permukaan dan volume benda putar dengan menggunakan integral tertentu</t>
  </si>
  <si>
    <t>TANDA TANGAN SISWA</t>
  </si>
  <si>
    <t>Kalender pendidikan</t>
  </si>
  <si>
    <t>Jadwal pelajaran</t>
  </si>
  <si>
    <t>Perhitungan minggu efektif</t>
  </si>
  <si>
    <t>Program tahunan</t>
  </si>
  <si>
    <t>Program semester</t>
  </si>
  <si>
    <t xml:space="preserve">DAFTAR ISI </t>
  </si>
  <si>
    <t>Nama Sekolah</t>
  </si>
  <si>
    <t>Durasi Pembelajaran</t>
  </si>
  <si>
    <t>Alokasi Waktu</t>
  </si>
  <si>
    <t>Sumber Belajar</t>
  </si>
  <si>
    <t>: SMK Negeri 3 Yogyakarta</t>
  </si>
  <si>
    <t>SMK N 3 YOGYAKARTA</t>
  </si>
  <si>
    <t>NAMA SEKOLAH</t>
  </si>
  <si>
    <t>: SMK NEGERI 3 YOGYAKARTA</t>
  </si>
  <si>
    <t xml:space="preserve">KELAS </t>
  </si>
  <si>
    <t>ALOKASI WAKTU</t>
  </si>
  <si>
    <t>KOMPETENSI DASAR</t>
  </si>
  <si>
    <t>INDIKATOR / MATERI POKOK</t>
  </si>
  <si>
    <t>INTAKE</t>
  </si>
  <si>
    <t>DAYA DUKUNG</t>
  </si>
  <si>
    <t>KD</t>
  </si>
  <si>
    <t>Contoh:</t>
  </si>
  <si>
    <t>NAMA ALAT/BAHAN</t>
  </si>
  <si>
    <t>SPESIFIKASI</t>
  </si>
  <si>
    <t>VOLUME</t>
  </si>
  <si>
    <t xml:space="preserve">:  </t>
  </si>
  <si>
    <t xml:space="preserve">NIP.  </t>
  </si>
  <si>
    <t>BUKU</t>
  </si>
  <si>
    <t>Menjadi Lembaga Pendidikan dan Pelatihan  yang mampu menyiapkan tamatan berkarakter, kompeten,  berbudaya dan berwawasan lingkungan.</t>
  </si>
  <si>
    <t>Melaksanakan Pendidikan dan Pelatihan untuk menghasilkan tamatan yang beriman, bertaqwa, kompeten, dan mandiri.</t>
  </si>
  <si>
    <t xml:space="preserve">Melaksanakan Pendidikan dan Pelatihan untuk menghasilkan tamatan unggul dalam iptek dan mampu berkompetisi pada era globalisasi. </t>
  </si>
  <si>
    <t xml:space="preserve">Melaksanakan Pendidikan dan Pelatihan yang berkualitas dengan standar Nasional. </t>
  </si>
  <si>
    <t>Melaksanakan Pendidikan dan Pelatihan dengan menumbuhkan dan melestarikan budaya lokal.</t>
  </si>
  <si>
    <t>Melaksanakan Pendidikan dan Pelatihan dengan membiasakan Warga Sekolah agar selalu peduli terhadap lingkungan.</t>
  </si>
  <si>
    <t>Mengembangkan lingkungan sekolah menjadi sekolah adiwiyata dengan melibatkan warga sekolah, stake holder dan instansi terkait.</t>
  </si>
  <si>
    <t xml:space="preserve">Menghasilkan tamatan yang beriman, bertaqwa, kompeten dan mandiri. </t>
  </si>
  <si>
    <t xml:space="preserve">Menghasilkan tamatan yang unggul dalam iptek, mampu berkompetisi pada era globalisasi tanpa meninggalkan kearifan lokal. </t>
  </si>
  <si>
    <t xml:space="preserve">Menjadi Lembaga Pendidikan dan Pelatihan yang berkualitas dengan standar Nasional. </t>
  </si>
  <si>
    <t>Menampilkan sarana dan prasarana sekolah dengan wujud budaya jogja.</t>
  </si>
  <si>
    <t>Menampilkan sikap sopan, santun dan budi pekerti sebagai cermin akhlak mulia tanpa meninggalkan budaya jogja.</t>
  </si>
  <si>
    <t>ANALISIS JAM PEMBELAJARAN</t>
  </si>
  <si>
    <t>Yogyakarta,    Juli 2019</t>
  </si>
  <si>
    <r>
      <t xml:space="preserve">a. Nilai = </t>
    </r>
    <r>
      <rPr>
        <u/>
        <sz val="10"/>
        <color indexed="8"/>
        <rFont val="Times New Roman"/>
        <family val="1"/>
      </rPr>
      <t>Skor yg diperoleh</t>
    </r>
    <r>
      <rPr>
        <sz val="10"/>
        <color indexed="8"/>
        <rFont val="Times New Roman"/>
        <family val="1"/>
      </rPr>
      <t xml:space="preserve"> X 100</t>
    </r>
  </si>
  <si>
    <r>
      <t xml:space="preserve">b. Ketuntasan Klasikal = </t>
    </r>
    <r>
      <rPr>
        <u/>
        <sz val="8"/>
        <color indexed="8"/>
        <rFont val="Times New Roman"/>
        <family val="1"/>
      </rPr>
      <t>Jml Peserta Didik yg Tuntas</t>
    </r>
    <r>
      <rPr>
        <sz val="8"/>
        <color indexed="8"/>
        <rFont val="Times New Roman"/>
        <family val="1"/>
      </rPr>
      <t xml:space="preserve"> x 100%</t>
    </r>
  </si>
  <si>
    <r>
      <t xml:space="preserve">Kelas disebut TUNTAS belajar jika Peserta Didik yang TUNTAS mencapai </t>
    </r>
    <r>
      <rPr>
        <sz val="8"/>
        <color indexed="8"/>
        <rFont val="Times New Roman"/>
        <family val="1"/>
      </rPr>
      <t>≥ 85%</t>
    </r>
  </si>
  <si>
    <t>TERCAPAI (%)</t>
  </si>
  <si>
    <t>11.  15.30 - 16.15</t>
  </si>
  <si>
    <t>12.  16.15 - 17.00</t>
  </si>
  <si>
    <t>Senin s.d Kamis</t>
  </si>
  <si>
    <t>Jumat</t>
  </si>
  <si>
    <t>Upacara : 07.00 - 08.00</t>
  </si>
  <si>
    <t xml:space="preserve">  1.  08.00 - 08.40</t>
  </si>
  <si>
    <t xml:space="preserve">  2.  08.40 - 09.20</t>
  </si>
  <si>
    <t xml:space="preserve">  3.  09.20 - 10.00</t>
  </si>
  <si>
    <t xml:space="preserve">  4.  10.00 - 10.40</t>
  </si>
  <si>
    <t xml:space="preserve">  5.  11.05 - 11.45</t>
  </si>
  <si>
    <t xml:space="preserve">  6.  11.45 - 12.25</t>
  </si>
  <si>
    <t xml:space="preserve">    ISTIRAHAT (20' )</t>
  </si>
  <si>
    <t xml:space="preserve">  7.  12.45 - 13.20</t>
  </si>
  <si>
    <t xml:space="preserve">  8.  13.20- 13.55</t>
  </si>
  <si>
    <t xml:space="preserve">  9.  13.55 - 14.30</t>
  </si>
  <si>
    <t>10.  14.30- 15.05</t>
  </si>
  <si>
    <t>11.  15.20 - 16.05</t>
  </si>
  <si>
    <t>12.  16.05 - 16.40</t>
  </si>
  <si>
    <t xml:space="preserve">  0.  06.45 - 07.00</t>
  </si>
  <si>
    <t>LITERASI</t>
  </si>
  <si>
    <t>GER TIMUN MAS</t>
  </si>
  <si>
    <t xml:space="preserve">  0.  06.45 - 07.15</t>
  </si>
  <si>
    <t>SHOLAT JUMAT</t>
  </si>
  <si>
    <t xml:space="preserve">  7.  12.30 - 13.10</t>
  </si>
  <si>
    <t xml:space="preserve">  8.  13.10 - 13.50</t>
  </si>
  <si>
    <t xml:space="preserve">  9.  13.50 - 14.30</t>
  </si>
  <si>
    <t>10.  14.30- 15.20</t>
  </si>
  <si>
    <t xml:space="preserve">  1.  07.15 - 07.55</t>
  </si>
  <si>
    <t xml:space="preserve">  2.  07.55 -08.35</t>
  </si>
  <si>
    <t xml:space="preserve">  3.  08.35 - 09.15</t>
  </si>
  <si>
    <t xml:space="preserve">  4.  09.15 - 19.55</t>
  </si>
  <si>
    <t xml:space="preserve">  5.  10.10 - 10.50</t>
  </si>
  <si>
    <t xml:space="preserve">  6.  10.50 - 11.30</t>
  </si>
  <si>
    <t>11.  15.35 - 16.10</t>
  </si>
  <si>
    <t>12.  16.10 - 16.50</t>
  </si>
  <si>
    <t>dst</t>
  </si>
  <si>
    <t>NOMOR DAN BOBOT SOAL</t>
  </si>
  <si>
    <t xml:space="preserve">ANALISIS KETUNTASAN DAN DAYA SERAP </t>
  </si>
  <si>
    <t xml:space="preserve">Daya Serap = </t>
  </si>
  <si>
    <t>contoh:</t>
  </si>
  <si>
    <t>F/751/WKS1/-/25</t>
  </si>
  <si>
    <t>F/751/WKS1/-/26</t>
  </si>
  <si>
    <t>F/751/WKS1/-/32</t>
  </si>
  <si>
    <t>F/751/WKS1/37</t>
  </si>
  <si>
    <t>F/751/WKS1/-/47</t>
  </si>
  <si>
    <t>Contoh</t>
  </si>
  <si>
    <t>ANALISIS SKM SESUAI DENGAN SILABUS KURIKULUM 2013</t>
  </si>
  <si>
    <t>MATA PELAJARAN................</t>
  </si>
  <si>
    <t>KOMP. DASAR</t>
  </si>
  <si>
    <t>IPK</t>
  </si>
  <si>
    <t>SKM IPK</t>
  </si>
  <si>
    <t>SKM MATERI POKOK</t>
  </si>
  <si>
    <t>SKM KOMP. DASAR</t>
  </si>
  <si>
    <t>SKM MAPEL</t>
  </si>
  <si>
    <t>KET</t>
  </si>
  <si>
    <t>Kompl</t>
  </si>
  <si>
    <t>Daya Duk</t>
  </si>
  <si>
    <t>Input</t>
  </si>
  <si>
    <t>SKM</t>
  </si>
  <si>
    <t>3.1 dan 4.1</t>
  </si>
  <si>
    <t>3.2 dan 4.2</t>
  </si>
  <si>
    <t>3.3 dan 4.3</t>
  </si>
  <si>
    <t>PERENCANAAN PENILAIAN</t>
  </si>
  <si>
    <t xml:space="preserve">Kelas </t>
  </si>
  <si>
    <t>P1</t>
  </si>
  <si>
    <t>P2</t>
  </si>
  <si>
    <t>P3</t>
  </si>
  <si>
    <t>P4</t>
  </si>
  <si>
    <t>P5</t>
  </si>
  <si>
    <t>P6</t>
  </si>
  <si>
    <t>P7</t>
  </si>
  <si>
    <t>P8</t>
  </si>
  <si>
    <t>P9</t>
  </si>
  <si>
    <t>LISAN</t>
  </si>
  <si>
    <t>TULIS</t>
  </si>
  <si>
    <t>TUGAS</t>
  </si>
  <si>
    <t>PORT FL</t>
  </si>
  <si>
    <t>PG/ESAY</t>
  </si>
  <si>
    <t>KINERJA PRODUK</t>
  </si>
  <si>
    <t>KINERJA PRAKTIK</t>
  </si>
  <si>
    <t>PROYEK</t>
  </si>
  <si>
    <t>PORT.FL</t>
  </si>
  <si>
    <t>P10 (UTS)</t>
  </si>
  <si>
    <t xml:space="preserve">PG/ESAY </t>
  </si>
  <si>
    <t xml:space="preserve">P1 </t>
  </si>
  <si>
    <t xml:space="preserve"> Lisan</t>
  </si>
  <si>
    <t xml:space="preserve"> Tulis</t>
  </si>
  <si>
    <t>Tugas</t>
  </si>
  <si>
    <t>Portfol</t>
  </si>
  <si>
    <t xml:space="preserve">P5 ( UH) </t>
  </si>
  <si>
    <t>PG, Essay</t>
  </si>
  <si>
    <t>P10 (UTS) PG, Essay</t>
  </si>
  <si>
    <t xml:space="preserve">P11 </t>
  </si>
  <si>
    <t>UAS</t>
  </si>
  <si>
    <t>ΣNA</t>
  </si>
  <si>
    <t>ΣB</t>
  </si>
  <si>
    <t>NR</t>
  </si>
  <si>
    <t>Aliansyah</t>
  </si>
  <si>
    <t>Aminuddin</t>
  </si>
  <si>
    <t>Budi Sulistyo</t>
  </si>
  <si>
    <t>N  : Nilai</t>
  </si>
  <si>
    <t>NA : Jumlah N x A</t>
  </si>
  <si>
    <t>B  : Bobot</t>
  </si>
  <si>
    <t>NA : N x B</t>
  </si>
  <si>
    <t>NKD : Jumlah N x A / Jumlah Bobot</t>
  </si>
  <si>
    <t>NR : Nilai Raport</t>
  </si>
  <si>
    <t xml:space="preserve"> B   : jumlah Bobot</t>
  </si>
  <si>
    <t>N KD</t>
  </si>
  <si>
    <t>Kinerja (Produk)</t>
  </si>
  <si>
    <t>Kinerja (Praktik)</t>
  </si>
  <si>
    <t xml:space="preserve">Nilai </t>
  </si>
  <si>
    <t>Kinerja</t>
  </si>
  <si>
    <t>Proyek</t>
  </si>
  <si>
    <t xml:space="preserve">P9 </t>
  </si>
  <si>
    <t>Portofolio</t>
  </si>
  <si>
    <t xml:space="preserve"> REKAPITULASI PENILAIAN PENGETAHUAN</t>
  </si>
  <si>
    <t xml:space="preserve"> REKAPITULASI PENILAIAN KETERAMPILAN</t>
  </si>
  <si>
    <t>F/751/WKS1/-/49</t>
  </si>
  <si>
    <t>F/751/WKS1/-/50</t>
  </si>
  <si>
    <t>Penilaian Pengetahuan :</t>
  </si>
  <si>
    <t>P1 : Penilaian Lisan</t>
  </si>
  <si>
    <t>P2 : Penilaian Tertulis</t>
  </si>
  <si>
    <t>P3 : Penilaian Penugasan</t>
  </si>
  <si>
    <t>P5 : Penilaian Harian</t>
  </si>
  <si>
    <t>P4 : Penilaian Portofolio</t>
  </si>
  <si>
    <t>Penilaian Ketrampilan :</t>
  </si>
  <si>
    <t>P6 : Penilaian Kinerja (produk)</t>
  </si>
  <si>
    <t>P8 : Penilaian Proyek</t>
  </si>
  <si>
    <t>P9 : Penilaian Portofolio</t>
  </si>
  <si>
    <t>P6 : Penilaian Kinerja (praktik)</t>
  </si>
  <si>
    <t>ASPEK YANG DINILAI</t>
  </si>
  <si>
    <t>RESPON</t>
  </si>
  <si>
    <t>SKOR SOAL NO</t>
  </si>
  <si>
    <t>MATERI</t>
  </si>
  <si>
    <t>1. Soal sesuai indicator</t>
  </si>
  <si>
    <t>(1) soal sesuai indikator</t>
  </si>
  <si>
    <t>(0) soal tidak sesuai indicator</t>
  </si>
  <si>
    <t>2. Soal dan pilihan jawaban tidak bersifat SARA, propaganda, pornografi, bermuatan politis, dan kekerasan</t>
  </si>
  <si>
    <t>(1) Soal dan pilihan jawaban tidak bersifat SARA, propaganda, pornografi, bermuatan politis, dan kekerasan</t>
  </si>
  <si>
    <t>(0) Soal dan pilihan jawaban  bersifat SARA, propaganda, pornografi, bermuatan politis, dan kekerasan</t>
  </si>
  <si>
    <t>3. Pilihan jawaban homogen dan logis</t>
  </si>
  <si>
    <t>(2) pilihan jawaban homogin dan logis</t>
  </si>
  <si>
    <t>(1)pilihan jawaban homogin atau logis</t>
  </si>
  <si>
    <t>(0) pilihan jawaban tidak homogin dan tidak logis</t>
  </si>
  <si>
    <t>4. Hanya ada satu kunci jawaban</t>
  </si>
  <si>
    <t>(1) kunci jawaban hanya satu</t>
  </si>
  <si>
    <t>(0) kunci jawaban lebih dari satu atau tidak ada atau salah</t>
  </si>
  <si>
    <t>II</t>
  </si>
  <si>
    <t>KOMPETENSI</t>
  </si>
  <si>
    <r>
      <t>1.</t>
    </r>
    <r>
      <rPr>
        <sz val="7"/>
        <color theme="1"/>
        <rFont val="Times New Roman"/>
        <family val="1"/>
      </rPr>
      <t xml:space="preserve">    </t>
    </r>
    <r>
      <rPr>
        <sz val="11"/>
        <color theme="1"/>
        <rFont val="Calibri"/>
        <family val="2"/>
        <scheme val="minor"/>
      </rPr>
      <t>Pokok soal jelas dan tegas</t>
    </r>
  </si>
  <si>
    <t xml:space="preserve">(2) Pokok soal jelas dan tegas  </t>
  </si>
  <si>
    <t>(1) Pokok soal jelas atau tegas</t>
  </si>
  <si>
    <t>(0) Pokok soal tidak jelas dan tidak tegas</t>
  </si>
  <si>
    <r>
      <t>2.</t>
    </r>
    <r>
      <rPr>
        <sz val="7"/>
        <color theme="1"/>
        <rFont val="Times New Roman"/>
        <family val="1"/>
      </rPr>
      <t xml:space="preserve">    </t>
    </r>
    <r>
      <rPr>
        <sz val="11"/>
        <color theme="1"/>
        <rFont val="Calibri"/>
        <family val="2"/>
        <scheme val="minor"/>
      </rPr>
      <t>Pokok soal atau pilihan jawaban merupakan pernyataan yang diperlukan</t>
    </r>
  </si>
  <si>
    <t>(1) Pokok soal atau pilihan jawaban merupakan pernyataan yang diperlukan</t>
  </si>
  <si>
    <t>(0) Pokok soal atau pilihan jawaban bukan  merupakan pernyataan yang diperlukan</t>
  </si>
  <si>
    <r>
      <t>3.</t>
    </r>
    <r>
      <rPr>
        <sz val="7"/>
        <color theme="1"/>
        <rFont val="Times New Roman"/>
        <family val="1"/>
      </rPr>
      <t xml:space="preserve">    </t>
    </r>
    <r>
      <rPr>
        <sz val="11"/>
        <color theme="1"/>
        <rFont val="Calibri"/>
        <family val="2"/>
        <scheme val="minor"/>
      </rPr>
      <t>Pokok soal tidak member petunjuk ke arah jawaban yang benar</t>
    </r>
  </si>
  <si>
    <t>(0) Pokok soal tidak member petunjuk ke arah jawaban yang benar</t>
  </si>
  <si>
    <r>
      <t>4.</t>
    </r>
    <r>
      <rPr>
        <sz val="7"/>
        <color theme="1"/>
        <rFont val="Times New Roman"/>
        <family val="1"/>
      </rPr>
      <t xml:space="preserve">    </t>
    </r>
    <r>
      <rPr>
        <sz val="11"/>
        <color theme="1"/>
        <rFont val="Calibri"/>
        <family val="2"/>
        <scheme val="minor"/>
      </rPr>
      <t>Pokok soal tidak mengandung pernyataan yang bersifat negatif ganda</t>
    </r>
  </si>
  <si>
    <t>(1) Tidak mengandung pernyataan yang bersifat negatif ganda</t>
  </si>
  <si>
    <t>(0) Mengandung pernyataan yang bersifat negatif ganda</t>
  </si>
  <si>
    <r>
      <t>5.</t>
    </r>
    <r>
      <rPr>
        <sz val="7"/>
        <color theme="1"/>
        <rFont val="Times New Roman"/>
        <family val="1"/>
      </rPr>
      <t xml:space="preserve">    </t>
    </r>
    <r>
      <rPr>
        <sz val="11"/>
        <color theme="1"/>
        <rFont val="Calibri"/>
        <family val="2"/>
        <scheme val="minor"/>
      </rPr>
      <t>Panjang rumusan pilihan jawaban relative sama</t>
    </r>
  </si>
  <si>
    <t>(1) Panjang rumusan pilihan jawaban relative sama</t>
  </si>
  <si>
    <t>(0) Salah satu rumusan pilihan jawaban panjang</t>
  </si>
  <si>
    <r>
      <t>6.</t>
    </r>
    <r>
      <rPr>
        <sz val="7"/>
        <color theme="1"/>
        <rFont val="Times New Roman"/>
        <family val="1"/>
      </rPr>
      <t xml:space="preserve">    </t>
    </r>
    <r>
      <rPr>
        <sz val="11"/>
        <color theme="1"/>
        <rFont val="Calibri"/>
        <family val="2"/>
        <scheme val="minor"/>
      </rPr>
      <t>Pilihan jawaban tidak mengandung pernyataan “semua pilihan jawaban di atas salah” atau “ semua pilihan jawaban di atas benar”</t>
    </r>
  </si>
  <si>
    <r>
      <t>(1)</t>
    </r>
    <r>
      <rPr>
        <sz val="7"/>
        <color theme="1"/>
        <rFont val="Times New Roman"/>
        <family val="1"/>
      </rPr>
      <t xml:space="preserve"> </t>
    </r>
    <r>
      <rPr>
        <sz val="11"/>
        <color theme="1"/>
        <rFont val="Calibri"/>
        <family val="2"/>
        <scheme val="minor"/>
      </rPr>
      <t>Pilihan jawaban tidak mengandung pernyataan “semua pilihan jawaban di atas salah” atau “ semua pilihan jawaban di atas benar”</t>
    </r>
  </si>
  <si>
    <r>
      <t>(0)</t>
    </r>
    <r>
      <rPr>
        <sz val="7"/>
        <color theme="1"/>
        <rFont val="Times New Roman"/>
        <family val="1"/>
      </rPr>
      <t xml:space="preserve"> </t>
    </r>
    <r>
      <rPr>
        <sz val="11"/>
        <color theme="1"/>
        <rFont val="Calibri"/>
        <family val="2"/>
        <scheme val="minor"/>
      </rPr>
      <t>Pilihan jawaban mengandung pernyataan “semua pilihan jawaban di atas salah” atau “ semua pilihan jawaban di atas benar”</t>
    </r>
  </si>
  <si>
    <r>
      <t>7.</t>
    </r>
    <r>
      <rPr>
        <sz val="7"/>
        <color theme="1"/>
        <rFont val="Times New Roman"/>
        <family val="1"/>
      </rPr>
      <t xml:space="preserve">    </t>
    </r>
    <r>
      <rPr>
        <sz val="11"/>
        <color theme="1"/>
        <rFont val="Calibri"/>
        <family val="2"/>
        <scheme val="minor"/>
      </rPr>
      <t>Pilihan jawaban yang berbentuk angka atau waktu disusun berdasarkan urutan besar kecilnya nilai angka tersebut, atau kronologis</t>
    </r>
  </si>
  <si>
    <t>(*) pilihan jawaban tidak berbentuk urutan angka atau urutan waktu</t>
  </si>
  <si>
    <t>(1) Pilihan jawaban yang berbentuk angka disusun berdasarkan urutan kecil ke besar atau sebaliknya dan pilihan jawaban waktu berdasarkan kronologisnya</t>
  </si>
  <si>
    <t>(0) Pilihan yang berbentuk angka tidak disusun berdasarkan urutan kecil ke besar atau sebaliknya dan pilihan jawaban waktu tidak berdasarkan kronologisnya</t>
  </si>
  <si>
    <r>
      <t>8.</t>
    </r>
    <r>
      <rPr>
        <sz val="7"/>
        <color theme="1"/>
        <rFont val="Times New Roman"/>
        <family val="1"/>
      </rPr>
      <t xml:space="preserve">    </t>
    </r>
    <r>
      <rPr>
        <sz val="11"/>
        <color theme="1"/>
        <rFont val="Calibri"/>
        <family val="2"/>
        <scheme val="minor"/>
      </rPr>
      <t>Gambar, grafik, table, diagram, dan sejenisnya yang terdapat pada soal jelas dan berfungsi</t>
    </r>
  </si>
  <si>
    <t>(*) tidk terdapat gambar, grafik, table, diagram, dan sejenisnya</t>
  </si>
  <si>
    <t>(1) gambar, grafik, table, diagram, dan sejenisnya pada soal jelas dan berfungsi</t>
  </si>
  <si>
    <t>(0) gambar, grafik, table, diagram, dan sejenisnya pada soal jelas dan berfungsi</t>
  </si>
  <si>
    <r>
      <t>9.</t>
    </r>
    <r>
      <rPr>
        <sz val="7"/>
        <color theme="1"/>
        <rFont val="Times New Roman"/>
        <family val="1"/>
      </rPr>
      <t xml:space="preserve">    </t>
    </r>
    <r>
      <rPr>
        <sz val="11"/>
        <color theme="1"/>
        <rFont val="Calibri"/>
        <family val="2"/>
        <scheme val="minor"/>
      </rPr>
      <t>Butir soal tidak bergantung pada pilihan jawaban soal</t>
    </r>
  </si>
  <si>
    <t>(1) Butir soal tidak bergantung pada pilihan jawaban soal</t>
  </si>
  <si>
    <t>(0) Butir soal  bergantung pada pilihan jawaban soal</t>
  </si>
  <si>
    <t>III</t>
  </si>
  <si>
    <t>BAHASA</t>
  </si>
  <si>
    <r>
      <t>1.</t>
    </r>
    <r>
      <rPr>
        <sz val="7"/>
        <color theme="1"/>
        <rFont val="Times New Roman"/>
        <family val="1"/>
      </rPr>
      <t xml:space="preserve">    </t>
    </r>
    <r>
      <rPr>
        <sz val="11"/>
        <color theme="1"/>
        <rFont val="Calibri"/>
        <family val="2"/>
        <scheme val="minor"/>
      </rPr>
      <t>Soal menggunakan bahasa yang sesuai dengan kaidah Bahasa Indonesia, untuk bahasa daerah dan bahasa asing sesuai kaidahnya</t>
    </r>
  </si>
  <si>
    <t>(1) bahasa sesuai dengan kaidah Bahasa Indonesia, untuk bahasa daerah dan bahasa asing sesuai kaidahnya</t>
  </si>
  <si>
    <t>(0) bahasa tidak  sesuai dengan kaidah Bahasa Indonesia, untuk bahasa daerah dan bahasa asing sesuai kaidahnya</t>
  </si>
  <si>
    <r>
      <t>2.</t>
    </r>
    <r>
      <rPr>
        <sz val="7"/>
        <color theme="1"/>
        <rFont val="Times New Roman"/>
        <family val="1"/>
      </rPr>
      <t xml:space="preserve">    </t>
    </r>
    <r>
      <rPr>
        <sz val="11"/>
        <color theme="1"/>
        <rFont val="Calibri"/>
        <family val="2"/>
        <scheme val="minor"/>
      </rPr>
      <t>Soal tidak menggunakan bahasa yang berlaku setempat</t>
    </r>
  </si>
  <si>
    <t>(*) khusus Mulok Bahasa Daerah/sejenisnya pilih opsi ini</t>
  </si>
  <si>
    <t>(1) tidak menggunakan bahasa yang berlaku setempat</t>
  </si>
  <si>
    <t>(0) tidak menggunakan bahasa yang berlaku setempat</t>
  </si>
  <si>
    <r>
      <t>3.</t>
    </r>
    <r>
      <rPr>
        <sz val="7"/>
        <color theme="1"/>
        <rFont val="Times New Roman"/>
        <family val="1"/>
      </rPr>
      <t xml:space="preserve">    </t>
    </r>
    <r>
      <rPr>
        <sz val="11"/>
        <color theme="1"/>
        <rFont val="Calibri"/>
        <family val="2"/>
        <scheme val="minor"/>
      </rPr>
      <t>Soal menggunakan bahasa yang komunikatif</t>
    </r>
  </si>
  <si>
    <t>(1) menggunakan bahasa yang komunikatif</t>
  </si>
  <si>
    <t>(0) tidak menggunakan bahasa yang komunikatif</t>
  </si>
  <si>
    <r>
      <t>4.</t>
    </r>
    <r>
      <rPr>
        <sz val="7"/>
        <color theme="1"/>
        <rFont val="Times New Roman"/>
        <family val="1"/>
      </rPr>
      <t xml:space="preserve">    </t>
    </r>
    <r>
      <rPr>
        <sz val="11"/>
        <color theme="1"/>
        <rFont val="Calibri"/>
        <family val="2"/>
        <scheme val="minor"/>
      </rPr>
      <t>Pilihan jawaban tidak mengulang kata atau frase yang merupakan satu kesatuan pengertian</t>
    </r>
  </si>
  <si>
    <t>(1) tidak mengulang kata atau frase</t>
  </si>
  <si>
    <t>(0) mengulang kata atau frase</t>
  </si>
  <si>
    <t>INSTRUMEN TELAAH SOAL PILIHAN GANDA</t>
  </si>
  <si>
    <t>Sekolah</t>
  </si>
  <si>
    <r>
      <t>1.</t>
    </r>
    <r>
      <rPr>
        <sz val="7"/>
        <color theme="1"/>
        <rFont val="Times New Roman"/>
        <family val="1"/>
      </rPr>
      <t xml:space="preserve">   </t>
    </r>
    <r>
      <rPr>
        <sz val="11"/>
        <color theme="1"/>
        <rFont val="Calibri"/>
        <family val="2"/>
        <scheme val="minor"/>
      </rPr>
      <t>Soal sesuai dengan indikator (menuntut tes bentuk uraian)</t>
    </r>
  </si>
  <si>
    <r>
      <t xml:space="preserve">2. </t>
    </r>
    <r>
      <rPr>
        <sz val="11"/>
        <color theme="1"/>
        <rFont val="Calibri"/>
        <family val="2"/>
        <scheme val="minor"/>
      </rPr>
      <t>Batasan pertanyaan dan jawaban yang diharapkan sesuai</t>
    </r>
  </si>
  <si>
    <r>
      <t>A.</t>
    </r>
    <r>
      <rPr>
        <sz val="7"/>
        <color theme="1"/>
        <rFont val="Times New Roman"/>
        <family val="1"/>
      </rPr>
      <t xml:space="preserve">    </t>
    </r>
    <r>
      <rPr>
        <sz val="11"/>
        <color theme="1"/>
        <rFont val="Calibri"/>
        <family val="2"/>
        <scheme val="minor"/>
      </rPr>
      <t>Materi yang diukur sesuai dengan kompetensi (UKRK)</t>
    </r>
  </si>
  <si>
    <r>
      <t>B.</t>
    </r>
    <r>
      <rPr>
        <sz val="7"/>
        <color theme="1"/>
        <rFont val="Times New Roman"/>
        <family val="1"/>
      </rPr>
      <t xml:space="preserve">    </t>
    </r>
    <r>
      <rPr>
        <sz val="11"/>
        <color theme="1"/>
        <rFont val="Calibri"/>
        <family val="2"/>
        <scheme val="minor"/>
      </rPr>
      <t>Isi materi yang ditanyakan sesuai dengan jenjang, jenis sekolah, dan tingkat kelas</t>
    </r>
  </si>
  <si>
    <t>1. Ada petunjuk yang jelas mengenai cara mengerjakan soal</t>
  </si>
  <si>
    <t xml:space="preserve">(1) Ada petunjuk yang jelas mengenai cara mengerjakan soal </t>
  </si>
  <si>
    <t>(0) Tidak ada petunjuk yang jelas mengenai cara mengerjakan soal</t>
  </si>
  <si>
    <r>
      <t>2.</t>
    </r>
    <r>
      <rPr>
        <sz val="7"/>
        <color theme="1"/>
        <rFont val="Times New Roman"/>
        <family val="1"/>
      </rPr>
      <t xml:space="preserve">    </t>
    </r>
    <r>
      <rPr>
        <sz val="11"/>
        <color theme="1"/>
        <rFont val="Calibri"/>
        <family val="2"/>
        <scheme val="minor"/>
      </rPr>
      <t>Rumusan kalimat Soal/ pertanyaan menggunakan kata tanya atau perintah yang menuntut jawaban terurai</t>
    </r>
  </si>
  <si>
    <t>(1) Rumusan kalimat Soal/ pertanyaan menggunakan kata tanya atau perintah yang menuntut jawaban terurai</t>
  </si>
  <si>
    <t xml:space="preserve"> (0) Rumusan kalimat Soal/ pertanyaan tidak menggunakan kata tanya atau perintah yang menuntut jawaban terurai</t>
  </si>
  <si>
    <r>
      <t>3.</t>
    </r>
    <r>
      <rPr>
        <sz val="7"/>
        <color theme="1"/>
        <rFont val="Times New Roman"/>
        <family val="1"/>
      </rPr>
      <t xml:space="preserve">     </t>
    </r>
    <r>
      <rPr>
        <sz val="11"/>
        <color theme="1"/>
        <rFont val="Calibri"/>
        <family val="2"/>
        <scheme val="minor"/>
      </rPr>
      <t>Gambar/grafik/tabel/diagram dan sejenisnya harus jelas dan berfungsi</t>
    </r>
  </si>
  <si>
    <t>(1) Gambar/grafik/tabel/diagram dan sejenisnya harus jelas dan berfungsi</t>
  </si>
  <si>
    <t xml:space="preserve"> (0) Gambar/grafik/tabel/diagram dan sejenisnya tidak jelas dan tidakberfungsi</t>
  </si>
  <si>
    <r>
      <t>4.</t>
    </r>
    <r>
      <rPr>
        <sz val="7"/>
        <color theme="1"/>
        <rFont val="Times New Roman"/>
        <family val="1"/>
      </rPr>
      <t xml:space="preserve">     </t>
    </r>
    <r>
      <rPr>
        <sz val="11"/>
        <color theme="1"/>
        <rFont val="Calibri"/>
        <family val="2"/>
        <scheme val="minor"/>
      </rPr>
      <t>Ada pedoman penskoran</t>
    </r>
  </si>
  <si>
    <t>(1) Ada pedoman penskoran</t>
  </si>
  <si>
    <t>(0) Tidak ada pedoman penskoran</t>
  </si>
  <si>
    <r>
      <t>1.</t>
    </r>
    <r>
      <rPr>
        <sz val="7"/>
        <color theme="1"/>
        <rFont val="Times New Roman"/>
        <family val="1"/>
      </rPr>
      <t xml:space="preserve">     </t>
    </r>
    <r>
      <rPr>
        <sz val="11"/>
        <color theme="1"/>
        <rFont val="Calibri"/>
        <family val="2"/>
        <scheme val="minor"/>
      </rPr>
      <t>Rumusan kalimat soal/pertanyaan komunikatif</t>
    </r>
  </si>
  <si>
    <t>(1) Rumusan kalimat soal/pertanyaan komunikatif</t>
  </si>
  <si>
    <t>(0) Rumusan kalimat soal/pertanyaan tidak  komunikatif</t>
  </si>
  <si>
    <t>2.  Butir soal menggunakan bahasa Indonesia yang baku</t>
  </si>
  <si>
    <t>(1) Butir soal menggunakan bahasa Indonesia yang baku</t>
  </si>
  <si>
    <t>(0) Butir soal tidak menggunakan bahasa Indonesia yang baku</t>
  </si>
  <si>
    <r>
      <t>3.</t>
    </r>
    <r>
      <rPr>
        <sz val="7"/>
        <color theme="1"/>
        <rFont val="Times New Roman"/>
        <family val="1"/>
      </rPr>
      <t xml:space="preserve">     </t>
    </r>
    <r>
      <rPr>
        <sz val="11"/>
        <color theme="1"/>
        <rFont val="Calibri"/>
        <family val="2"/>
        <scheme val="minor"/>
      </rPr>
      <t>Tidak mengandung kata-kata/kalimat yang menimbulkan penafsiran ganda atau salah pengertian</t>
    </r>
  </si>
  <si>
    <t>(1) Tidak mengandung kata-kata/kalimat yang menimbulkan penafsiran ganda atau salah pengertian</t>
  </si>
  <si>
    <t xml:space="preserve"> (0) mengandung kata-kata/kalimat yang menimbulkan penafsiran ganda atau salah pengertian</t>
  </si>
  <si>
    <r>
      <t>4.</t>
    </r>
    <r>
      <rPr>
        <sz val="7"/>
        <color theme="1"/>
        <rFont val="Times New Roman"/>
        <family val="1"/>
      </rPr>
      <t xml:space="preserve">     </t>
    </r>
    <r>
      <rPr>
        <sz val="11"/>
        <color theme="1"/>
        <rFont val="Calibri"/>
        <family val="2"/>
        <scheme val="minor"/>
      </rPr>
      <t>Tidak mengandung kata yang menyinggung perasaan</t>
    </r>
  </si>
  <si>
    <t>(1) Tidak mengandung kata yang menyinggung perasaan</t>
  </si>
  <si>
    <t xml:space="preserve"> (0) menggunakan bahasa yang komunikatif Tidak mengandung kata yang menyinggung perasaan</t>
  </si>
  <si>
    <r>
      <t>5.</t>
    </r>
    <r>
      <rPr>
        <sz val="7"/>
        <color theme="1"/>
        <rFont val="Times New Roman"/>
        <family val="1"/>
      </rPr>
      <t xml:space="preserve">    </t>
    </r>
    <r>
      <rPr>
        <sz val="11"/>
        <color theme="1"/>
        <rFont val="Calibri"/>
        <family val="2"/>
        <scheme val="minor"/>
      </rPr>
      <t>Tidak menggunakan bahasa yang berlaku setempat/tabu</t>
    </r>
  </si>
  <si>
    <t>(1) Tidak menggunakan bahasa yang berlaku setempat/tabu</t>
  </si>
  <si>
    <t>(0) Menggunakan bahasa yang berlaku setempat/tabu</t>
  </si>
  <si>
    <t>INSTRUMEN TELAAH SOAL URAIAN/ESSAY</t>
  </si>
  <si>
    <t>Rencana Penilaian</t>
  </si>
  <si>
    <t>Telaah Soal Pilihan Ganda</t>
  </si>
  <si>
    <t>Telaah Soal Essay</t>
  </si>
  <si>
    <t xml:space="preserve">SILABUS </t>
  </si>
  <si>
    <t>PEMBELAJARAN</t>
  </si>
  <si>
    <t>TM</t>
  </si>
  <si>
    <t>PKL</t>
  </si>
  <si>
    <t>-</t>
  </si>
  <si>
    <t>PROGRAM PERBAIKAN / PENGAYAAN</t>
  </si>
  <si>
    <t>SEKOLAH MENENTUKAN KRITERIA PENILAIAN SIKAP</t>
  </si>
  <si>
    <t>NORMA AGAMA</t>
  </si>
  <si>
    <t>NORMA SUSILA</t>
  </si>
  <si>
    <t>PACARAN</t>
  </si>
  <si>
    <t>AGAMA</t>
  </si>
  <si>
    <t>Program Keahlian</t>
  </si>
  <si>
    <t>Fase</t>
  </si>
  <si>
    <t>Program  Keahlian</t>
  </si>
  <si>
    <t>Konsentrasi Keahlian</t>
  </si>
  <si>
    <t>KOMPETENSI DASAR/ CAPAIAN PEMBELAJARAN</t>
  </si>
  <si>
    <t>Yogyakarta,     Juli 2022</t>
  </si>
  <si>
    <t>Konsentrasi  Keahlian</t>
  </si>
  <si>
    <t xml:space="preserve">Konsentrasi Keahlian : </t>
  </si>
  <si>
    <t>No.RPP/MA</t>
  </si>
  <si>
    <t>Yogyakarta,    Juli</t>
  </si>
  <si>
    <t>Yogyakarta,    Juli 2022</t>
  </si>
  <si>
    <t>PEMBAGIAN ALOKASI WAKTU PADA SILABUS / CAPAIAN PEMBELAJARAN</t>
  </si>
  <si>
    <t>KD / CP</t>
  </si>
  <si>
    <t>AHAD</t>
  </si>
  <si>
    <t>SABTU</t>
  </si>
  <si>
    <t>KOMPLEKSITAS</t>
  </si>
  <si>
    <t>KD/CP</t>
  </si>
  <si>
    <t>KET.</t>
  </si>
  <si>
    <t>FASE</t>
  </si>
  <si>
    <t>Analisis CP</t>
  </si>
  <si>
    <t>KKTP</t>
  </si>
  <si>
    <t>TUJUAN PEMBELAJARAN</t>
  </si>
  <si>
    <t>Elemen/Topik Pembelajaran</t>
  </si>
  <si>
    <t>Alur No</t>
  </si>
  <si>
    <t>Elemen CP</t>
  </si>
  <si>
    <t>Topik Pelajaran</t>
  </si>
  <si>
    <t>Kode</t>
  </si>
  <si>
    <t>PROYEK PENGUATAN PROFIL PELAJAR PANCASILA</t>
  </si>
  <si>
    <t>ALUR TUJUAN PEMBELAJARAN</t>
  </si>
  <si>
    <t>CAPAIAN PEMBELAJARAN</t>
  </si>
  <si>
    <t xml:space="preserve">ELEMAN </t>
  </si>
  <si>
    <t>Kelas/ Semester</t>
  </si>
  <si>
    <t>Pemahaman Bermakna</t>
  </si>
  <si>
    <t>Tujuan Pembelajaran</t>
  </si>
  <si>
    <t>Rencana Asesmen</t>
  </si>
  <si>
    <t>Model Pembelajaran</t>
  </si>
  <si>
    <t>ANALISA PENGHITUNGAN KKTP</t>
  </si>
  <si>
    <t>TH 2023 - 2024</t>
  </si>
  <si>
    <t>BIDANG KEAHLIAN</t>
  </si>
  <si>
    <t>PROGRAM KEAHLIAN</t>
  </si>
  <si>
    <t>KONSENTRASI KEAHLIAN</t>
  </si>
  <si>
    <t>NAMA MATA PELAJARAN</t>
  </si>
  <si>
    <t xml:space="preserve">KELAS/ FASE </t>
  </si>
  <si>
    <t>ALOKASI JAM PELAJARAN TOTAL</t>
  </si>
  <si>
    <t>ALOKASI JP PROJEK (P5)</t>
  </si>
  <si>
    <t>KRITERIA KETERCAPAIAN TUJUAN PEMBELAJARAN</t>
  </si>
  <si>
    <t>NAMA ELEMEN CAPAIAN PEMBELAJARAN</t>
  </si>
  <si>
    <t xml:space="preserve">URUTAN ELEMEN  </t>
  </si>
  <si>
    <t xml:space="preserve">MATERI/ KONTEN PEMBELAJARAN </t>
  </si>
  <si>
    <t xml:space="preserve">KEMAMPUAN AKHIR FASE </t>
  </si>
  <si>
    <t>Kemampuan Akhir Fase</t>
  </si>
  <si>
    <t>Tindak Lanjut</t>
  </si>
  <si>
    <t>Baru Berkembang</t>
  </si>
  <si>
    <t>Layak</t>
  </si>
  <si>
    <t>Cakap</t>
  </si>
  <si>
    <t>Mahir</t>
  </si>
  <si>
    <t>0 – 40%</t>
  </si>
  <si>
    <t>41 – 74 %</t>
  </si>
  <si>
    <t>75 – 85%</t>
  </si>
  <si>
    <t>86 – 100%</t>
  </si>
  <si>
    <t>Baru Berkembang:</t>
  </si>
  <si>
    <t>Belum Mencapai Ketuntasan, Remidial di Seluruh Bagian</t>
  </si>
  <si>
    <t>Layak:</t>
  </si>
  <si>
    <t>Belum Mencapai Ketuntasan, Remidial di Bagian yang Diperlukan</t>
  </si>
  <si>
    <t>Cakap:</t>
  </si>
  <si>
    <t>Sudah Mencapai Ketuntasan, Tidak Perlu Remidial</t>
  </si>
  <si>
    <t>Mahir:</t>
  </si>
  <si>
    <t>Sudah Mencapai Ketuntasan, Perlu Pengayaan atau Tantangan Lebih</t>
  </si>
  <si>
    <t>Catatan:</t>
  </si>
  <si>
    <t>Bila peserta didik telah tuntas minimal 75% dari seluruh tujuan pembelajaran, maka dinyatakan tuntas mata pelajaran tersebut.</t>
  </si>
  <si>
    <t>Kriteria Ketercapaian Tujuan Pembelajaran</t>
  </si>
  <si>
    <t>LEMBAR PENILAIAN FORMATIF</t>
  </si>
  <si>
    <t>KURIKULUM MERDEKA</t>
  </si>
  <si>
    <t>ELEMEN</t>
  </si>
  <si>
    <t>Analisa Materi</t>
  </si>
  <si>
    <t>ATP</t>
  </si>
  <si>
    <t>TP</t>
  </si>
  <si>
    <t>MA-LKPD</t>
  </si>
  <si>
    <t>Daftar Hadir</t>
  </si>
  <si>
    <t>Penanganan Peserta Didik</t>
  </si>
  <si>
    <t>Nilai Formatif</t>
  </si>
  <si>
    <t>Analisis Kebutuhan Alat</t>
  </si>
  <si>
    <t>Buku Pegangan</t>
  </si>
  <si>
    <t>Kisi-kisi</t>
  </si>
  <si>
    <t>Analisis Hasil Ulangan</t>
  </si>
  <si>
    <t>Analisis Daya Serap</t>
  </si>
  <si>
    <t>Program Perbaikan</t>
  </si>
  <si>
    <t>Program Pengayaan</t>
  </si>
  <si>
    <t>Agenda Guru</t>
  </si>
  <si>
    <t>Target dan Capaian Kurikulum</t>
  </si>
  <si>
    <t>F/751/WKS1/-/03</t>
  </si>
  <si>
    <t>F/751/WKS1/-/11</t>
  </si>
  <si>
    <t>F/751/WKS1/-/13</t>
  </si>
  <si>
    <t>F/751/WKS1/-/14</t>
  </si>
  <si>
    <t>F/751/WKS1/15</t>
  </si>
  <si>
    <t>F/751/WKS1/-/16</t>
  </si>
  <si>
    <t>F/751/WKS1/-/18</t>
  </si>
  <si>
    <t>F/84/WKS1/-/19</t>
  </si>
  <si>
    <t>F/751/WKS1/-/20</t>
  </si>
  <si>
    <t>F/751/WKS1/-/21</t>
  </si>
  <si>
    <t>F/84/WKS1/-/23</t>
  </si>
  <si>
    <t>F/751/WKS1/-/24</t>
  </si>
  <si>
    <t>Elemen</t>
  </si>
  <si>
    <t>Materi yang disampaikan (Elemen)</t>
  </si>
  <si>
    <t>: Sistem Kontrol Industri</t>
  </si>
  <si>
    <t>: F</t>
  </si>
  <si>
    <t>Ruang 53</t>
  </si>
  <si>
    <t>: Sistem Kendali Industri</t>
  </si>
  <si>
    <t>: Teknik Elektronika Industri</t>
  </si>
  <si>
    <t>: Teknik Elektronika</t>
  </si>
  <si>
    <t>:  F</t>
  </si>
  <si>
    <t>:  Teknologi Manufaktur dan Rekayasa</t>
  </si>
  <si>
    <t>Menerapkan Penggunaan  Relay Logic pada rangkaian sistem kendali</t>
  </si>
  <si>
    <t>Menjabarkan Programmable Logic Controller (PLC) sebagai Device pada sistem kendali</t>
  </si>
  <si>
    <t>Menerapkan Wiring Dan Commissioning Rangkaian Kendali PLC</t>
  </si>
  <si>
    <t>Menerapkan human- machine interface (HMI) pada rangkaian kendali PLC sebagai alat monitoring</t>
  </si>
  <si>
    <t>Menerapkan PLC pada proses produksi dan dalam jaringan</t>
  </si>
  <si>
    <t>Menerapkan Penggunaan Relay Logic pada rangkaian sistem kendali</t>
  </si>
  <si>
    <t>:  Sistem Kendali Industri</t>
  </si>
  <si>
    <t>:  Teknik Elektronika</t>
  </si>
  <si>
    <t>Sistem Kendali Industri</t>
  </si>
  <si>
    <t>Pada akhir fase F, peserta didik mampu :</t>
  </si>
  <si>
    <t>1. Menerapkan relay logic</t>
  </si>
  <si>
    <t>2. Menjabarkan programmable logic controller (PLC)</t>
  </si>
  <si>
    <t>3. Menerapkan wiring dan commissioning rangkaian kendali PLC</t>
  </si>
  <si>
    <t>4. Menerapkan pemrograman rangkaian kendali PLC</t>
  </si>
  <si>
    <t>5. Menerapkan human-machine interface (HMI) pada rangkaian kendali PLC</t>
  </si>
  <si>
    <t>PSR/SKI1</t>
  </si>
  <si>
    <t>PSR/SKI 2</t>
  </si>
  <si>
    <t>PSR/SKI 3</t>
  </si>
  <si>
    <t>PSR/SKI 4</t>
  </si>
  <si>
    <t>PSR/SKI 5</t>
  </si>
  <si>
    <t>:  Teknik Elektronika Indutri</t>
  </si>
  <si>
    <t>Pada akhir fase F, Peserta didik mampu Menerapkan Penggunaan         Relay Logic pada rangkaian sistem kendali</t>
  </si>
  <si>
    <t>Pada akhir fase F, Peserta didik mampu menerapkan rangkaian kendali PLC dengan komponen elektro pneumatik dan Hidrolik</t>
  </si>
  <si>
    <t>Menjabarkan konsep Relay Logic</t>
  </si>
  <si>
    <t>Peserta didik mampu Menerapkan Penggunaan  Relay Logic pada rangkaian sistem kendali</t>
  </si>
  <si>
    <r>
      <t xml:space="preserve">Menjabarkan </t>
    </r>
    <r>
      <rPr>
        <i/>
        <sz val="12"/>
        <color theme="1"/>
        <rFont val="Times New Roman"/>
        <family val="1"/>
      </rPr>
      <t xml:space="preserve">Programmable Logic Controller </t>
    </r>
    <r>
      <rPr>
        <sz val="12"/>
        <color theme="1"/>
        <rFont val="Times New Roman"/>
        <family val="1"/>
      </rPr>
      <t>(PLC) sebagai Device pada sistem kendali</t>
    </r>
  </si>
  <si>
    <r>
      <t xml:space="preserve">Peserta didik mampu Menjabarkan </t>
    </r>
    <r>
      <rPr>
        <i/>
        <sz val="12"/>
        <color theme="1"/>
        <rFont val="Times New Roman"/>
        <family val="1"/>
      </rPr>
      <t xml:space="preserve">Programmable Logic Controller </t>
    </r>
    <r>
      <rPr>
        <sz val="12"/>
        <color theme="1"/>
        <rFont val="Times New Roman"/>
        <family val="1"/>
      </rPr>
      <t>(PLC) sebagai Device pada sistem kendali</t>
    </r>
  </si>
  <si>
    <t>praktik</t>
  </si>
  <si>
    <r>
      <t xml:space="preserve">Menerapkan </t>
    </r>
    <r>
      <rPr>
        <i/>
        <sz val="12"/>
        <color theme="1"/>
        <rFont val="Times New Roman"/>
        <family val="1"/>
      </rPr>
      <t xml:space="preserve">Wiring </t>
    </r>
    <r>
      <rPr>
        <sz val="12"/>
        <color theme="1"/>
        <rFont val="Times New Roman"/>
        <family val="1"/>
      </rPr>
      <t xml:space="preserve">Dan </t>
    </r>
    <r>
      <rPr>
        <i/>
        <sz val="12"/>
        <color theme="1"/>
        <rFont val="Times New Roman"/>
        <family val="1"/>
      </rPr>
      <t xml:space="preserve">Commissioning </t>
    </r>
    <r>
      <rPr>
        <sz val="12"/>
        <color theme="1"/>
        <rFont val="Times New Roman"/>
        <family val="1"/>
      </rPr>
      <t>Rangkaian Kendali PLC</t>
    </r>
  </si>
  <si>
    <r>
      <t xml:space="preserve">Peserta didik mampu Menerapkan </t>
    </r>
    <r>
      <rPr>
        <i/>
        <sz val="12"/>
        <color theme="1"/>
        <rFont val="Times New Roman"/>
        <family val="1"/>
      </rPr>
      <t xml:space="preserve">Wiring </t>
    </r>
    <r>
      <rPr>
        <sz val="12"/>
        <color theme="1"/>
        <rFont val="Times New Roman"/>
        <family val="1"/>
      </rPr>
      <t xml:space="preserve">Dan </t>
    </r>
    <r>
      <rPr>
        <i/>
        <sz val="12"/>
        <color theme="1"/>
        <rFont val="Times New Roman"/>
        <family val="1"/>
      </rPr>
      <t xml:space="preserve">Commissioning </t>
    </r>
    <r>
      <rPr>
        <sz val="12"/>
        <color theme="1"/>
        <rFont val="Times New Roman"/>
        <family val="1"/>
      </rPr>
      <t>Rangkaian Kendali PLC</t>
    </r>
  </si>
  <si>
    <t>Peserta didik mampu menerapkan PLC pada proses produksi dan dalam jaringan</t>
  </si>
  <si>
    <t>Klasikal,praktikum</t>
  </si>
  <si>
    <t>Menerapkan rangkaian kendali PLC dengan komponen elektro pneumatik dan Hidrolik</t>
  </si>
  <si>
    <t>SMKN 3 Yogyakarta</t>
  </si>
  <si>
    <t>2. Menjabarkan programmable Logic Controller (PLC)</t>
  </si>
  <si>
    <t>3. Menerapkan wiring dan commissioning rangkaian</t>
  </si>
  <si>
    <t xml:space="preserve">Pada akhir fase F, Peserta didik mampu Menjabarkan Programmable Logic Controller (PLC) sebagai  Device pada sistem kendali </t>
  </si>
  <si>
    <t>Pada akhir fase F, Peserta didik mampu Menerapkan Wiring Dan Commissioning Rangkaian Kendali PLC</t>
  </si>
  <si>
    <t>Peserta didik mampu Menjabarkan Programmable Logic Controller (PLC) sebagai Device pada sistem kendali</t>
  </si>
  <si>
    <t>Peserta didik mampu Menerapkan Wiring Dan Commissioning Rangkaian Kendali PLC</t>
  </si>
  <si>
    <t>Menerapkan pemrograman rangkaian kendali PLC</t>
  </si>
  <si>
    <t>Menerapkan pemrograman rangkaian kendali PLC untuk menyelesaikan permasalahan</t>
  </si>
  <si>
    <t xml:space="preserve">Peserta didik mampu menerapkan pemrograman rangkaian kendali PLC untuk menyelesaikan permasalahan </t>
  </si>
  <si>
    <t>Pada akhir fase F, Peserta didik mampu Menerapkan Pemrograman Logic Controller (PLC) Rangkaian Kendali</t>
  </si>
  <si>
    <t>Teknologi Elektronika</t>
  </si>
  <si>
    <t>Teknologi Elektronika Industri</t>
  </si>
  <si>
    <t>Teknologi  Elektronika Industri</t>
  </si>
  <si>
    <t>PSR / SKI</t>
  </si>
  <si>
    <t>Menjabarkan konsep Jenis jenis relay logic simbol relay logic sebagai pengendali</t>
  </si>
  <si>
    <t xml:space="preserve">Mengevaluasi Jenis jenis relay logic simbol relay logic sebagai pengendali </t>
  </si>
  <si>
    <t>Peserta didik mampu Menerapkan pemrograman rangkaian kendali PLC untuk menyelesaikan permasalahan</t>
  </si>
  <si>
    <t>Pada akhir fase F, Peserta didik mampu menerapkan human- machine interface (HMI) pada rangkaian kendali PLC sebagai alat monitoring</t>
  </si>
  <si>
    <t>Peserta didik mampu menerapkan human- machine interface (HMI) pada rangkaian kendali</t>
  </si>
  <si>
    <t>Peserta didik mampu menerapkan rangkaian kendali PLC dengan komponen elektro pneumatik dan Hidrolik</t>
  </si>
  <si>
    <t>Mata Pelajaran :  Sistem Kendali Industri (SKI)</t>
  </si>
  <si>
    <t>Mata Pelajaran : Sistem Kendali Industri (SKI)</t>
  </si>
  <si>
    <t>Konsentrasi Keahlian : Teknologi Industri</t>
  </si>
  <si>
    <t>Kegiatan pembelajaran teori</t>
  </si>
  <si>
    <t>Laptop,Proyektor LCD, Spidol, kertas</t>
  </si>
  <si>
    <t>Laptop 1, Proyektor 1, spidol 1, kertas HVS 33</t>
  </si>
  <si>
    <t xml:space="preserve">Laptop,Proyektor LCD, Spidol, kertas </t>
  </si>
  <si>
    <t>Laptop HP, Proyektor Epson EB-E500, Spidol snowman boardmarker, kertas HVS / buram</t>
  </si>
  <si>
    <t>Laptop HP, Proyektor Epson EB-E500, Spidol snowman boardmarker, kertas HVS / buram, trainer PLC CP1L-M40DTD</t>
  </si>
  <si>
    <t>Laptop 1, Proyektor 1, spidol 1, kertas HVS 33, trainer PLC 1</t>
  </si>
  <si>
    <t>Kegiatan pembelajaran teori dan praktik</t>
  </si>
  <si>
    <t>Laptop, komputer, spidol, kertas</t>
  </si>
  <si>
    <t>Laptop,Proyektor LCD, Spidol, kertas, trainer PLC</t>
  </si>
  <si>
    <t>Laptop merks acer, lenovo, asus; komputer, spidol snowman boardmarker, kertas HVS / buram</t>
  </si>
  <si>
    <t>Laptop 13, komputer 15, spidol 1, kertas HVS / buram 33</t>
  </si>
  <si>
    <t>:  Sistem Kendali Industri (SKI)</t>
  </si>
  <si>
    <t xml:space="preserve">: Teknik Elektronika </t>
  </si>
  <si>
    <t>: Essay</t>
  </si>
  <si>
    <t>: Penerapan Relay Logic</t>
  </si>
  <si>
    <t>: Relay Logic</t>
  </si>
  <si>
    <t>NIM.</t>
  </si>
  <si>
    <t>Buku Ajar Sistem Kontrol dan Kelistrikan Mesin</t>
  </si>
  <si>
    <t>Muhammad Naim, S.T., M.T.</t>
  </si>
  <si>
    <t>PT. Nasya Expanding Management</t>
  </si>
  <si>
    <t xml:space="preserve">Paduan Mudah Belajar PLC dan SCADA </t>
  </si>
  <si>
    <t xml:space="preserve">Puput Dani Prasetyo Adi, S.Kom., M.T., </t>
  </si>
  <si>
    <t>Andi Offset</t>
  </si>
  <si>
    <r>
      <t xml:space="preserve">: </t>
    </r>
    <r>
      <rPr>
        <sz val="11"/>
        <color theme="1"/>
        <rFont val="Calibri"/>
        <family val="2"/>
        <scheme val="minor"/>
      </rPr>
      <t>Teknik Elektronika Industri</t>
    </r>
  </si>
  <si>
    <t>: 5</t>
  </si>
  <si>
    <t>Menerapkan wiring dan commisioning rangkaian kendali PLC</t>
  </si>
  <si>
    <t>CX-One Programmaer guide</t>
  </si>
  <si>
    <t>Omron corporation</t>
  </si>
  <si>
    <t>Omron Europe B.V.</t>
  </si>
  <si>
    <t>CX-Programmer Ver 9 Operation Manual</t>
  </si>
  <si>
    <t>6a</t>
  </si>
  <si>
    <t>6b</t>
  </si>
  <si>
    <t>6c</t>
  </si>
  <si>
    <t>Bentuk soal</t>
  </si>
  <si>
    <t>Jumlah Soal</t>
  </si>
  <si>
    <t>Essay</t>
  </si>
  <si>
    <t>Jml Peserta Didik</t>
  </si>
  <si>
    <t>JML BENAR</t>
  </si>
  <si>
    <t>: Penerapan relay logic dalam rangkaian sistem kendali</t>
  </si>
  <si>
    <t>Rata2 Nilai</t>
  </si>
  <si>
    <t>dibagi 33</t>
  </si>
  <si>
    <t xml:space="preserve">    a. Remedial / PR soal nomor 1-6</t>
  </si>
  <si>
    <t xml:space="preserve">    b. Membuat ringkasan / ikhtisar materi tentang -</t>
  </si>
  <si>
    <t xml:space="preserve">    c. Mengerjakan soal berikutnya -</t>
  </si>
  <si>
    <t>Sebelum Pengayaan</t>
  </si>
  <si>
    <t>0-40%</t>
  </si>
  <si>
    <t xml:space="preserve">Muhammad Naim. (2021), Buku Ajar Sistem Kontrol dan Kelistrikan Mesin. Jawa Tengah : NEM </t>
  </si>
  <si>
    <t>Puput Dani. (2019), Paduan Mudah Belajar PLC dan SCADA. Yogyakarta : Andi</t>
  </si>
  <si>
    <t>Ana's Assistens. (2017), Modul Praktikum Workshop PLC &amp; Pneumatik</t>
  </si>
  <si>
    <t>Ana's Assistens</t>
  </si>
  <si>
    <t>Modul Praktikum Workshop PLC &amp; Pneumatik</t>
  </si>
  <si>
    <t>Workshop PLC &amp; Pneumatik</t>
  </si>
  <si>
    <t>KKM</t>
  </si>
  <si>
    <t>: 78</t>
  </si>
  <si>
    <t>:  Tuntas</t>
  </si>
  <si>
    <t>nomor : -</t>
  </si>
  <si>
    <r>
      <t xml:space="preserve">Pada akhir fase F, Peserta didik mampu Menjabarkan </t>
    </r>
    <r>
      <rPr>
        <i/>
        <sz val="12"/>
        <color theme="1"/>
        <rFont val="Times New Roman"/>
        <family val="1"/>
      </rPr>
      <t xml:space="preserve">Programmable Logic Controller </t>
    </r>
    <r>
      <rPr>
        <sz val="12"/>
        <color theme="1"/>
        <rFont val="Times New Roman"/>
        <family val="1"/>
      </rPr>
      <t>(PLC) sebagai  Device pada sistem kendali secara mandiri dan tanggungjawab</t>
    </r>
  </si>
  <si>
    <r>
      <t xml:space="preserve">Pada akhir fase F, Peserta didik mampu Menerapkan </t>
    </r>
    <r>
      <rPr>
        <i/>
        <sz val="12"/>
        <color theme="1"/>
        <rFont val="Times New Roman"/>
        <family val="1"/>
      </rPr>
      <t xml:space="preserve">Wiring </t>
    </r>
    <r>
      <rPr>
        <sz val="12"/>
        <color theme="1"/>
        <rFont val="Times New Roman"/>
        <family val="1"/>
      </rPr>
      <t xml:space="preserve">Dan </t>
    </r>
    <r>
      <rPr>
        <i/>
        <sz val="12"/>
        <color theme="1"/>
        <rFont val="Times New Roman"/>
        <family val="1"/>
      </rPr>
      <t xml:space="preserve">Commissioning </t>
    </r>
    <r>
      <rPr>
        <sz val="12"/>
        <color theme="1"/>
        <rFont val="Times New Roman"/>
        <family val="1"/>
      </rPr>
      <t>Rangkaian Kendali PLC secara gotong royong dan tanggungjawab</t>
    </r>
  </si>
  <si>
    <t>Pada akhir fase F, Peserta didik mampu Menerapkan pemrograman rangkaian kendali PLC secara mandiri dan tanggungjawab</t>
  </si>
  <si>
    <r>
      <t xml:space="preserve">Pada akhir fase F, Peserta didik mampu menerapkan </t>
    </r>
    <r>
      <rPr>
        <i/>
        <sz val="12"/>
        <color rgb="FF000000"/>
        <rFont val="Times New Roman"/>
        <family val="1"/>
      </rPr>
      <t xml:space="preserve">human- machine interface </t>
    </r>
    <r>
      <rPr>
        <sz val="12"/>
        <color rgb="FF000000"/>
        <rFont val="Times New Roman"/>
        <family val="1"/>
      </rPr>
      <t>(HMI) pada rangkaian kendali PLC sebagai alat monitoring secara gotong royong dan tanggungjawab</t>
    </r>
  </si>
  <si>
    <t xml:space="preserve">DURASI PEMBELAJARAN TIAP PERTEMUAN </t>
  </si>
  <si>
    <t>v</t>
  </si>
  <si>
    <t>ANALISIS HASIL ULANGAN PERBAIKAN</t>
  </si>
  <si>
    <t>Menjabarkan pemrograman logic controller (PLC)</t>
  </si>
  <si>
    <t>Mengevaluasi PLC sebagai device pada sistem kendali</t>
  </si>
  <si>
    <t>Mengevaluasi wiring dan commisioning rangkaian sesuai dengan permasalahan</t>
  </si>
  <si>
    <t>Menerapkan Pemrograman Logic Controller (PLC) Rangkaian Kendali</t>
  </si>
  <si>
    <t>Mengevaluasi penggunaan pemrograman PLC terhadap suatu permasalahan</t>
  </si>
  <si>
    <t>Mengevaluasi penerapan HMI pada rangkaian kendali  sebagai alat monitoring</t>
  </si>
  <si>
    <t>6. Menerapkan rangkaian kendali PLC dengan komponen elektropneumatik dan pneumatik</t>
  </si>
  <si>
    <t>7. Menerapkan PLC pada proses produksi dan dalam jaringan</t>
  </si>
  <si>
    <t>Mengevaluasi rangkaian kendali dengan menggunakan elektropneumatik dan hidrolik</t>
  </si>
  <si>
    <t>Mengevaluasi penerapan PLC pada skala produksi dan dalam jaringan</t>
  </si>
  <si>
    <t>Peserta didik mampu menerapkan rangkaian kendali PLC pada proses produksi dan dalam jaringan</t>
  </si>
  <si>
    <t>6. Menerapkan rangkaian kendali PLC dengan komponen elektro pneumatik dan hidrolik</t>
  </si>
  <si>
    <t>Setelah Pengayaan</t>
  </si>
  <si>
    <t>Pendampingan pengerjaan soal assesment</t>
  </si>
  <si>
    <t>: SMK N 3 Yogyakarta</t>
  </si>
  <si>
    <t xml:space="preserve"> = 100% </t>
  </si>
  <si>
    <t>2.894  x 100</t>
  </si>
  <si>
    <t xml:space="preserve"> = 87,7%</t>
  </si>
  <si>
    <t>untuk Peserta Didik nomor -</t>
  </si>
  <si>
    <t>Peserta Didik nomor  -</t>
  </si>
  <si>
    <r>
      <t xml:space="preserve">                         </t>
    </r>
    <r>
      <rPr>
        <sz val="10"/>
        <rFont val="Times New Roman"/>
        <family val="1"/>
      </rPr>
      <t xml:space="preserve">  </t>
    </r>
  </si>
  <si>
    <t>c. Perbaikan dan pengayaan</t>
  </si>
  <si>
    <t>Ulangan Harian 1</t>
  </si>
  <si>
    <t>Ulangan Harian 2</t>
  </si>
  <si>
    <t>: Teknik Elektronik Industri</t>
  </si>
  <si>
    <t>Menerapkan relay logic</t>
  </si>
  <si>
    <t>Menjabarkan programmable logic controler sebagai device pengendali</t>
  </si>
  <si>
    <t>Menerapkan pemrograman logic controler (PLC) rangkaian kendali</t>
  </si>
  <si>
    <t>Menerapkan human-human interface (HMI) pada rangkaian kendali PLC</t>
  </si>
  <si>
    <t>Menerapkan rangkaian kendali PLC dengan komponen elektropneumatik dan pneumatik</t>
  </si>
  <si>
    <t>(1) Pokok soal memberi petunjuk ke arah jawaban yang benar</t>
  </si>
  <si>
    <t>ANALISIS HASIL ULANGAN TENGAH SEMESTER</t>
  </si>
  <si>
    <t>Jumlah Benar</t>
  </si>
  <si>
    <t>Nilai</t>
  </si>
  <si>
    <t>Tercapai</t>
  </si>
  <si>
    <t>OBJEKTIVE TES</t>
  </si>
  <si>
    <t>Tuntas</t>
  </si>
  <si>
    <t>PROGRAM PERBAIKAN</t>
  </si>
  <si>
    <t>ANALISA DAYA SERAP</t>
  </si>
  <si>
    <t>: XI TE 1</t>
  </si>
  <si>
    <t xml:space="preserve">Nama Pendidik </t>
  </si>
  <si>
    <t>: 2025/2026</t>
  </si>
  <si>
    <t>TAHUN PELAJARAN   2025 / 2026</t>
  </si>
  <si>
    <t>LAMPIRAN KALENDER PENDIDIKAN TAHUN AJARAN 2025/2026</t>
  </si>
  <si>
    <t>SMK N 3 Yogyakarta</t>
  </si>
  <si>
    <t>JULI 2025</t>
  </si>
  <si>
    <t>JUMÁT</t>
  </si>
  <si>
    <t xml:space="preserve">AGUSTUS 2025 </t>
  </si>
  <si>
    <t>OKTOBER 2025</t>
  </si>
  <si>
    <t>DESEMBER 2025</t>
  </si>
  <si>
    <t>JANUARI 2026</t>
  </si>
  <si>
    <t xml:space="preserve">FEBRUARI 2026 </t>
  </si>
  <si>
    <t>MARET 2026</t>
  </si>
  <si>
    <t xml:space="preserve">  </t>
  </si>
  <si>
    <t xml:space="preserve">MEI 2026 </t>
  </si>
  <si>
    <t>JUNI 2026</t>
  </si>
  <si>
    <t>JULI 2026</t>
  </si>
  <si>
    <t>Kelas XI TE 1</t>
  </si>
  <si>
    <t>3. Jumlah jam mengajar  8  jam</t>
  </si>
  <si>
    <t>:  Sistem Kendali Elektronika</t>
  </si>
  <si>
    <t>: Retna Hadiyati, S.Pd.</t>
  </si>
  <si>
    <t>:  XI TE 1</t>
  </si>
  <si>
    <t>0078276901</t>
  </si>
  <si>
    <t>0067470379</t>
  </si>
  <si>
    <t>0072903809</t>
  </si>
  <si>
    <t>0084404661</t>
  </si>
  <si>
    <t>0073394500</t>
  </si>
  <si>
    <t>0064104410</t>
  </si>
  <si>
    <t>0078004181</t>
  </si>
  <si>
    <t>0066065365</t>
  </si>
  <si>
    <t>0066626041</t>
  </si>
  <si>
    <t>0062007118</t>
  </si>
  <si>
    <t>0066820204</t>
  </si>
  <si>
    <t>0066591367</t>
  </si>
  <si>
    <t>0071608625</t>
  </si>
  <si>
    <t>0065691629</t>
  </si>
  <si>
    <t>0067987027</t>
  </si>
  <si>
    <t>0077874253</t>
  </si>
  <si>
    <t>0071616419</t>
  </si>
  <si>
    <t>0073770606</t>
  </si>
  <si>
    <t>0072152034</t>
  </si>
  <si>
    <t>0063612384</t>
  </si>
  <si>
    <t>0061336114</t>
  </si>
  <si>
    <t>0065994609</t>
  </si>
  <si>
    <t>0073539651</t>
  </si>
  <si>
    <t>0061483080</t>
  </si>
  <si>
    <t>0076936253</t>
  </si>
  <si>
    <t>0063944879</t>
  </si>
  <si>
    <t>0064071630</t>
  </si>
  <si>
    <t>0074330779</t>
  </si>
  <si>
    <t>0066153854</t>
  </si>
  <si>
    <t>0074211582</t>
  </si>
  <si>
    <t>Tgl -/-/-</t>
  </si>
  <si>
    <t>: XI TE</t>
  </si>
  <si>
    <t>Tgl. -/-/-</t>
  </si>
  <si>
    <t>: XI TE 1 / Teknik Elektronika Industri</t>
  </si>
  <si>
    <t>0074211583</t>
  </si>
  <si>
    <t>0074211584</t>
  </si>
  <si>
    <t>0074211585</t>
  </si>
  <si>
    <t>0074211586</t>
  </si>
  <si>
    <t>Abdullah Aniq 'Afaf Musyaffa'</t>
  </si>
  <si>
    <t>Abi Alif Criswara</t>
  </si>
  <si>
    <t>Akas Nurhijrah Wicaksana</t>
  </si>
  <si>
    <t>Alfanda Dewa Candra Priyatna</t>
  </si>
  <si>
    <t>Aliy Haydar Ahmada</t>
  </si>
  <si>
    <t>Alvino Gery Baldi</t>
  </si>
  <si>
    <t>Amri Ahmad</t>
  </si>
  <si>
    <t>Ananda Pratama Haditia Purwantara</t>
  </si>
  <si>
    <t>Anatha Annisa Adnin</t>
  </si>
  <si>
    <t>Annora Gavrila Marsha</t>
  </si>
  <si>
    <t>Arnellandra Rama Aryaraja</t>
  </si>
  <si>
    <t>Athaya Alviano Gibran</t>
  </si>
  <si>
    <t>Attariq Bagas Fernanda</t>
  </si>
  <si>
    <t>Auradisti Javanese Eagle Ashanavi</t>
  </si>
  <si>
    <t>Aziz Ridho Darmawan</t>
  </si>
  <si>
    <t>Bayu Waskita Aji</t>
  </si>
  <si>
    <t>Challysta Tiara Yashinta</t>
  </si>
  <si>
    <t>Cikal Nabila Faidah Dyas</t>
  </si>
  <si>
    <t>Dzaki Dzulhannan Amiruddin</t>
  </si>
  <si>
    <t>Dzulfikri Nakhlah Rafi Wibowo</t>
  </si>
  <si>
    <t>Eka Tarwiyatuz Zahra</t>
  </si>
  <si>
    <t>Farid Dwi Kurniawan</t>
  </si>
  <si>
    <t>Freddy Putra Pratama</t>
  </si>
  <si>
    <t>Gamal Farezi Al Banna</t>
  </si>
  <si>
    <t>Ghaza Fakhri Muntazar</t>
  </si>
  <si>
    <t>0072903810</t>
  </si>
  <si>
    <t>Alan Darmasaputra</t>
  </si>
  <si>
    <t>Albertus Kevin Christian Agung</t>
  </si>
  <si>
    <t>0084404660</t>
  </si>
  <si>
    <t>Braveheart Michael Wanget</t>
  </si>
  <si>
    <t>Deto Imanuel Jacob</t>
  </si>
  <si>
    <t>Dzaky Rahman Nurresna Darmawan</t>
  </si>
  <si>
    <t>Fabian Arya Pratama</t>
  </si>
  <si>
    <t>Faiz Sahlan Tamadhan</t>
  </si>
  <si>
    <t>Fatimah Kimi Ardhika</t>
  </si>
  <si>
    <t>Gerrard Pilar Arkana Gunarto</t>
  </si>
  <si>
    <t>Leonardo Alvaro Rahadyan Henri Saputra</t>
  </si>
  <si>
    <t>Tandya Nadine</t>
  </si>
  <si>
    <t>: 2025 / 2026</t>
  </si>
  <si>
    <t>:  2025 / 2026</t>
  </si>
  <si>
    <t>Taufik Afandi, S.Pd</t>
  </si>
  <si>
    <t>Widada, S.Pd., M.Pd.</t>
  </si>
  <si>
    <t>NIP. 196902122000121002</t>
  </si>
  <si>
    <t>NIP. 197505112006041004</t>
  </si>
  <si>
    <t>TAHUN PELAJARAN 2025/2026</t>
  </si>
  <si>
    <t>2. Jadwal ini mulai berlaku tanggal 14 Juli 2025</t>
  </si>
  <si>
    <t>:  2025   /  2026</t>
  </si>
  <si>
    <t>Yogyakarta,  14 Juli 2025</t>
  </si>
  <si>
    <t>MODUL AJAR</t>
  </si>
  <si>
    <t>PEREKAYASAAN SISTEM ROBOT/SISTEM KENDALI INDUSTRI</t>
  </si>
  <si>
    <t>INFORMASI UMUM</t>
  </si>
  <si>
    <t>Tahun Ajaran</t>
  </si>
  <si>
    <t>2025/2026</t>
  </si>
  <si>
    <t>Jenjang Sekolah</t>
  </si>
  <si>
    <t>Sekolah Menengah Kejuruan</t>
  </si>
  <si>
    <t xml:space="preserve">Fase / Elemen </t>
  </si>
  <si>
    <t xml:space="preserve">F </t>
  </si>
  <si>
    <t xml:space="preserve">Kelas / Semester </t>
  </si>
  <si>
    <t>Guru Pengampu</t>
  </si>
  <si>
    <t xml:space="preserve">Program Keahlian </t>
  </si>
  <si>
    <t>Teknik Elekronika Industri</t>
  </si>
  <si>
    <t>Penyusun</t>
  </si>
  <si>
    <t>Deskripsi/</t>
  </si>
  <si>
    <t>Capaian Kompetensi</t>
  </si>
  <si>
    <t>Kompetensi Awal</t>
  </si>
  <si>
    <t>Profil Pelajar Pancasila</t>
  </si>
  <si>
    <t>Dimensi 1: Beriman, bertaqwa kepada Tuhan Yang Maha Esa</t>
  </si>
  <si>
    <t>Dimensi 2 : Mandiri</t>
  </si>
  <si>
    <t>Dimensi 3 : Berpikir Kritis</t>
  </si>
  <si>
    <t>Sarana dan Prasarana</t>
  </si>
  <si>
    <t>Sarana :</t>
  </si>
  <si>
    <t xml:space="preserve">Prasarana : </t>
  </si>
  <si>
    <t>Target Peserta Didik</t>
  </si>
  <si>
    <t>Metode</t>
  </si>
  <si>
    <t>KOMPONEN INTI</t>
  </si>
  <si>
    <t>Kata Kunci</t>
  </si>
  <si>
    <t>Pengetahuan pra syarat</t>
  </si>
  <si>
    <t>Relay, Logika Dasar</t>
  </si>
  <si>
    <t>LANGKAH PEMBELAJARAN</t>
  </si>
  <si>
    <t>Pertanyaan Pematik</t>
  </si>
  <si>
    <t>Kegiatan Pembuka</t>
  </si>
  <si>
    <t>Waktu</t>
  </si>
  <si>
    <t>Kegiatan Inti</t>
  </si>
  <si>
    <t>Kegiatan Penutup</t>
  </si>
  <si>
    <t>ASESMEN</t>
  </si>
  <si>
    <t>Aspek</t>
  </si>
  <si>
    <t>Jenis</t>
  </si>
  <si>
    <t>Teknik Penilaian</t>
  </si>
  <si>
    <t>Bentuk Penilaian</t>
  </si>
  <si>
    <t>Sikap</t>
  </si>
  <si>
    <t>Formatif</t>
  </si>
  <si>
    <t>Observasi</t>
  </si>
  <si>
    <t>Lembar pengamatan sikap</t>
  </si>
  <si>
    <t>Pengetahuan</t>
  </si>
  <si>
    <t>Tes tertulis</t>
  </si>
  <si>
    <t>Penugasan</t>
  </si>
  <si>
    <t>Ketrampilan</t>
  </si>
  <si>
    <t xml:space="preserve">Observasi </t>
  </si>
  <si>
    <t>Lembar pengamatan unjuk kerja</t>
  </si>
  <si>
    <t>PENGAYAAN DAN REMIDI</t>
  </si>
  <si>
    <t>Pengayaan</t>
  </si>
  <si>
    <t>Remidial</t>
  </si>
  <si>
    <t>REFLEKSI GURU</t>
  </si>
  <si>
    <t>Refleksi</t>
  </si>
  <si>
    <t>Penguasaan Materi</t>
  </si>
  <si>
    <t>Apakah saya sudah memahami cukup baik materi dan aktifitas pembelajaran ini?</t>
  </si>
  <si>
    <t>Penyampaian Materi</t>
  </si>
  <si>
    <t>Apakah materi ini sudah tersampaikan dengan cukup baik kepada peserta didik?</t>
  </si>
  <si>
    <t>Umpan balik</t>
  </si>
  <si>
    <t>Apakah 100% peserta didik telah mencapai penguasaan tujuan pembelajaran yang ingin dicapai?</t>
  </si>
  <si>
    <t xml:space="preserve">Mengetahui </t>
  </si>
  <si>
    <t>45x8x3</t>
  </si>
  <si>
    <t>Software CX-One Programmer</t>
  </si>
  <si>
    <t xml:space="preserve">    </t>
  </si>
  <si>
    <t>PTS</t>
  </si>
  <si>
    <t>PAS/PAT</t>
  </si>
  <si>
    <t>Kelas : XI TE 1</t>
  </si>
  <si>
    <t>Taufiq Afandi, S.Pd</t>
  </si>
  <si>
    <t>: 36</t>
  </si>
  <si>
    <t>: 2025 /2026</t>
  </si>
  <si>
    <t>: XI TE 1 / 3</t>
  </si>
  <si>
    <t>: 14 Agustus 2025</t>
  </si>
  <si>
    <t>: 8</t>
  </si>
  <si>
    <t>36 x 100 %</t>
  </si>
  <si>
    <t>Yogyakarta,  14  Juli 2025</t>
  </si>
  <si>
    <t>Yogyakarta,   14 Juli  2025</t>
  </si>
  <si>
    <t>Tahun Pelajaran :  2025 / 2026</t>
  </si>
  <si>
    <t>Tahun Pelajaran : 2025/2026</t>
  </si>
  <si>
    <t xml:space="preserve">Semester </t>
  </si>
  <si>
    <t>Perbaikan dan pengayaan</t>
  </si>
  <si>
    <t>Pada akhir fase F, Peserta didik mampu Menerapkan Penggunaan Relay Logic pada rangkaian sistem kendali secara mandiri dan tanggungjawab</t>
  </si>
  <si>
    <t xml:space="preserve">                                                              ANALISIS KEBUTUHAN ALAT</t>
  </si>
  <si>
    <t>XI TE 1 / F</t>
  </si>
  <si>
    <t>: XI TE 1 / Teknik Elektronika</t>
  </si>
  <si>
    <t>: 3</t>
  </si>
  <si>
    <t>: Genap</t>
  </si>
  <si>
    <t xml:space="preserve">Libur Akhir Tahun Ajaran 2024/2025  </t>
  </si>
  <si>
    <t xml:space="preserve">1 - 11 Juli 2025 </t>
  </si>
  <si>
    <t>14 Juli 2025</t>
  </si>
  <si>
    <t xml:space="preserve">Hari Pertama Masuk Sekolah Tahun Ajaran Baru 2025/2026  </t>
  </si>
  <si>
    <t xml:space="preserve">14 - 18 Juli 2025 </t>
  </si>
  <si>
    <t>MPLS Tahun Ajaran Baru 2025/2026</t>
  </si>
  <si>
    <t>31 Juli 2025</t>
  </si>
  <si>
    <t xml:space="preserve"> Gelar Budaya SMK N 3 Yogyakarta</t>
  </si>
  <si>
    <t xml:space="preserve"> 4-7 Agustus 2025</t>
  </si>
  <si>
    <t xml:space="preserve">Pelaksanaan Asesmen Nasional </t>
  </si>
  <si>
    <t>SMK N 3 Bersolawat</t>
  </si>
  <si>
    <t>14 Agustus 2025</t>
  </si>
  <si>
    <t xml:space="preserve">17 Agustus 2025 </t>
  </si>
  <si>
    <t>Proklamasi Kemerdekaan</t>
  </si>
  <si>
    <t>Maulid Nabi Muhammad SAW</t>
  </si>
  <si>
    <t>1-9 November 2025</t>
  </si>
  <si>
    <t>Tes Kemampuan Akademik</t>
  </si>
  <si>
    <t>10-21 November 2025</t>
  </si>
  <si>
    <t>Ujian Kompetensi Keahlian Kelas XII (Gelombang 1)</t>
  </si>
  <si>
    <t xml:space="preserve">26-28 November 2025 </t>
  </si>
  <si>
    <t>Ujian Sekolah Kelas XII (Gelombang 1)</t>
  </si>
  <si>
    <t>Hari Guru Nasional</t>
  </si>
  <si>
    <t>1-2 Desember 2025</t>
  </si>
  <si>
    <t>3 - 10 Desember 2025</t>
  </si>
  <si>
    <t>Asasmen Sumatif Akhir Semester 1</t>
  </si>
  <si>
    <t>19 Desember 2025</t>
  </si>
  <si>
    <t>Penerimaan Laporan Hasil Belajar Akhir Semester 1</t>
  </si>
  <si>
    <t xml:space="preserve">22 - 31 Desember 2025 </t>
  </si>
  <si>
    <t>Libur Akhir Semester 1</t>
  </si>
  <si>
    <t xml:space="preserve">25 Desember 2025 </t>
  </si>
  <si>
    <t>Hari Kelahiran Yesus Kristus (Natal)</t>
  </si>
  <si>
    <t>26 Desember 2025</t>
  </si>
  <si>
    <t>Cuti Bersama Kelahiran Yesus Kristus (Natal)</t>
  </si>
  <si>
    <t>Wafat Yesus Kristus (Jumat Agung)</t>
  </si>
  <si>
    <t>Kebangkitan Yesus Kristus (Paskah)</t>
  </si>
  <si>
    <t xml:space="preserve">20-24  April 2026 </t>
  </si>
  <si>
    <t>Ujian Sekolah Kelas XII, Tingkat X Kenah Bakti Pramuka</t>
  </si>
  <si>
    <t xml:space="preserve">7-17 April 2026 </t>
  </si>
  <si>
    <t>Ujian Kompetensi Keahlian Kelas XII (Gelombang 2)</t>
  </si>
  <si>
    <t>1 Mei 2026</t>
  </si>
  <si>
    <t xml:space="preserve">4 Mei 2026 </t>
  </si>
  <si>
    <t>5 Mei 2026</t>
  </si>
  <si>
    <t>14 Mei 2026</t>
  </si>
  <si>
    <t xml:space="preserve">27 Mei 2026 </t>
  </si>
  <si>
    <t>31 Mei 2026</t>
  </si>
  <si>
    <t xml:space="preserve">Hari Waisak 2570  </t>
  </si>
  <si>
    <t>Hari Raya Idul Adha 1447 H</t>
  </si>
  <si>
    <t>Kenaikan Yesus Kristus</t>
  </si>
  <si>
    <t>Penyerahan siswa kelas XII</t>
  </si>
  <si>
    <t>Kelulusan SMK</t>
  </si>
  <si>
    <t>Hari Buruh Nasional</t>
  </si>
  <si>
    <t xml:space="preserve">1 Januari 2026 </t>
  </si>
  <si>
    <t xml:space="preserve">2 Januari 2026 </t>
  </si>
  <si>
    <t xml:space="preserve">16 Januari 2026 </t>
  </si>
  <si>
    <t xml:space="preserve">Isra Mi'raj Nabi Muhammad SAW  </t>
  </si>
  <si>
    <t>Awal Masuk Semester 2</t>
  </si>
  <si>
    <t>Tahun Baru 2026</t>
  </si>
  <si>
    <t>Tahun Baru Imlek 2577</t>
  </si>
  <si>
    <t xml:space="preserve">18 - 19 Februari 2026 </t>
  </si>
  <si>
    <t>Libur Awal Ramadhan 1447 H</t>
  </si>
  <si>
    <t xml:space="preserve">16 - 18 Maret 2026 </t>
  </si>
  <si>
    <t>19 Maret 2026</t>
  </si>
  <si>
    <t xml:space="preserve">23-27 Maret 2026 </t>
  </si>
  <si>
    <t>Libur Hari Raya Idul Fitri 1447 H</t>
  </si>
  <si>
    <t>Hari Raya Idul Fitri 1447 H</t>
  </si>
  <si>
    <t>Hari Suci Nyepi</t>
  </si>
  <si>
    <t>Libur Akhir Ramadhan 1447 H</t>
  </si>
  <si>
    <t xml:space="preserve">1 Juni 2026 </t>
  </si>
  <si>
    <t>8-16 Juni 2026</t>
  </si>
  <si>
    <t xml:space="preserve">17 Juni 2026 </t>
  </si>
  <si>
    <t xml:space="preserve">26 Juni 2026 </t>
  </si>
  <si>
    <t xml:space="preserve">29-30 Juni 2026 </t>
  </si>
  <si>
    <t>Libur Akhir Tahun Ajaran 2025/2026</t>
  </si>
  <si>
    <t>Penerimaan Laporan Hasil Belajar Akhir Tahun</t>
  </si>
  <si>
    <t>Tahun Baru Islam 14448 H</t>
  </si>
  <si>
    <t>Asasmen Sumatif  Akhir Tahun (Kelas X-XI)</t>
  </si>
  <si>
    <t>Hari Lahir Pancasila</t>
  </si>
  <si>
    <t xml:space="preserve">1-10 Juli 2026 </t>
  </si>
  <si>
    <t xml:space="preserve">13 Juli 2026 </t>
  </si>
  <si>
    <t>Hari Pertama Masuk Sekolah Tahun Ajaran Baru 2026/2027</t>
  </si>
  <si>
    <t xml:space="preserve">20-21 Maret 2026 </t>
  </si>
  <si>
    <t>Yogyakarta,  17  Januari  2026</t>
  </si>
  <si>
    <t>Yogyakarta, 17 Januari 2026</t>
  </si>
  <si>
    <t>Peserta didik mampu Menerapkan pemrograman rangkaian kendali PLC secara mandiri dan tanggungjawab</t>
  </si>
  <si>
    <t>Peserta didik mampu menerapkan human- machine interface (HMI) pada rangkaian kendali PLC sebagai alat monitoring secara gotong royong dan tanggungjawab</t>
  </si>
  <si>
    <t xml:space="preserve">Yogyakarta, 17 Januari 2026 </t>
  </si>
  <si>
    <t>Kelas/Semester :  XI TE 1 / 4</t>
  </si>
  <si>
    <t>Semester : 4</t>
  </si>
  <si>
    <t>: Nur Afiani Qonina</t>
  </si>
  <si>
    <t>NIM</t>
  </si>
  <si>
    <t>: 22518241011</t>
  </si>
  <si>
    <t>Nur Afiani Qonina</t>
  </si>
  <si>
    <t>NIM.  22518231011</t>
  </si>
  <si>
    <t>Maryono, S.Pd, M.Pd</t>
  </si>
  <si>
    <t>NIP.  196811011992031003</t>
  </si>
  <si>
    <t>:  Genap</t>
  </si>
  <si>
    <t>Peserta didik mampu menerapkan pemrograman rangkaian kendali PLC secara mandiri dan tanggungjawab</t>
  </si>
  <si>
    <t>NIM. 22518241011</t>
  </si>
  <si>
    <t>:  XI TE 1/Genap</t>
  </si>
  <si>
    <t>Peserta didik dapat menerapkan Penggunaan  Relay Logic pada rangkaian sistem kendali</t>
  </si>
  <si>
    <t>Peserta didik dapat enerapkan Wiring Dan Commissioning Rangkaian Kendali PLC</t>
  </si>
  <si>
    <t>4. Retna Hadiyati, S.Pd.</t>
  </si>
  <si>
    <t>NISN</t>
  </si>
  <si>
    <t>JK</t>
  </si>
  <si>
    <t>Tanggal</t>
  </si>
  <si>
    <t>Pertemuan 1</t>
  </si>
  <si>
    <t>aktivitas 1</t>
  </si>
  <si>
    <t>aktivitas 2</t>
  </si>
  <si>
    <t>aktifitas 3</t>
  </si>
  <si>
    <t>Pertemuan 2</t>
  </si>
  <si>
    <t>aktivitas 3</t>
  </si>
  <si>
    <t>sikap</t>
  </si>
  <si>
    <t>19/1/2026</t>
  </si>
  <si>
    <t>21/1/2026</t>
  </si>
  <si>
    <t>P</t>
  </si>
  <si>
    <t>i</t>
  </si>
  <si>
    <t>P=8,L=28</t>
  </si>
  <si>
    <t>H= 35, i=1</t>
  </si>
  <si>
    <t>Tidak memenuhi 1 kriteria nilai A</t>
  </si>
  <si>
    <t>Tidak memenuhi 2–3 kriteria nilai A</t>
  </si>
  <si>
    <t>Tidak memenuhi ≥4 kriteria nilai A</t>
  </si>
  <si>
    <t>Aktivitas 1 :</t>
  </si>
  <si>
    <t>Aktivitas 2 :</t>
  </si>
  <si>
    <t>Praktik merangkai ditrainer program kendali langsung bergantian dan fungsi timer</t>
  </si>
  <si>
    <t>Aktivitas 3 :</t>
  </si>
  <si>
    <t>Pengumpulan laporan</t>
  </si>
  <si>
    <t xml:space="preserve">Aktivitas 1 : </t>
  </si>
  <si>
    <t>Praktik merangkai ditrainer program kendali berurutan otomatis dan bergantian otomatis</t>
  </si>
  <si>
    <t>Praktik pemprograman kendali langsung bergantian dan fungsi timer</t>
  </si>
  <si>
    <t>H=31, i= 3, S= 2</t>
  </si>
  <si>
    <t>Klasikal, praktikum</t>
  </si>
  <si>
    <t>Jumlah Soal       : 40</t>
  </si>
  <si>
    <t>WKS-1</t>
  </si>
  <si>
    <t>Yogyakarta,   17 Januari 2026</t>
  </si>
  <si>
    <t>Yogyakarta,17 Januari 2026</t>
  </si>
  <si>
    <t>: 2251821011</t>
  </si>
  <si>
    <t>Praktik pemprograman kendali running dan fungsi counter</t>
  </si>
  <si>
    <t>Praktik merangkai ditrainer programkendali running dan fungsi counter</t>
  </si>
  <si>
    <t>Yogyakarta,17 Januari 2025</t>
  </si>
  <si>
    <t xml:space="preserve">NIM.22518241011 </t>
  </si>
  <si>
    <t>Yogyakarta,     17  Januari  2025</t>
  </si>
  <si>
    <t>SMK NEGERI 3 YOGYAKARTA TAHUN PELAJARAN 2025 - 2026</t>
  </si>
  <si>
    <t>16 - 17 Februari 2026</t>
  </si>
  <si>
    <t xml:space="preserve">b. Ulangan  </t>
  </si>
  <si>
    <t>45X32</t>
  </si>
  <si>
    <t>Peserta didik dapat menjabarkan programmable logic controller (PLC)</t>
  </si>
  <si>
    <t>Essay, Uji praktik</t>
  </si>
  <si>
    <t>Pertemuan 3</t>
  </si>
  <si>
    <t>aktifitas 2</t>
  </si>
  <si>
    <t>H= 33, i=1, S=2</t>
  </si>
  <si>
    <t>H=31, i=1, S=4</t>
  </si>
  <si>
    <t>Pertemuan 4</t>
  </si>
  <si>
    <t>Praktik pemprograman Kendali Direct Simultan
(bergantian langsung), dan fungsi timer.</t>
  </si>
  <si>
    <t>Praktik pemprograman Kendali Direct Simultan (bergantian langsung), dan fungsi timer.</t>
  </si>
  <si>
    <t>Praktik merangkai ditrainer program Kendali Direct Simultan (bergantian langsung), dan fungsi timer.</t>
  </si>
  <si>
    <t>Praktik pemprograman kendali langsung bergantian dan fungsi timer, Praktik merangkai ditrainer program kendali langsung bergantian dan fungsi timer, Pengumpulan laporan</t>
  </si>
  <si>
    <t>Praktik pemprograman kendali berurutan otomatis dan bergantian otomatis, Praktik merangkai ditrainer program kendali berurutan otomatis dan bergantian otomatis, Pengumpulan laporan</t>
  </si>
  <si>
    <t>Praktik pemprograman Kendali Direct Simultan (bergantian langsung), dan fungsi timer, Praktik merangkai ditrainer program Kendali Direct Simultan (bergantian langsung), dan fungsi timer.</t>
  </si>
  <si>
    <t>Praktik pemprograman kendali running dan fungsi counter, Praktik merangkai ditrainer programkendali running dan fungsi counter, Pengumpulan laporan</t>
  </si>
  <si>
    <t>XI-TE1</t>
  </si>
  <si>
    <t>06.45-13.50</t>
  </si>
  <si>
    <t>Senin, 19 Januari 2026</t>
  </si>
  <si>
    <t>Rabu, 21 Januari 2026</t>
  </si>
  <si>
    <t>Senin, 2 Februari 2026</t>
  </si>
  <si>
    <t>PERHITUNGAN MINGGU EFEKTIF DAN JAM EFEKTIF BLOK 1</t>
  </si>
  <si>
    <t>Ulangan Harian</t>
  </si>
  <si>
    <t>U</t>
  </si>
  <si>
    <t>45X24</t>
  </si>
  <si>
    <t>45X16</t>
  </si>
  <si>
    <t>45X40</t>
  </si>
  <si>
    <t>45X8X3</t>
  </si>
  <si>
    <t>45X8X2</t>
  </si>
  <si>
    <t>45X8X5</t>
  </si>
  <si>
    <t>45X8 JP</t>
  </si>
  <si>
    <t>Praktik pemprograman Kendali Shift Register 6 Bit dan Kendali Ring Counter 6 bit, Praktik merangkai ditrainer program Kendali Shift Register 6 Bit dan Kendali Ring Counter 6 bit Pengumpulan laporan</t>
  </si>
  <si>
    <t>Praktik pemprograman Kendali Shift Register 6 Bit dan Kendali Ring Counter 6 bit</t>
  </si>
  <si>
    <t>Praktik merangkai ditrainer program Kendali Shift Register 6 Bit dan Kendali Ring Counter 6 bit</t>
  </si>
  <si>
    <r>
      <t xml:space="preserve">Abdullah </t>
    </r>
    <r>
      <rPr>
        <b/>
        <sz val="12"/>
        <color rgb="FF000000"/>
        <rFont val="Times New Roman"/>
        <family val="1"/>
      </rPr>
      <t>Aniq</t>
    </r>
    <r>
      <rPr>
        <sz val="12"/>
        <color rgb="FF000000"/>
        <rFont val="Times New Roman"/>
        <family val="1"/>
      </rPr>
      <t xml:space="preserve"> 'Afaf Musyaffa'</t>
    </r>
  </si>
  <si>
    <r>
      <t xml:space="preserve">Abi </t>
    </r>
    <r>
      <rPr>
        <b/>
        <sz val="12"/>
        <color rgb="FF000000"/>
        <rFont val="Times New Roman"/>
        <family val="1"/>
      </rPr>
      <t>Alif</t>
    </r>
    <r>
      <rPr>
        <sz val="12"/>
        <color rgb="FF000000"/>
        <rFont val="Times New Roman"/>
        <family val="1"/>
      </rPr>
      <t xml:space="preserve"> Criswara</t>
    </r>
  </si>
  <si>
    <r>
      <rPr>
        <b/>
        <sz val="12"/>
        <color theme="1"/>
        <rFont val="Times New Roman"/>
        <family val="1"/>
      </rPr>
      <t>Akas</t>
    </r>
    <r>
      <rPr>
        <sz val="12"/>
        <color theme="1"/>
        <rFont val="Times New Roman"/>
        <family val="1"/>
      </rPr>
      <t xml:space="preserve"> Nurhijrah Wicaksana</t>
    </r>
  </si>
  <si>
    <r>
      <rPr>
        <b/>
        <sz val="12"/>
        <color theme="1"/>
        <rFont val="Times New Roman"/>
        <family val="1"/>
      </rPr>
      <t>Alan</t>
    </r>
    <r>
      <rPr>
        <sz val="12"/>
        <color theme="1"/>
        <rFont val="Times New Roman"/>
        <family val="1"/>
      </rPr>
      <t xml:space="preserve"> Darmasaputra</t>
    </r>
  </si>
  <si>
    <r>
      <t xml:space="preserve">Albertus </t>
    </r>
    <r>
      <rPr>
        <b/>
        <sz val="12"/>
        <color rgb="FF000000"/>
        <rFont val="Times New Roman"/>
        <family val="1"/>
      </rPr>
      <t>Kevin</t>
    </r>
    <r>
      <rPr>
        <sz val="12"/>
        <color rgb="FF000000"/>
        <rFont val="Times New Roman"/>
        <family val="1"/>
      </rPr>
      <t xml:space="preserve"> Christian Agung</t>
    </r>
  </si>
  <si>
    <r>
      <rPr>
        <b/>
        <sz val="12"/>
        <color rgb="FF000000"/>
        <rFont val="Times New Roman"/>
        <family val="1"/>
      </rPr>
      <t>Alfanda</t>
    </r>
    <r>
      <rPr>
        <sz val="12"/>
        <color rgb="FF000000"/>
        <rFont val="Times New Roman"/>
        <family val="1"/>
      </rPr>
      <t xml:space="preserve"> Dewa Candra Priyatna</t>
    </r>
  </si>
  <si>
    <r>
      <t xml:space="preserve">Aliy </t>
    </r>
    <r>
      <rPr>
        <b/>
        <sz val="12"/>
        <color rgb="FF000000"/>
        <rFont val="Times New Roman"/>
        <family val="1"/>
      </rPr>
      <t>Haydar</t>
    </r>
    <r>
      <rPr>
        <sz val="12"/>
        <color rgb="FF000000"/>
        <rFont val="Times New Roman"/>
        <family val="1"/>
      </rPr>
      <t xml:space="preserve"> Ahmada</t>
    </r>
  </si>
  <si>
    <r>
      <rPr>
        <b/>
        <sz val="12"/>
        <color rgb="FF000000"/>
        <rFont val="Times New Roman"/>
        <family val="1"/>
      </rPr>
      <t>Alvino</t>
    </r>
    <r>
      <rPr>
        <sz val="12"/>
        <color rgb="FF000000"/>
        <rFont val="Times New Roman"/>
        <family val="1"/>
      </rPr>
      <t xml:space="preserve"> Gery Baldi</t>
    </r>
  </si>
  <si>
    <r>
      <rPr>
        <b/>
        <sz val="12"/>
        <color rgb="FF000000"/>
        <rFont val="Times New Roman"/>
        <family val="1"/>
      </rPr>
      <t>Amri</t>
    </r>
    <r>
      <rPr>
        <sz val="12"/>
        <color rgb="FF000000"/>
        <rFont val="Times New Roman"/>
        <family val="1"/>
      </rPr>
      <t xml:space="preserve"> Ahmad </t>
    </r>
  </si>
  <si>
    <r>
      <t>Ananda Pratama</t>
    </r>
    <r>
      <rPr>
        <b/>
        <sz val="12"/>
        <color rgb="FF000000"/>
        <rFont val="Times New Roman"/>
        <family val="1"/>
      </rPr>
      <t xml:space="preserve"> Hadi</t>
    </r>
    <r>
      <rPr>
        <sz val="12"/>
        <color rgb="FF000000"/>
        <rFont val="Times New Roman"/>
        <family val="1"/>
      </rPr>
      <t>tia Purwantara</t>
    </r>
  </si>
  <si>
    <r>
      <rPr>
        <b/>
        <sz val="12"/>
        <color rgb="FF000000"/>
        <rFont val="Times New Roman"/>
        <family val="1"/>
      </rPr>
      <t>Anatha</t>
    </r>
    <r>
      <rPr>
        <sz val="12"/>
        <color rgb="FF000000"/>
        <rFont val="Times New Roman"/>
        <family val="1"/>
      </rPr>
      <t xml:space="preserve"> Annisa Adnin</t>
    </r>
  </si>
  <si>
    <r>
      <t xml:space="preserve">Annora Gavrila </t>
    </r>
    <r>
      <rPr>
        <b/>
        <sz val="12"/>
        <color rgb="FF000000"/>
        <rFont val="Times New Roman"/>
        <family val="1"/>
      </rPr>
      <t>Marsha</t>
    </r>
  </si>
  <si>
    <r>
      <t xml:space="preserve">Arnellandra </t>
    </r>
    <r>
      <rPr>
        <b/>
        <sz val="12"/>
        <color rgb="FF000000"/>
        <rFont val="Times New Roman"/>
        <family val="1"/>
      </rPr>
      <t>Rama</t>
    </r>
    <r>
      <rPr>
        <sz val="12"/>
        <color rgb="FF000000"/>
        <rFont val="Times New Roman"/>
        <family val="1"/>
      </rPr>
      <t xml:space="preserve"> Aryaraja</t>
    </r>
  </si>
  <si>
    <r>
      <rPr>
        <b/>
        <sz val="12"/>
        <color rgb="FF000000"/>
        <rFont val="Times New Roman"/>
        <family val="1"/>
      </rPr>
      <t>Athaya</t>
    </r>
    <r>
      <rPr>
        <sz val="12"/>
        <color rgb="FF000000"/>
        <rFont val="Times New Roman"/>
        <family val="1"/>
      </rPr>
      <t xml:space="preserve"> Alviano Gibran</t>
    </r>
  </si>
  <si>
    <r>
      <t xml:space="preserve">Attariq </t>
    </r>
    <r>
      <rPr>
        <b/>
        <sz val="12"/>
        <color rgb="FF000000"/>
        <rFont val="Times New Roman"/>
        <family val="1"/>
      </rPr>
      <t>Bagas</t>
    </r>
    <r>
      <rPr>
        <sz val="12"/>
        <color rgb="FF000000"/>
        <rFont val="Times New Roman"/>
        <family val="1"/>
      </rPr>
      <t xml:space="preserve"> Fernanda</t>
    </r>
  </si>
  <si>
    <r>
      <rPr>
        <b/>
        <sz val="12"/>
        <color rgb="FF000000"/>
        <rFont val="Times New Roman"/>
        <family val="1"/>
      </rPr>
      <t>Aura</t>
    </r>
    <r>
      <rPr>
        <sz val="12"/>
        <color rgb="FF000000"/>
        <rFont val="Times New Roman"/>
        <family val="1"/>
      </rPr>
      <t>disti Javanese Eagle Ashanavi</t>
    </r>
  </si>
  <si>
    <r>
      <rPr>
        <b/>
        <sz val="12"/>
        <color rgb="FF000000"/>
        <rFont val="Times New Roman"/>
        <family val="1"/>
      </rPr>
      <t>Aziz</t>
    </r>
    <r>
      <rPr>
        <sz val="12"/>
        <color rgb="FF000000"/>
        <rFont val="Times New Roman"/>
        <family val="1"/>
      </rPr>
      <t xml:space="preserve"> Ridho Darmawan (Ketua Kelas)</t>
    </r>
  </si>
  <si>
    <r>
      <rPr>
        <b/>
        <sz val="12"/>
        <color rgb="FF000000"/>
        <rFont val="Times New Roman"/>
        <family val="1"/>
      </rPr>
      <t>Bayu</t>
    </r>
    <r>
      <rPr>
        <sz val="12"/>
        <color rgb="FF000000"/>
        <rFont val="Times New Roman"/>
        <family val="1"/>
      </rPr>
      <t xml:space="preserve"> Waskita Aji</t>
    </r>
  </si>
  <si>
    <r>
      <rPr>
        <b/>
        <sz val="12"/>
        <color rgb="FF000000"/>
        <rFont val="Times New Roman"/>
        <family val="1"/>
      </rPr>
      <t>Braveheart</t>
    </r>
    <r>
      <rPr>
        <sz val="12"/>
        <color rgb="FF000000"/>
        <rFont val="Times New Roman"/>
        <family val="1"/>
      </rPr>
      <t xml:space="preserve"> Michael Wanget</t>
    </r>
  </si>
  <si>
    <r>
      <rPr>
        <b/>
        <sz val="12"/>
        <color rgb="FF000000"/>
        <rFont val="Times New Roman"/>
        <family val="1"/>
      </rPr>
      <t>Challysta</t>
    </r>
    <r>
      <rPr>
        <sz val="12"/>
        <color rgb="FF000000"/>
        <rFont val="Times New Roman"/>
        <family val="1"/>
      </rPr>
      <t xml:space="preserve"> Tiara Yashinta</t>
    </r>
  </si>
  <si>
    <r>
      <rPr>
        <b/>
        <sz val="12"/>
        <color rgb="FF000000"/>
        <rFont val="Times New Roman"/>
        <family val="1"/>
      </rPr>
      <t>Cikal</t>
    </r>
    <r>
      <rPr>
        <sz val="12"/>
        <color rgb="FF000000"/>
        <rFont val="Times New Roman"/>
        <family val="1"/>
      </rPr>
      <t xml:space="preserve"> Nabila Faidah Dyas</t>
    </r>
  </si>
  <si>
    <r>
      <rPr>
        <b/>
        <sz val="12"/>
        <color rgb="FF000000"/>
        <rFont val="Times New Roman"/>
        <family val="1"/>
      </rPr>
      <t>Deto</t>
    </r>
    <r>
      <rPr>
        <sz val="12"/>
        <color rgb="FF000000"/>
        <rFont val="Times New Roman"/>
        <family val="1"/>
      </rPr>
      <t xml:space="preserve"> Imanuel Jacob</t>
    </r>
  </si>
  <si>
    <r>
      <rPr>
        <b/>
        <sz val="12"/>
        <color rgb="FF000000"/>
        <rFont val="Times New Roman"/>
        <family val="1"/>
      </rPr>
      <t>Dzaki</t>
    </r>
    <r>
      <rPr>
        <sz val="12"/>
        <color rgb="FF000000"/>
        <rFont val="Times New Roman"/>
        <family val="1"/>
      </rPr>
      <t xml:space="preserve"> Dzulhannan Amiruddin</t>
    </r>
  </si>
  <si>
    <r>
      <rPr>
        <b/>
        <sz val="12"/>
        <color rgb="FF000000"/>
        <rFont val="Times New Roman"/>
        <family val="1"/>
      </rPr>
      <t>Dzaky</t>
    </r>
    <r>
      <rPr>
        <sz val="12"/>
        <color rgb="FF000000"/>
        <rFont val="Times New Roman"/>
        <family val="1"/>
      </rPr>
      <t xml:space="preserve"> Rahman Nurresna Darmawan</t>
    </r>
  </si>
  <si>
    <r>
      <rPr>
        <b/>
        <sz val="12"/>
        <color rgb="FF000000"/>
        <rFont val="Times New Roman"/>
        <family val="1"/>
      </rPr>
      <t>Dzulfikri</t>
    </r>
    <r>
      <rPr>
        <sz val="12"/>
        <color rgb="FF000000"/>
        <rFont val="Times New Roman"/>
        <family val="1"/>
      </rPr>
      <t xml:space="preserve"> Nakhlah Rafi Wibowo</t>
    </r>
  </si>
  <si>
    <r>
      <t xml:space="preserve">Eka Tarwiyatuz </t>
    </r>
    <r>
      <rPr>
        <b/>
        <sz val="12"/>
        <color rgb="FF000000"/>
        <rFont val="Times New Roman"/>
        <family val="1"/>
      </rPr>
      <t>Zahra</t>
    </r>
  </si>
  <si>
    <r>
      <rPr>
        <b/>
        <sz val="12"/>
        <color rgb="FF000000"/>
        <rFont val="Times New Roman"/>
        <family val="1"/>
      </rPr>
      <t>Fabian</t>
    </r>
    <r>
      <rPr>
        <sz val="12"/>
        <color rgb="FF000000"/>
        <rFont val="Times New Roman"/>
        <family val="1"/>
      </rPr>
      <t xml:space="preserve"> Arya Pratama</t>
    </r>
  </si>
  <si>
    <r>
      <rPr>
        <b/>
        <sz val="12"/>
        <color rgb="FF000000"/>
        <rFont val="Times New Roman"/>
        <family val="1"/>
      </rPr>
      <t>Faiz</t>
    </r>
    <r>
      <rPr>
        <sz val="12"/>
        <color rgb="FF000000"/>
        <rFont val="Times New Roman"/>
        <family val="1"/>
      </rPr>
      <t xml:space="preserve"> Sahlan Tamadhan</t>
    </r>
  </si>
  <si>
    <r>
      <rPr>
        <b/>
        <sz val="12"/>
        <color rgb="FF000000"/>
        <rFont val="Times New Roman"/>
        <family val="1"/>
      </rPr>
      <t>Farid</t>
    </r>
    <r>
      <rPr>
        <sz val="12"/>
        <color rgb="FF000000"/>
        <rFont val="Times New Roman"/>
        <family val="1"/>
      </rPr>
      <t xml:space="preserve"> Dwi Kurniawan</t>
    </r>
  </si>
  <si>
    <r>
      <t xml:space="preserve">Fatimah </t>
    </r>
    <r>
      <rPr>
        <b/>
        <sz val="12"/>
        <color rgb="FF000000"/>
        <rFont val="Times New Roman"/>
        <family val="1"/>
      </rPr>
      <t>Kimi</t>
    </r>
    <r>
      <rPr>
        <sz val="12"/>
        <color rgb="FF000000"/>
        <rFont val="Times New Roman"/>
        <family val="1"/>
      </rPr>
      <t xml:space="preserve"> Ardhika</t>
    </r>
  </si>
  <si>
    <r>
      <rPr>
        <b/>
        <sz val="12"/>
        <color rgb="FF000000"/>
        <rFont val="Times New Roman"/>
        <family val="1"/>
      </rPr>
      <t>Freddy</t>
    </r>
    <r>
      <rPr>
        <sz val="12"/>
        <color rgb="FF000000"/>
        <rFont val="Times New Roman"/>
        <family val="1"/>
      </rPr>
      <t xml:space="preserve"> Putra Pratama</t>
    </r>
  </si>
  <si>
    <r>
      <rPr>
        <b/>
        <sz val="12"/>
        <color rgb="FF000000"/>
        <rFont val="Times New Roman"/>
        <family val="1"/>
      </rPr>
      <t>Gamal</t>
    </r>
    <r>
      <rPr>
        <sz val="12"/>
        <color rgb="FF000000"/>
        <rFont val="Times New Roman"/>
        <family val="1"/>
      </rPr>
      <t xml:space="preserve"> Farezi Al Banna</t>
    </r>
  </si>
  <si>
    <r>
      <t xml:space="preserve">Gerrard </t>
    </r>
    <r>
      <rPr>
        <b/>
        <sz val="12"/>
        <color rgb="FF000000"/>
        <rFont val="Times New Roman"/>
        <family val="1"/>
      </rPr>
      <t>Pilar</t>
    </r>
    <r>
      <rPr>
        <sz val="12"/>
        <color rgb="FF000000"/>
        <rFont val="Times New Roman"/>
        <family val="1"/>
      </rPr>
      <t xml:space="preserve"> Arkana Gunarto</t>
    </r>
  </si>
  <si>
    <r>
      <t xml:space="preserve">Ghaza </t>
    </r>
    <r>
      <rPr>
        <b/>
        <sz val="12"/>
        <color rgb="FF000000"/>
        <rFont val="Times New Roman"/>
        <family val="1"/>
      </rPr>
      <t>Fakhri</t>
    </r>
    <r>
      <rPr>
        <sz val="12"/>
        <color rgb="FF000000"/>
        <rFont val="Times New Roman"/>
        <family val="1"/>
      </rPr>
      <t xml:space="preserve"> Muntazar</t>
    </r>
  </si>
  <si>
    <r>
      <rPr>
        <b/>
        <sz val="12"/>
        <color rgb="FF000000"/>
        <rFont val="Times New Roman"/>
        <family val="1"/>
      </rPr>
      <t>Leonardo</t>
    </r>
    <r>
      <rPr>
        <sz val="12"/>
        <color rgb="FF000000"/>
        <rFont val="Times New Roman"/>
        <family val="1"/>
      </rPr>
      <t xml:space="preserve"> Alvaro Rahadyan Henri Saputra</t>
    </r>
  </si>
  <si>
    <r>
      <t xml:space="preserve">Tandya </t>
    </r>
    <r>
      <rPr>
        <b/>
        <sz val="12"/>
        <color rgb="FF000000"/>
        <rFont val="Times New Roman"/>
        <family val="1"/>
      </rPr>
      <t>Nadine</t>
    </r>
  </si>
  <si>
    <t>Pertemuan 5</t>
  </si>
  <si>
    <t>H=31, i=1, S=2</t>
  </si>
  <si>
    <t>Memahami perangkat lunak PLC</t>
  </si>
  <si>
    <t>Pengenalan software pemrograman PLC Omron (CX-Programmer dan fungsinya)</t>
  </si>
  <si>
    <t>Disajikan beberapa nama software, peserta didik dapat mengidentifikasi software yang digunakan untuk memprogram PLC Omron</t>
  </si>
  <si>
    <t>Memahami prosedur pemrograman PLC</t>
  </si>
  <si>
    <t>Langkah-langkah pembuatan project baru pada CX-Programmer</t>
  </si>
  <si>
    <t>Disajikan urutan acak pembuatan program, peserta didik dapat menentukan urutan langkah yang benar</t>
  </si>
  <si>
    <t>Memahami sistem pengalamatan PLC</t>
  </si>
  <si>
    <t>Struktur alamat input dan output PLC Omron CP1E</t>
  </si>
  <si>
    <t>Disajikan beberapa alamat PLC, peserta didik dapat menentukan alamat output yang benar</t>
  </si>
  <si>
    <t>Identifikasi alamat input digital PLC</t>
  </si>
  <si>
    <t>Disajikan beberapa pilihan alamat, peserta didik dapat menentukan alamat input yang benar</t>
  </si>
  <si>
    <t>Memahami instalasi sistem PLC</t>
  </si>
  <si>
    <t>Konsep wiring dan pengkabelan sistem kendali</t>
  </si>
  <si>
    <t>Disajikan beberapa istilah teknis, peserta didik dapat mengidentifikasi kegiatan menghubungkan hardware sesuai desain</t>
  </si>
  <si>
    <t>Memahami instruksi dasar PLC</t>
  </si>
  <si>
    <t>Fungsi instruksi KEEP (latching/self holding)</t>
  </si>
  <si>
    <t>Disajikan beberapa instruksi PLC, peserta didik dapat menentukan instruksi yang berfungsi sebagai pengunci</t>
  </si>
  <si>
    <t>Menganalisis ladder diagram</t>
  </si>
  <si>
    <t>Rangkaian start–stop dengan latch</t>
  </si>
  <si>
    <t>Disajikan gambar ladder, peserta didik dapat menentukan output yang aktif saat tombol ditekan</t>
  </si>
  <si>
    <t>Identifikasi alamat tombol OFF/STOP</t>
  </si>
  <si>
    <t>Disajikan gambar ladder, peserta didik dapat menentukan alamat tombol stop</t>
  </si>
  <si>
    <t>Identifikasi alamat output pada ladder</t>
  </si>
  <si>
    <t>Disajikan simbol dan alamat, peserta didik dapat menentukan alamat output</t>
  </si>
  <si>
    <t>Menganalisis interlock</t>
  </si>
  <si>
    <t>Sistem pengunci/interlock pada ladder</t>
  </si>
  <si>
    <t>Disajikan rangkaian ladder, peserta didik dapat menentukan alamat yang berfungsi sebagai pengunci</t>
  </si>
  <si>
    <t>Memahami fungsi tombol STOP</t>
  </si>
  <si>
    <t>Karakteristik tombol stop pada sistem kendali</t>
  </si>
  <si>
    <t>Disajikan gambar ladder, peserta didik dapat menentukan tombol OFF yang digunakan</t>
  </si>
  <si>
    <t>Memahami simbol kontak</t>
  </si>
  <si>
    <t>Perbedaan kontak NO dan NC</t>
  </si>
  <si>
    <t>Disajikan pilihan jenis kontak, peserta didik dapat menentukan kontak yang digunakan sebagai tombol STOP</t>
  </si>
  <si>
    <t>Memahami timer PLC</t>
  </si>
  <si>
    <t>Setting nilai timer dan interpretasi waktu</t>
  </si>
  <si>
    <t>Disajikan nilai setting timer, peserta didik dapat menentukan waktu kerja yang benar</t>
  </si>
  <si>
    <t>Memahami internal relay</t>
  </si>
  <si>
    <t>Fungsi alamat 200.00 sebagai memory/internal relay</t>
  </si>
  <si>
    <t>Disajikan alamat PLC, peserta didik dapat mengidentifikasi fungsinya dalam program</t>
  </si>
  <si>
    <t>Memahami jenis PLC</t>
  </si>
  <si>
    <t>Identifikasi tipe PLC yang digunakan dalam praktik</t>
  </si>
  <si>
    <t>Disajikan beberapa tipe PLC, peserta didik dapat menentukan tipe yang digunakan</t>
  </si>
  <si>
    <t>Memahami spesifikasi PLC</t>
  </si>
  <si>
    <t>CPU type pada PLC CP1E</t>
  </si>
  <si>
    <t>Disajikan beberapa pilihan CPU, peserta didik dapat menentukan tipe CPU yang digunakan</t>
  </si>
  <si>
    <t>Memahami fungsi counter</t>
  </si>
  <si>
    <t>Konsep counter pada PLC Omron</t>
  </si>
  <si>
    <t>Disajikan beberapa fungsi instruksi, peserta didik dapat menentukan fungsi counter</t>
  </si>
  <si>
    <t>Memahami bahasa pemrograman PLC</t>
  </si>
  <si>
    <t>Ladder Diagram sebagai bahasa pemrograman</t>
  </si>
  <si>
    <t>Disajikan beberapa bahasa pemrograman, peserta didik dapat mengidentifikasi Ladder Diagram</t>
  </si>
  <si>
    <t>Memahami fungsi timer</t>
  </si>
  <si>
    <t>Prinsip kerja timer ON delay</t>
  </si>
  <si>
    <t>Disajikan beberapa fungsi instruksi, peserta didik dapat menentukan fungsi timer</t>
  </si>
  <si>
    <t>Memahami karakteristik timer</t>
  </si>
  <si>
    <t>Satuan waktu default timer Omron</t>
  </si>
  <si>
    <t>Disajikan pilihan satuan waktu, peserta didik dapat menentukan basis waktu timer</t>
  </si>
  <si>
    <t>Memahami instruksi counter</t>
  </si>
  <si>
    <t>Instruksi CNT pada PLC Omron</t>
  </si>
  <si>
    <t>Disajikan beberapa instruksi, peserta didik dapat menentukan instruksi counter</t>
  </si>
  <si>
    <t>Memahami prinsip kerja counter</t>
  </si>
  <si>
    <t>Kondisi aktif counter</t>
  </si>
  <si>
    <t>Disajikan kondisi sistem, peserta didik dapat menentukan kapan counter ON</t>
  </si>
  <si>
    <t>Memahami kontak NO</t>
  </si>
  <si>
    <t>Prinsip kerja Normally Open</t>
  </si>
  <si>
    <t>Disajikan kondisi input, peserta didik dapat menentukan kondisi aktif kontak NO</t>
  </si>
  <si>
    <t>Memahami kontak NC</t>
  </si>
  <si>
    <t>Prinsip kerja Normally Closed</t>
  </si>
  <si>
    <t>Disajikan kondisi input, peserta didik dapat menentukan kondisi aktif kontak NC</t>
  </si>
  <si>
    <t>Menganalisis timer pada ladder</t>
  </si>
  <si>
    <t>Pengaruh T001 terhadap output</t>
  </si>
  <si>
    <t>Disajikan rangkaian ladder, peserta didik dapat menentukan output yang aktif saat timer bekerja</t>
  </si>
  <si>
    <t>Menganalisis sistem sekuensial otomatis</t>
  </si>
  <si>
    <t>Timer berurutan (cascade)</t>
  </si>
  <si>
    <t>Disajikan rangkaian timer, peserta didik dapat menentukan pola kerja timer</t>
  </si>
  <si>
    <t>Menganalisis kondisi output</t>
  </si>
  <si>
    <t>Syarat H0 menyala</t>
  </si>
  <si>
    <t>Disajikan ladder diagram, peserta didik dapat menentukan kondisi output aktif</t>
  </si>
  <si>
    <t>Menganalisis urutan output</t>
  </si>
  <si>
    <t>Hubungan T000 dengan H1</t>
  </si>
  <si>
    <t>Disajikan ladder, peserta didik dapat menentukan output setelah timer selesai</t>
  </si>
  <si>
    <t>Memahami sistem running/sekuensial</t>
  </si>
  <si>
    <t>Pola nyala H0–H5</t>
  </si>
  <si>
    <t>Disajikan rangkaian, peserta didik dapat menentukan pola nyala output</t>
  </si>
  <si>
    <t>Menghitung waktu siklus</t>
  </si>
  <si>
    <t>Perhitungan total waktu kerja timer</t>
  </si>
  <si>
    <t>Disajikan nilai timer, peserta didik dapat menghitung total durasi siklus</t>
  </si>
  <si>
    <t>Memahami kendali sekuensial manual</t>
  </si>
  <si>
    <t>Konsep kerja bertahap manual</t>
  </si>
  <si>
    <t>Disajikan deskripsi sistem, peserta didik dapat menentukan definisi sekuensial manual</t>
  </si>
  <si>
    <t>Perpindahan langkah manual</t>
  </si>
  <si>
    <t>Disajikan sistem bertahap, peserta didik dapat menentukan penggerak langkah</t>
  </si>
  <si>
    <t>Memahami kendali simultan manual</t>
  </si>
  <si>
    <t>Prinsip kerja simultan manual</t>
  </si>
  <si>
    <t>Disajikan deskripsi sistem, peserta didik dapat mengidentifikasi karakteristik simultan manual</t>
  </si>
  <si>
    <t>Memahami kendali direct simultan</t>
  </si>
  <si>
    <t>Hubungan langsung input-output</t>
  </si>
  <si>
    <t>Memahami respon input-output</t>
  </si>
  <si>
    <t>Perilaku output pada direct simultan</t>
  </si>
  <si>
    <t>Fungsi utama instruksi TIM</t>
  </si>
  <si>
    <t>Disajikan pilihan fungsi, peserta didik dapat menentukan fungsi timer</t>
  </si>
  <si>
    <t>Memahami kendali sekuensial otomatis</t>
  </si>
  <si>
    <t>Sistem otomatis berbasis timer</t>
  </si>
  <si>
    <t>Disajikan gambar ladder, peserta didik dapat menentukan prinsip kerja sekuensial otomatis</t>
  </si>
  <si>
    <t>Memahami kendali simultan otomatis</t>
  </si>
  <si>
    <t>Output dikontrol logika otomatis</t>
  </si>
  <si>
    <t>Disajikan sistem, peserta didik dapat menentukan pengendali output</t>
  </si>
  <si>
    <t>Memahami sistem running lamp</t>
  </si>
  <si>
    <t>Running lamp (nyala bergantian)</t>
  </si>
  <si>
    <t>Disajikan deskripsi sistem, peserta didik dapat menentukan karakteristik running lamp</t>
  </si>
  <si>
    <t>Memahami counter 6 bit</t>
  </si>
  <si>
    <t>Prinsip kerja counter 6 bit</t>
  </si>
  <si>
    <t>Disajikan kondisi hitungan, peserta didik dapat menentukan kapan output ke-6 aktif</t>
  </si>
  <si>
    <t>Peserta didik dapat menentukan prinsip direct simultan</t>
  </si>
  <si>
    <t>Peserta didik dapat menentukan kondisi output</t>
  </si>
  <si>
    <t>23/2/2026</t>
  </si>
  <si>
    <t>Pertemuan 6</t>
  </si>
  <si>
    <t>Praktik pemprograman studi kasus traffic light dan mesin pengaduk dua arah</t>
  </si>
  <si>
    <t>Praktik merangkai Praktik pemprograman studi kasus traffic light dan mesin pengaduk dua arah</t>
  </si>
  <si>
    <t>ULANGAN HARIAN</t>
  </si>
  <si>
    <t>H=32,S=4</t>
  </si>
  <si>
    <t>ulangan</t>
  </si>
  <si>
    <t>harian</t>
  </si>
  <si>
    <t>Rapi, sopan santun, disiplin, aktif dalam pembelajaran, menghargai teman/guru, gotong royong, religius, toleransi, menjaga kebersihan, objektif,inovatif</t>
  </si>
  <si>
    <t>Senin, 23 Februari 2026</t>
  </si>
  <si>
    <t>Rabu, 4 Februari 2026</t>
  </si>
  <si>
    <t>10.20-15.20</t>
  </si>
  <si>
    <t>09.35-13.35</t>
  </si>
  <si>
    <t>Rabu, 25 Februari 2026</t>
  </si>
  <si>
    <t>Praktik pemprograman studi kasus traffic light dan mesin pengaduk 2 putaran, Praktik merangkai ditrainer program studi kasus traffic light dan mesin pengaduk 2 putaran . Ulangan Hatian</t>
  </si>
  <si>
    <t>11/5</t>
  </si>
  <si>
    <t>Pada fase F siswa telah telah memahami relay logic, simbol input-output, dan logika dasar NO/NC.</t>
  </si>
  <si>
    <t>Peserta didik reguler, dengan pendampingan khusus bagi yang mengalami kesulitan, dan pengayaan bagi peserta didik yang telah mencapai kompetensi lebih cepat.</t>
  </si>
  <si>
    <t>PLC menggantikan sistem relay konvensional dalam sistem kendali industri. Dengan memahami kendali manual, peserta didik mampu merancang sistem kontrol sederhana sebagai dasar sistem otomatis industri.</t>
  </si>
  <si>
    <t>Mengapa dalam industri modern sistem relay banyak digantikan oleh PLC?</t>
  </si>
  <si>
    <t>Peserta didik menerapkan pemrograman PLC menggunakan CX-One Programmer pada sistem kendali manual.</t>
  </si>
  <si>
    <t xml:space="preserve">Kegiatan Pembelajaran Pertemuan 1 </t>
  </si>
  <si>
    <t>45x6 menit</t>
  </si>
  <si>
    <t xml:space="preserve"> 35x1 menit</t>
  </si>
  <si>
    <t>35x1 menit</t>
  </si>
  <si>
    <t>Sleman, 17 Januari 2026</t>
  </si>
  <si>
    <t>Waka Kesiswaan</t>
  </si>
  <si>
    <t>Ceramah, Diskusi, dan Praktik.</t>
  </si>
  <si>
    <t>Problem Base Learning.</t>
  </si>
  <si>
    <t>Peserta didik menghubungkan kabel jumper dari modul Input (Push Button/Switch) ke terminal Input PLC, dan terminal Output PLC ke beban (Lampu Indikator/Relay) sesuai standar industri.</t>
  </si>
  <si>
    <t>Peserta didik melakukan uji coba (Run/Monitor Mode) secara mandiri dalam kelompok.</t>
  </si>
  <si>
    <t>Jika sistem tidak berjalan sesuai jobsheet, peserta didik harus melakukan troubleshooting (melacak apakah kesalahan ada pada logika program atau koneksi wiring).</t>
  </si>
  <si>
    <t>Penerapan kendali sekuensial manual, simultan, direct simultan</t>
  </si>
  <si>
    <t>Sumatif  Praktik</t>
  </si>
  <si>
    <t>Peserta didik yang selesai lebih awal ditantang untuk menyederhanakan ladder diagram mereka atau menambahkan fitur Emergency Stop pada sistem kendali tersebut.</t>
  </si>
  <si>
    <t>Mengidentifikasi  simbol input-output serta fungsi kontak NO dan NC pada rangkaian kendali manual dengan tepat.</t>
  </si>
  <si>
    <t xml:space="preserve">Membuat program kendali sekuensial manual, simultan manual, dan direct simultan pada ladder diagram sesuai jobsheet dengan benar. </t>
  </si>
  <si>
    <t>Menganalisis perbedaan karakteristik kendali sekuensial dan simultan berdasarkan hasil pengujian sistem pada PLC Trainer secara logis dan tepat.</t>
  </si>
  <si>
    <t>Memperbaiki kesalahan logika atau wiring pada sistem kendali manual sesuai prosedur kerja industri dengan tingkat keberhasilan minimal 80%.</t>
  </si>
  <si>
    <t>Guru meminta ketua kelas/danton memimpin doa dengan adat ketarunaan.</t>
  </si>
  <si>
    <t>Guru mengabsen, mengecek kerapian berpakaian, dan kebersihan kelas.</t>
  </si>
  <si>
    <t>Guru memberikan pertanyaan arahan (Guide Questions) :</t>
  </si>
  <si>
    <t xml:space="preserve">             </t>
  </si>
  <si>
    <t>Mengapa dalam industri modern, urutan mesin (sekuensial) sangat bergantung pada akurasi program PLC?</t>
  </si>
  <si>
    <t>a</t>
  </si>
  <si>
    <t>Siswa melaksanakan yel-yel penyemangat di awal pelajaran.</t>
  </si>
  <si>
    <t>Guru menyampaikan penjelasan tentang tujuan pembelajaran yang akan dicapai.</t>
  </si>
  <si>
    <t>Guru memberi motivasi kepada peserta didik</t>
  </si>
  <si>
    <t>Ketua kelas/donton memimpin salam kepada guru yang masuk kelas dengan sikap berdiri dan tertib, dengan adat ketarunaan.</t>
  </si>
  <si>
    <t>Guru memberikan penjelasan tentang tahapan kegiatan pembelajaran.</t>
  </si>
  <si>
    <t>Guru melakukan apersepsi.</t>
  </si>
  <si>
    <t>Stimulation / Pemberian Rangsangan</t>
  </si>
  <si>
    <t>Guru mendemonstrasikan secara singkat perbedaan operasional mesin sekuensial (berurutan) dan simultan (bersamaan) kepada peserta didik:</t>
  </si>
  <si>
    <t xml:space="preserve">Peserta didik mendengarkan kalimat yang diutarakan oleh guru. </t>
  </si>
  <si>
    <t>Peserta didik  diminta memberikan tanggapan dan pendapat terhadap kalimat yang diutarakan.</t>
  </si>
  <si>
    <t>Peserta didik diberikan kesempatan untuk menetapkan permasalahan dalam bentuk pertanyaan yang berhubungan dengan kalimat yang diutarakan.</t>
  </si>
  <si>
    <t>Guru membagikan Jobsheet Praktik yang berisi deskripsi masalah operasional mesin yang harus diselesaikan oleh peserta didik.</t>
  </si>
  <si>
    <t>Guru menugaskan peserta didik agar membentuk kelompok sebanyak 6 orang.</t>
  </si>
  <si>
    <t xml:space="preserve">Guru membagikan lembar kerja dan kertas gambar secara berkelompok yang berisi permasalahan yang ditetapkan dalam pertanyaan-pertanyaan yang diajukan dan tugas membuat </t>
  </si>
  <si>
    <t xml:space="preserve">Peserta didik (dalam kelompok) membaca dan mengamati aktivitas pembelajaran yang diberikan. </t>
  </si>
  <si>
    <t xml:space="preserve">Guru bertanya secara acak pada peserta didik </t>
  </si>
  <si>
    <t>Peserta didik menjawab pertanyaan guru</t>
  </si>
  <si>
    <t xml:space="preserve"> Guru memberikan kesempatan peserta didik bertanya dengan menanyakan bagian yang belum dipahami.</t>
  </si>
  <si>
    <t>Peserta didik bertanya tentang bagian yang belum dipahami.</t>
  </si>
  <si>
    <t>Komputer / Laptop</t>
  </si>
  <si>
    <t>LCD Proyektor</t>
  </si>
  <si>
    <t>PLC Trainer</t>
  </si>
  <si>
    <t>Jobsheet Praktik</t>
  </si>
  <si>
    <t>Kabel Jumper</t>
  </si>
  <si>
    <t>Akses internet</t>
  </si>
  <si>
    <t>Setelah mengikuti pembelajaran sistem kendali PLC menggunakan software CX-One Programmer dan PLC Trainer , siswa  mampu:</t>
  </si>
  <si>
    <t>c</t>
  </si>
  <si>
    <t>d</t>
  </si>
  <si>
    <t>b</t>
  </si>
  <si>
    <t>Problem Statement (Identifikasi Masalah)</t>
  </si>
  <si>
    <t>Peserta didik membaca jobsheet dan mengidentifikasi jumlah Input/Output yang dibutuhkan.</t>
  </si>
  <si>
    <t>Peserta didik merumuskan tabel pengalamatan (I/O Addressing) sebelum mulai memprogram.</t>
  </si>
  <si>
    <t>Guru memastikan setiap anggota memahami tugas masing-masing kelompok</t>
  </si>
  <si>
    <t>Data collection (Pengumpulan Data)</t>
  </si>
  <si>
    <t>Peserta didik mengerjakan tugas dalam lembar kerja siswa</t>
  </si>
  <si>
    <t>Secara berkelompok, peserta didik berdiskusi merancang draft ladder diagram di kertas kerja berdasarkan tabel pengalamatan.</t>
  </si>
  <si>
    <t>Mencari referensi dari e-book atau internet jika mengalami kebingungan terkait instruksi Keep/Set-Reset atau pengunci (interlock).</t>
  </si>
  <si>
    <t>Guru memantau keterlibatan peserta didik selama pengerjaan masalah (penyelidikan)</t>
  </si>
  <si>
    <t>Data processing (Pengolahan Data)</t>
  </si>
  <si>
    <t>Peserta didik berdiskusi dalam kelompok mengolah hasil yang diperoleh dari berbagai sumber guna penyelesaiian permasalahan menggunakan CX-One Programmer dengan menerapkan bahasa pemrograman</t>
  </si>
  <si>
    <t>Peserta didik  mencatat hasil pengamatan dan mendokumentasikan hasil praktik</t>
  </si>
  <si>
    <t xml:space="preserve">E </t>
  </si>
  <si>
    <t>Verification (Pembuktian)</t>
  </si>
  <si>
    <t>F</t>
  </si>
  <si>
    <t>Generalization (Menarik Kesimpulan)</t>
  </si>
  <si>
    <t>Guru menugaskan peserta didik untuk menyajikan kesimpulan berkaitan penerapan bahasa pemrograman rangkaian kendali PLC</t>
  </si>
  <si>
    <t>Peserta didik dengan bimbingan guru menarik kesimpulan tentang :</t>
  </si>
  <si>
    <t>Guru memilih kelompok secara acak untuk mempresentasikan data penyelesaian permasalahan menggunakan CX-One Programmer dengan penerapan bahasa pemrograman</t>
  </si>
  <si>
    <t>Peserta didik lainnya memberikan tanggapan tentang presentasi yang dilakukan</t>
  </si>
  <si>
    <t>Guru memberikan penguatan teknis dan menyamakan persepsi dengan siswa.</t>
  </si>
  <si>
    <t>Apabila waktu selesai KBM tiba watu sholat dhuhur/asar, murid diminta untuk melanjutkan ibadah sholat dhuhur/asar.</t>
  </si>
  <si>
    <t>Guru dan siswa menyimpulkan perbedaan esensial dari pemrograman sekuensial dan simultan.</t>
  </si>
  <si>
    <t>Siswa merapikan kembali kabel jumper, mematikan komputer, memutus aliran listrik PLC Trainer, dan mengembalikan semua alat pada tempatnya.</t>
  </si>
  <si>
    <t>Guru dan siswa melaksanakan piket membersihkan ruangan kelas/bengkel dan mematikan lampu dan AC di ruangan kelas dan mengoffkan panel listrik.</t>
  </si>
  <si>
    <t>Ketua kelas/ danton memimpin salam penutup kepada guru, sesuai adat ketarunaan.</t>
  </si>
  <si>
    <t>Siswa menyanyikan lagu terima kasih kepada guru, sesuai adat ketarunaan.</t>
  </si>
  <si>
    <t>Guru menutup pembelajaran dan memberi salam penutup.</t>
  </si>
  <si>
    <t xml:space="preserve"> Peserta didik mengidentifikasi masalah-masalah yang berkaitan dengan yang terdapat di lembar kerja siswa</t>
  </si>
  <si>
    <r>
      <t xml:space="preserve">Kendali Sekuensial, Simultan, Ladder Diagram, CX-One, </t>
    </r>
    <r>
      <rPr>
        <i/>
        <sz val="11"/>
        <color theme="1"/>
        <rFont val="Times New Roman"/>
        <family val="1"/>
      </rPr>
      <t>Wiring</t>
    </r>
    <r>
      <rPr>
        <sz val="11"/>
        <color theme="1"/>
        <rFont val="Times New Roman"/>
        <family val="1"/>
      </rPr>
      <t xml:space="preserve"> I/O PLC.</t>
    </r>
  </si>
  <si>
    <t>Peserta didik memahami kembali materi wiring dan communication PLC rangkaian kendali PLC dengan mencoba mengerjakan kembali secara mandiri lembar kerja siswa, kemudian mengirimkan tugas dipertemuan selanjutnya.</t>
  </si>
  <si>
    <t>(..........................................)                                         (.........................................)</t>
  </si>
  <si>
    <t>Maryono, S.Pd, M.Pd                                                              Nur Afiani Qonina</t>
  </si>
  <si>
    <t>NIP.  196811011992031003                                                     NIM. 22518241011</t>
  </si>
  <si>
    <t>45x8x1</t>
  </si>
  <si>
    <t>Pertemuan ini merupakan sesi evaluasi sumatif. Peserta didik melakukan kilas balik (review) seluruh instruksi dasar dan lanjutan PLC, kemudian mengikuti Ulangan Harian yang mencakup ujian teori (tertulis) dan ujian unjuk kerja (praktik programming &amp; wiring mandiri).</t>
  </si>
  <si>
    <t>Peserta didik telah menyelesaikan seluruh rangkaian Jobsheet 1 hingga 12 (Kendali Manual, Sekuensial, Simultan, Timer, Counter, SFT, dan Interlock).</t>
  </si>
  <si>
    <t>Dimensi 4 : Integritas</t>
  </si>
  <si>
    <t>Lembar soal ulangan teori dan praktik</t>
  </si>
  <si>
    <t>Review &amp; Assessment (Evaluasi Pembelajaran).</t>
  </si>
  <si>
    <t>Reguler</t>
  </si>
  <si>
    <t>Ujian Tertulis, dan Ujian Praktik Individu, Diskusi Klasikal (Sesi Review).</t>
  </si>
  <si>
    <t>Mengingat kembali fungsi, pengalamatan (I/O Addressing), serta logika dasar instruksi PLC Omron (NO/NC, Keep, Timer, Counter, Shift Register, dan Interlock) dengan tepat.</t>
  </si>
  <si>
    <t>Mendemonstrasikan keterampilan merancang ladder diagram, mentransfer program, dan melakukan wiring perangkat kelistrikan I/O pada PLC Trainer secara mandiri (tanpa panduan jobsheet) dalam batasan waktu tertentu pada Ulangan Praktik dengan benar.</t>
  </si>
  <si>
    <t>Membuktikan kompetensi pemahaman teori melalui pengerjaan soal Ulangan Tertulis dengan nilai minimal melampaui Kriteria Ketercapaian Tujuan Pembelajaran (KKTP).</t>
  </si>
  <si>
    <t>Review, Evaluasi Sumatif, Ulangan Teori PLC, Ulangan Praktik PLC.</t>
  </si>
  <si>
    <t>Memahami Kendali Sekuensial (berurutan) Manual, Kendali Simultan (bergantian) Manual, Kendali Direct Simultan (bergantian langsung), Fungsi Timer, Kendali Sekuensial Otomatis, Kendali Simultan otomatis, Kendali RUNING, Fungsi Counter, Kendali Shift Register 6 Bit, Kendali Ring Counter 6 bit, Kendali Traffic Light Simpang 4, dan Kendali Mesin Penganduk.</t>
  </si>
  <si>
    <t>Evaluasi bukan hanya sekadar untuk mendapatkan nilai, melainkan simulasi tanggung jawab nyata di dunia industri. Seorang teknisi otomasi harus mampu mengidentifikasi masalah, merancang program secara mandiri, dan melakukan instalasi kabel dengan aman tanpa selalu bergantung pada buku panduan.</t>
  </si>
  <si>
    <t>"Hari ini adalah pembuktian sejauh mana kalian menyerap materi dari 4 pertemuan sebelumnya. Teknisi yang handal terbentuk dari pemahaman teori yang kuat dan jam terbang praktik yang tinggi"</t>
  </si>
  <si>
    <t>Guru memproyeksikan kembali beberapa cuplikan ladder diagram dari Jobsheet 1-12 yang sering terjadi kesalahan (misalnya: reset counter, interlock motor 2 arah, atau penggunaan timer berantai).</t>
  </si>
  <si>
    <t>Guru memancing siswa dengan troubleshooting bayangan: "Jika rangkaian lampu lalu lintas berhenti di warna kuning dan tidak mau berulang, bagian mana yang pertama kali kalian cek?"</t>
  </si>
  <si>
    <t>Siswa diberikan kesempatan untuk bertanya mengenai materi atau instruksi CX-One yang masih membingungkan sebelum ujian dimulai.</t>
  </si>
  <si>
    <t>Review Klasikal &amp; Tanya Jawab</t>
  </si>
  <si>
    <t>Pemanasan Praktik Mandiri / Free Trial</t>
  </si>
  <si>
    <t>Siswa diizinkan berkelompok menuju PLC Trainer untuk mencoba ulang rangkaian atau instruksi yang menurut mereka paling sulit (misalnya Shift Register atau Mesin Pengaduk).</t>
  </si>
  <si>
    <t>Guru berkeliling hanya sebagai fasilitator pemantau, tidak lagi memberikan jawaban langsung, melainkan mengarahkan siswa untuk berpikir logis.</t>
  </si>
  <si>
    <t>Ulangan Praktik / Unjuk Kerja Mandiri</t>
  </si>
  <si>
    <t>Guru membersihkan meja kerja. Siswa menyiapkan software CX-One dalam kondisi kosong.</t>
  </si>
  <si>
    <t>Setiap siswa/kelompok kecil mengambil undian kasus secara acak (Misal: Kasus A - Kendali Sekuensial Otomatis 3 Motor, Kasus B - Kendali Ring Counter, Kasus C - Mesin Pengaduk Berbasis Counter, dll). Tidak ada Jobsheet panduan langkah kerja yang dibagikan.</t>
  </si>
  <si>
    <t>Siswa membuat pengalamatan (I/O) dan menggambar logika program di lembar jawaban.</t>
  </si>
  <si>
    <t>Ulangan Teori / Tertulis</t>
  </si>
  <si>
    <r>
      <t xml:space="preserve">Siswa mengetik program di </t>
    </r>
    <r>
      <rPr>
        <i/>
        <sz val="11"/>
        <color theme="1"/>
        <rFont val="Times New Roman"/>
        <family val="1"/>
      </rPr>
      <t>CX-One</t>
    </r>
    <r>
      <rPr>
        <sz val="11"/>
        <color theme="1"/>
        <rFont val="Times New Roman"/>
        <family val="1"/>
      </rPr>
      <t xml:space="preserve"> dan mentransfernya ke PLC</t>
    </r>
  </si>
  <si>
    <r>
      <t xml:space="preserve">Siswa melakukan </t>
    </r>
    <r>
      <rPr>
        <i/>
        <sz val="11"/>
        <color theme="1"/>
        <rFont val="Times New Roman"/>
        <family val="1"/>
      </rPr>
      <t>wiring</t>
    </r>
    <r>
      <rPr>
        <sz val="11"/>
        <color theme="1"/>
        <rFont val="Times New Roman"/>
        <family val="1"/>
      </rPr>
      <t xml:space="preserve"> sesuai undian kasus yang didapat dengan pengawasan ketat guru (K3 Kelistrikan).</t>
    </r>
  </si>
  <si>
    <r>
      <t xml:space="preserve">Guru mendatangi setiap </t>
    </r>
    <r>
      <rPr>
        <i/>
        <sz val="11"/>
        <color theme="1"/>
        <rFont val="Times New Roman"/>
        <family val="1"/>
      </rPr>
      <t>trainer</t>
    </r>
    <r>
      <rPr>
        <sz val="11"/>
        <color theme="1"/>
        <rFont val="Times New Roman"/>
        <family val="1"/>
      </rPr>
      <t xml:space="preserve">, meminta siswa melakukan </t>
    </r>
    <r>
      <rPr>
        <i/>
        <sz val="11"/>
        <color theme="1"/>
        <rFont val="Times New Roman"/>
        <family val="1"/>
      </rPr>
      <t>Running Test</t>
    </r>
    <r>
      <rPr>
        <sz val="11"/>
        <color theme="1"/>
        <rFont val="Times New Roman"/>
        <family val="1"/>
      </rPr>
      <t>, dan mengajukan 1-2 pertanyaan konfirmasi (tes lisan) terkait logika yang mereka buat.</t>
    </r>
  </si>
  <si>
    <t>Siswa kembali ke tempat duduk masing-masing dengan posisi ujian (menjaga jarak/tidak berdiskusi).</t>
  </si>
  <si>
    <t>Guru membagikan lembar soal Ulangan Harian (berisi soal Pilihan Ganda/Essay mengenai pengalamatan Omron, fungsi kontak NO/NC, membaca timing diagram, dan analisa ladder diagram sederhana).</t>
  </si>
  <si>
    <t>Siswa mengumpulkan lembar jawaban setelah waktu habis.</t>
  </si>
  <si>
    <t>Guru memberikan ulasan umum terhadap pelaksanaan ujian hari ini. Menyebutkan apresiasi bagi siswa yang berhasil running tanpa kendala, dan memotivasi yang masih mengalami error.</t>
  </si>
  <si>
    <t>Sumatif teori</t>
  </si>
  <si>
    <t>Peserta didik yang meraih nilai sempurna (100) pada praktik dan teori akan ditugaskan menjadi calon peserta LKS bidang industrial control mewakili sekolah.</t>
  </si>
  <si>
    <t>Bagi siswa yang nilai unjuk kerja atau teorinya di bawah KKM/KKTP, wajib mengikuti ujian perbaikan (remedial) di luar jam pelajaran dengan kasus jobsheet yang berbeda, dengan penekanan pada pemahaman dasar yang salah saat ujian reguler.</t>
  </si>
  <si>
    <t>Berapa persentase siswa yang tuntas KKM pada ujian praktik mandiri tanpa panduan tertulis (jobsheet)?</t>
  </si>
  <si>
    <t>Apakah alokasi waktu 150 menit cukup adil bagi siswa untuk merancang logika, mengetik program, dan merangkai wiring?</t>
  </si>
  <si>
    <t>Soal bagian mana pada ujian tertulis yang paling banyak dijawab salah oleh siswa? Hal ini akan menjadi bahan evaluasi metode pengajaran sebelumnya.</t>
  </si>
  <si>
    <t>Peserta didik menerapkan instruksi Timer pada pemrograman PLC menggunakan CX-One Programmer untuk merancang dan merangkai sistem kendali sekuensial otomatis dan simultan otomatis.</t>
  </si>
  <si>
    <t>Pada Pertemuan 1, siswa telah mampu membuat program dan melakukan wiring untuk sistem kendali manual (sekuensial dan simultan).</t>
  </si>
  <si>
    <t>Menjelaskan fungsi, parameter (seperti Set Value), dan cara kerja instruksi Timer (TIM) pada PLC Omron dengan tepat.</t>
  </si>
  <si>
    <t>Membuat program ladder diagram untuk menyelesaikan Jobsheet 4 (Fungsi Timer dasar), Jobsheet 5 (Kendali Sekuensial Otomatis), dan Jobsheet 6 (Kendali Simultan Otomatis) secara logis dan benar.</t>
  </si>
  <si>
    <t>Merangkai (wiring) perangkat I/O pada PLC Trainer yang diintegrasikan dengan logika pewaktuan otomatis secara aman dan sesuai standar industri.</t>
  </si>
  <si>
    <t>Menganalisis dan melakukan troubleshooting (pelacakan masalah) apabila terjadi ketidaksesuaian durasi waktu atau urutan operasi pada sistem kendali otomatis.</t>
  </si>
  <si>
    <t>Timer (TIM), Kendali Otomatis, Sekuensial Otomatis, Simultan Otomatis, PLC.</t>
  </si>
  <si>
    <t>Instruksi pewaktuan (Timer) adalah kunci utama transisi dari mesin manual menjadi mesin otomatis. Dengan menguasai Timer, peserta didik dapat merancang siklus mesin industri yang dapat bekerja mandiri tanpa harus ditekan tombolnya berulang kali oleh operator manusia.</t>
  </si>
  <si>
    <t>Pada pertemuan lalu, kita harus menekan tombol satu per satu agar mesin menyala bergantian. Bagaimana caranya agar setelah tombol 'Start' ditekan, mesin 1, mesin 2, dan mesin 3 menyala berurutan secara otomatis dengan jeda 5 detik?"</t>
  </si>
  <si>
    <t>Guru mendemonstrasikan secara singkat format penulisan instruksi Timer pada CX-One (misal: TIM 0000 #0050 untuk 5 detik). kepada peserta didik:</t>
  </si>
  <si>
    <t>Guru memberikan kesempatan peserta didik bertanya dengan menanyakan bagian yang belum dipahami.</t>
  </si>
  <si>
    <t>Peserta didik mengidentifikasi masalah-masalah yang berkaitan dengan yang terdapat di lembar kerja siswa</t>
  </si>
  <si>
    <t>Peserta didik mencari referensi (dari modul digital, e-book, atau internet) tentang cara memicu (trigger) Timer agar berulang (looping) atau cara mereset Timer menggunakan kontak NC dari Timer itu sendiri.</t>
  </si>
  <si>
    <t>Peserta didik menerjemahkan rancangan ke dalam CX-One Programmer secara berurutan mulai dari Jobsheet 4 hingga Jobsheet 6.</t>
  </si>
  <si>
    <t>Peserta didik melakukan perangkaian input (PB Start, PB Stop) dan output (Lampu Indikator 1, 2, 3) di PLC Trainer. Mengingat rangkaian I/O tidak banyak berubah dari minggu lalu, fokus utama ditekankan pada modifikasi logika program.</t>
  </si>
  <si>
    <t>Peserta didik memverifikasi apakah lampu menyala sesuai durasi (Set Value) dan memonitor perpindahan kontak pada layar CX-One secara real-time.</t>
  </si>
  <si>
    <t>Penerapan timer, program sekuensial otomatis dan simultan otomatis.</t>
  </si>
  <si>
    <t>Guru dan siswa menyimpulkan perbedaan esensial dari pemrograman sekuensial dan simultan otomatis.</t>
  </si>
  <si>
    <t>Peserta didik yang berhasil menuntaskan 3 jobsheet lebih awal diberikan tantangan untuk membuat sistem lampu lalu lintas (Traffic Light) sederhana 3 warna menggunakan Timer berantai (cascading timers).</t>
  </si>
  <si>
    <t>Bagi siswa yang logika timernya belum berfungsi, diinstruksikan mengulang simulasi CX-Designer atau Simulator internal PC (tanpa di-download ke hardware) agar fokus memahami pergerakan arus logikanya terlebih dahulu.</t>
  </si>
  <si>
    <t>MODUL AJAR PERTEMUAN 2</t>
  </si>
  <si>
    <t>MODUL AJAR PERTEMUAN 5</t>
  </si>
  <si>
    <t>Peserta didik menerapkan instruksi logika siklus berkelanjutan (Running) dan instruksi Counter (Pencacah) pada pemrograman PLC menggunakan CX-One Programmer, serta mengaplikasikannya pada perangkat keras PLC Trainer.</t>
  </si>
  <si>
    <t>Pada pertemuan 2, siswa telah memahami dan menguasai pemrograman logika dasar, pengunci (interlock), dan pewaktuan (Timer).</t>
  </si>
  <si>
    <t>Menjelaskan fungsi, parameter (Set Value), dan perbedaan prinsip kerja instruksi Counter (CNT) dengan Timer (TIM) pada PLC Omron dengan tepat.</t>
  </si>
  <si>
    <t>Membuat program ladder diagram untuk menyelesaikan Jobsheet 7 (Kendali Running / Siklus Berkelanjutan) dan Jobsheet 8 (Kendali dengan Fungsi Counter) secara presisi.</t>
  </si>
  <si>
    <t>Merangkai (wiring) perangkat I/O pada PLC Trainer yang mengintegrasikan tombol Reset fisik untuk mengembalikan nilai Counter sesuai standar industri.</t>
  </si>
  <si>
    <t>Menganalisis dan melakukan troubleshooting apabila terjadi kegagalan siklus running atau Counter yang tidak mereset nilai cacahannya dengan benar.</t>
  </si>
  <si>
    <t>Kendali Running, Siklus Berkelanjutan, Counter (CNT), Pencacah, Reset, PLC.</t>
  </si>
  <si>
    <t>Dalam dunia industri, mesin tidak hanya bekerja berdasarkan waktu (Timer), tetapi juga jumlah produksi (Counter). Misalnya, mesin pengepakan otomatis akan berhenti jika jumlah barang dalam kardus sudah mencapai 12 buah (1 lusin). Pemahaman Counter sangat krusial untuk otomasi penghitungan output produksi.</t>
  </si>
  <si>
    <t>Jika sebuah ban berjalan (conveyor) harus berhenti secara otomatis setelah 10 botol terisi, bagaimana PLC mengetahui bahwa botol ke-10 sudah lewat tanpa menggunakan Timer?</t>
  </si>
  <si>
    <t>Guru mendemonstrasikan dan menjelaskan penulisan instruksi Counter pada CX-One, yang membutuhkan 2 input: Count Input (CP) untuk menghitung, dan Reset Input (R) untuk mengembalikan nilai. (Contoh: CNT 0000 #0010). kepada peserta didik:</t>
  </si>
  <si>
    <t>Guru membagikan Jobsheet 7 dan Jobsheet 8 kepada setiap kelompok.</t>
  </si>
  <si>
    <t>Peserta didik mengeksplorasi referensi/modul untuk mencari tahu cara merangkai Timer berantai agar membentuk siklus kendali running, serta bagaimana meletakkan instruksi Counter untuk menghitung siklus tersebut.</t>
  </si>
  <si>
    <t>Guru memantau setiap meja untuk mengarahkan diskusi jika ada siswa yang tertukar fungsi Reset Timer dan Reset Counter.</t>
  </si>
  <si>
    <t>Peserta didik merakit logika di layar komputer (CX-One) secara bergantian dalam kelompok. Mulai dari merangkai logika siklus (Running) di Jobsheet 7, lalu meng- upgrade program tersebut dengan Counter di Jobsheet 8.</t>
  </si>
  <si>
    <t>Peserta didik memasang kabel instalasi antara Push Button, Limit Switch (sebagai simulator sensor penghitung), dan Lampu Indikator ke modul PLC.</t>
  </si>
  <si>
    <t>Mereka memverifikasi apakah lampu menyala sesuai durasi (Set Value) dan memonitor perpindahan kontak pada layar CX-One secara real-time.</t>
  </si>
  <si>
    <t>Peserta didik lainnya memberikan tanggapan tentang presentasi yang dilakukan.</t>
  </si>
  <si>
    <t>Penerapan kendali running dan fungsi counter.</t>
  </si>
  <si>
    <t>Guru mengajak siswa merenungkan esensi praktik hari ini; memahami bahwa penggabungan Timer dan Counter merupakan gerbang utama otomasi industri.</t>
  </si>
  <si>
    <t>Peserta didik yang dinilai lebih cepat tanggap ditugaskan menggabungkan Jobsheet 7 dan 8 sepenuhnya: "Buat sistem 3 lampu menyala bergantian (running). Setelah siklus berjalan tepat 3 kali, sistem otomatis berhenti, sebuah Buzzer/Lampu ke-4 menyala.</t>
  </si>
  <si>
    <t>Siswa yang masih keliru menempatkan pin Reset pada rangkaian Counter diminta untuk menggambar ulang khusus blok Counter pada kertas sebelum diizinkan menyentuh software.</t>
  </si>
  <si>
    <t>MODUL AJAR PERTEMUAN 3</t>
  </si>
  <si>
    <t>Peserta didik menerapkan instruksi lanjutan PLC (Shift Register/SFT) dan merancang sistem kendali aplikatif industri (Lampu Lalu Lintas dan Mesin Pengaduk/Motor 2 Arah) menggunakan software CX-One dan PLC Trainer.</t>
  </si>
  <si>
    <t>Siswa telah menguasai instruksi dasar (NO/NC, Keep), Timer (TIM), dan Counter (CNT) beserta wiring I/O dasar.</t>
  </si>
  <si>
    <t>Dimensi 4 : Gotong Royong</t>
  </si>
  <si>
    <t>Memahami prinsip kerja dan membuat program Shift Register 6-bit (Jobsheet 9) dan Ring Counter 6-bit (Jobsheet 10) menggunakan instruksi SFT pada CX-One secara tepat.</t>
  </si>
  <si>
    <t>Merancang algoritma pewaktuan kompleks untuk sistem Traffic Light (Jobsheet 11) bersiklus otomatis dengan aman dan sesuai timing diagram dengan benar.</t>
  </si>
  <si>
    <t>Melakukan wiring sistem Mesin Pengaduk 2 Arah / Forward-Reverse (Jobsheet 12) dengan mengaplikasikan sistem pengaman saling-kunci (Interlock mekanik/software) untuk mencegah korsleting (Hubung Singkat) dengan tepat.</t>
  </si>
  <si>
    <t>Shift Register (SFT), Ring Counter, Traffic Light, Interlock, Forward-Reverse, PLC.</t>
  </si>
  <si>
    <t>Pada sistem industri, pergeseran data (Shift Register) digunakan untuk melacak posisi barang di conveyor belt. Sementara itu, keamanan mutlak diperlukan saat mengendalikan putaran motor 2 arah (Forward-Reverse); jika putaran kanan dan kiri aktif bersamaan, akan terjadi ledakan/korsleting fatal. Logika Interlock adalah penyelamatnya.</t>
  </si>
  <si>
    <t>Bagaimana lampu lalu lintas di perempatan bisa mengatur durasi hidupnya tiga lampu secara otomatis?</t>
  </si>
  <si>
    <t>"Bagaimana lampu lalu lintas di perempatan bisa mengatur durasi merah, kuning, hijau secara presisi tanpa bertabrakan? Dan apa yang terjadi jika motor pengaduk disuruh berputar ke kanan dan kiri di detik yang sama?"</t>
  </si>
  <si>
    <t>Guru menjelaskan materi dan mendemonstrasikan cara memanggil instruksi SFT (Shift Register) di CX-One yang membutuhkan 3 input: Data Input, Clock Input, dan Reset.</t>
  </si>
  <si>
    <t>Guru membagikan Jobsheet  kepada setiap kelompok.</t>
  </si>
  <si>
    <t>Guru membagikan lembar kerja dan kertas gambar secara berkelompok yang berisi permasalahan yang ditetapkan dalam pertanyaan-pertanyaan yang diajukan dan tugas membuat program dan rangkaiannya.</t>
  </si>
  <si>
    <t>Peserta didik mengidentifikasi masalah-masalah yang berkaitan dengan yang terdapat di lembar kerja siswa.</t>
  </si>
  <si>
    <t>Guru memastikan setiap anggota memahami tugas masing-masing kelompok.</t>
  </si>
  <si>
    <t>Peserta didik mengerjakan tugas dalam lembar kerja siswa.</t>
  </si>
  <si>
    <t>Peserta didik mengeksplorasi referensi/modul untuk memecahkan algoritma dari job yang telah diberikan guru.</t>
  </si>
  <si>
    <t>Guru memantau setiap meja untuk mengarahkan diskusi .</t>
  </si>
  <si>
    <t>Siswa membagi tugas. Dua orang menyusun logika SFT (JS 9 &amp; 10) dan Traffic Light (JS 11), dua lainnya merancang logika Forward-Reverse (JS 12).</t>
  </si>
  <si>
    <t>Siswa merangkai kabel jumper di modul PLC. Perhatian penuh diberikan pada wiring beban Jobsheet 12. Sistem NC dari output saling disilangkan untuk menjamin Interlock berjalan baik secara software maupun hardware.</t>
  </si>
  <si>
    <t>Penerapan kendali Shift register 6 bit, Kendali Ring counter 6 bit, Traffic Light, mesin pengaduk 2 Arah</t>
  </si>
  <si>
    <t>Siswa yang berhasil merampungkan 4 jobsheet ditantang untuk menggabungkan Traffic Light perempatan utuh (4 arah) menggunakan logika perbandingan instruksi (&gt; / &lt;) berbasis waktu, bukan sekadar rentetan Timer.</t>
  </si>
  <si>
    <t>Kelompok yang gagal pada Shift Register diminta kembali ke meja untuk memperbaiki urutan input SFT. Siswa yang gagal pada Interlock dilarang menghubungkan output ke beban berat sebelum logikanya lulus uji di simulator virtual.</t>
  </si>
  <si>
    <t>MODUL AJAR PERTEMUAN 4</t>
  </si>
  <si>
    <t>NOVEMBER 2025</t>
  </si>
  <si>
    <t>SEPTEMBER 2025</t>
  </si>
  <si>
    <t>5 September 2025</t>
  </si>
  <si>
    <t>25 November 2025</t>
  </si>
  <si>
    <t xml:space="preserve">3 April 2026 </t>
  </si>
  <si>
    <t xml:space="preserve">6 April 2026 </t>
  </si>
  <si>
    <t xml:space="preserve">F/      /WKS1/-/     </t>
  </si>
  <si>
    <t>17 Januari 2026</t>
  </si>
  <si>
    <t>F/     /WKS1/-/</t>
  </si>
  <si>
    <t>JADWAL MENGAJAR BLOK 1 SMK NEGERI 3 YOGYAKARTA</t>
  </si>
  <si>
    <t>: Gasal</t>
  </si>
  <si>
    <t>NIP. 19720517 200604 1 012</t>
  </si>
  <si>
    <t>NIP. 19750511 200604 1 004</t>
  </si>
  <si>
    <t>Sitti Rahmah, S.Pd., M.T</t>
  </si>
  <si>
    <t>Guru Pamong,</t>
  </si>
  <si>
    <t>WKS Kurikulum,</t>
  </si>
  <si>
    <t>Koordinator Mapel /KPK,</t>
  </si>
  <si>
    <t>Yogyakarta,  17 Januari 2026</t>
  </si>
  <si>
    <t>NIP.  1971213 200501 1 004</t>
  </si>
  <si>
    <t xml:space="preserve">F/      /WKS1/-/    </t>
  </si>
  <si>
    <t>BLOK 2</t>
  </si>
  <si>
    <t>CUTI BERSAMA</t>
  </si>
  <si>
    <t>UKK KELAS 12</t>
  </si>
  <si>
    <t>US KELAS 12</t>
  </si>
  <si>
    <t>ASAT (KELAS 10-11)</t>
  </si>
  <si>
    <t>LIBUR IDUL FITRI</t>
  </si>
  <si>
    <t>LIBUR AKHIR RMDHN</t>
  </si>
  <si>
    <t>LAHIR PANCASILA</t>
  </si>
  <si>
    <t>:  XI TE 1/Gasal</t>
  </si>
  <si>
    <t>JULI</t>
  </si>
  <si>
    <t>AGUSTUS</t>
  </si>
  <si>
    <t>SEPTEMBER</t>
  </si>
  <si>
    <t>OKTOBER</t>
  </si>
  <si>
    <t>DESEMBER</t>
  </si>
  <si>
    <t>Peserta didik mampu Menerapkan Penggunaan Relay Logic pada rangkaian sistem kendali</t>
  </si>
  <si>
    <t xml:space="preserve">Peserta didik mampu Menerapkan Wiring Dan Commissioning Rangkaian Kendali PLC </t>
  </si>
  <si>
    <t>LIBUR AKHIR TAHUN</t>
  </si>
  <si>
    <t>ANBK</t>
  </si>
  <si>
    <t>NOVEMBER</t>
  </si>
  <si>
    <t>TKA</t>
  </si>
  <si>
    <t>ASAS SEM 1</t>
  </si>
  <si>
    <t>LIBUR AKHIR SEM</t>
  </si>
  <si>
    <t xml:space="preserve">NOVEMBER </t>
  </si>
  <si>
    <t>: Gasal dan Genap</t>
  </si>
  <si>
    <t>SKI/AS1</t>
  </si>
  <si>
    <t>PSR/SKI2</t>
  </si>
  <si>
    <t>Perbaikan dan pengayaan ulangan harian 1</t>
  </si>
  <si>
    <t>SKI/AS2</t>
  </si>
  <si>
    <t>Menerapkan pemrograman rangkaian kendali PLC untuk memecahkan permasalahan</t>
  </si>
  <si>
    <t>Ulangan Harian 3</t>
  </si>
  <si>
    <t>SKI/AS3</t>
  </si>
  <si>
    <t>Ulangan harian 4</t>
  </si>
  <si>
    <t>SKI/AS4</t>
  </si>
  <si>
    <t>SKI/AS5</t>
  </si>
  <si>
    <t>Perbaikan dan pengayaan ulangan harian 5</t>
  </si>
  <si>
    <t>: 136 JP</t>
  </si>
  <si>
    <t>TAHUN 2025 - 2026</t>
  </si>
  <si>
    <t>136 JP @ 45 Menit</t>
  </si>
  <si>
    <t>8 JP</t>
  </si>
  <si>
    <t>NIP.  196811011992031003                                              NIM. 22518241011</t>
  </si>
  <si>
    <t>Guru memilih kelompok secara acak untuk mempresentasikan data penyelesaian permasalahan menggunakan CX-One Programmer dengan penerapan bahasa pemrograman.</t>
  </si>
  <si>
    <t>Guru membagikan lembar kerja dan kertas gambar secara berkelompok yang berisi permasalahan yang ditetapkan dalam pertanyaan-pertanyaan yang diajukan.</t>
  </si>
  <si>
    <t xml:space="preserve">Guru membagikan lembar kerja dan kertas gambar secara berkelompok yang berisi permasalahan yang ditetapkan dalam pertanyaan-pertanyaan yang diajukan </t>
  </si>
  <si>
    <t>Kegiatan Pembelajaran Pertemuan 2</t>
  </si>
  <si>
    <t>Kegiatan Pembelajaran Pertemuan 3</t>
  </si>
  <si>
    <t>Kegiatan Pembelajaran Pertemuan 4</t>
  </si>
  <si>
    <t>Deskripsi/Capaian Kompetensi</t>
  </si>
  <si>
    <t>Kegiatan Pembelajaran Pertemuan 5</t>
  </si>
  <si>
    <t>Konsentrasi Keahlian   : Elektronika Industri</t>
  </si>
  <si>
    <t xml:space="preserve">Kelas                    </t>
  </si>
  <si>
    <t xml:space="preserve">Tahun Pelajaran     </t>
  </si>
  <si>
    <t>NP</t>
  </si>
  <si>
    <t>NT</t>
  </si>
  <si>
    <t>`</t>
  </si>
  <si>
    <t>NIP.  19661227 199103 2 011</t>
  </si>
  <si>
    <t>45X8X4</t>
  </si>
  <si>
    <r>
      <t xml:space="preserve">Menerapkan </t>
    </r>
    <r>
      <rPr>
        <i/>
        <sz val="12"/>
        <color rgb="FF000000"/>
        <rFont val="Times New Roman"/>
        <family val="1"/>
      </rPr>
      <t xml:space="preserve">human- machine interface </t>
    </r>
    <r>
      <rPr>
        <sz val="12"/>
        <color rgb="FF000000"/>
        <rFont val="Times New Roman"/>
        <family val="1"/>
      </rPr>
      <t>(HMI) pada rangkaian kendali PLC sebagai alat  monitoring</t>
    </r>
  </si>
  <si>
    <r>
      <t xml:space="preserve">Peserta didik mampu menerapkan </t>
    </r>
    <r>
      <rPr>
        <i/>
        <sz val="12"/>
        <color rgb="FF000000"/>
        <rFont val="Times New Roman"/>
        <family val="1"/>
      </rPr>
      <t xml:space="preserve">human- machine interface </t>
    </r>
    <r>
      <rPr>
        <sz val="12"/>
        <color rgb="FF000000"/>
        <rFont val="Times New Roman"/>
        <family val="1"/>
      </rPr>
      <t>(HMI) pada rangkaian kendali PLC sebagai alat  monitoring</t>
    </r>
  </si>
  <si>
    <t xml:space="preserve"> praktik</t>
  </si>
  <si>
    <t xml:space="preserve">Mata Pelajaran                 : Sistem Kendali Industri </t>
  </si>
  <si>
    <t>Kelas                                       : XI TE 1</t>
  </si>
  <si>
    <t xml:space="preserve">Tahun Pelajaran        </t>
  </si>
  <si>
    <t>:    2025 / 2026</t>
  </si>
  <si>
    <t xml:space="preserve">Bentuk Soal              </t>
  </si>
  <si>
    <t>:   Obyektif Tes</t>
  </si>
  <si>
    <t>Waktu                     : 90 menit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</si>
</sst>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Rp&quot;* #,##0_-;\-&quot;Rp&quot;* #,##0_-;_-&quot;Rp&quot;* &quot;-&quot;_-;_-@_-"/>
    <numFmt numFmtId="165" formatCode="0.0"/>
    <numFmt numFmtId="166" formatCode="0.0%"/>
  </numFmts>
  <fonts count="106" x14ac:knownFonts="1">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Arial Narrow"/>
      <family val="2"/>
    </font>
    <font>
      <sz val="12"/>
      <color theme="1"/>
      <name val="Calibri"/>
      <family val="2"/>
      <charset val="1"/>
      <scheme val="minor"/>
    </font>
    <font>
      <b/>
      <sz val="14"/>
      <color theme="1"/>
      <name val="Arial Narrow"/>
      <family val="2"/>
    </font>
    <font>
      <sz val="14"/>
      <color theme="1"/>
      <name val="Arial Narrow"/>
      <family val="2"/>
    </font>
    <font>
      <b/>
      <sz val="12"/>
      <color theme="1"/>
      <name val="Arial Narrow"/>
      <family val="2"/>
    </font>
    <font>
      <sz val="11"/>
      <color theme="1"/>
      <name val="Arial Narrow"/>
      <family val="2"/>
    </font>
    <font>
      <sz val="10"/>
      <color theme="1"/>
      <name val="Arial Narrow"/>
      <family val="2"/>
    </font>
    <font>
      <sz val="9"/>
      <color theme="1"/>
      <name val="Arial Narrow"/>
      <family val="2"/>
    </font>
    <font>
      <sz val="12"/>
      <color theme="1"/>
      <name val="Arial Narrow"/>
      <family val="2"/>
    </font>
    <font>
      <b/>
      <sz val="14"/>
      <color theme="1"/>
      <name val="Calibri"/>
      <family val="2"/>
      <scheme val="minor"/>
    </font>
    <font>
      <sz val="11"/>
      <color theme="1"/>
      <name val="Calibri"/>
      <family val="2"/>
      <scheme val="minor"/>
    </font>
    <font>
      <sz val="10"/>
      <name val="Arial"/>
      <family val="2"/>
    </font>
    <font>
      <sz val="12"/>
      <color indexed="8"/>
      <name val="Arial Narrow"/>
      <family val="2"/>
    </font>
    <font>
      <sz val="12"/>
      <color theme="1"/>
      <name val="Arial"/>
      <family val="2"/>
    </font>
    <font>
      <sz val="12"/>
      <color rgb="FF000000"/>
      <name val="Times New Roman"/>
      <family val="1"/>
    </font>
    <font>
      <b/>
      <sz val="11"/>
      <name val="Times New Roman"/>
      <family val="1"/>
    </font>
    <font>
      <sz val="11"/>
      <color theme="1"/>
      <name val="Times New Roman"/>
      <family val="1"/>
    </font>
    <font>
      <b/>
      <sz val="11"/>
      <color theme="1"/>
      <name val="Times New Roman"/>
      <family val="1"/>
    </font>
    <font>
      <sz val="12"/>
      <color theme="1"/>
      <name val="Times New Roman"/>
      <family val="1"/>
    </font>
    <font>
      <sz val="10"/>
      <color theme="1"/>
      <name val="Times New Roman"/>
      <family val="1"/>
    </font>
    <font>
      <b/>
      <sz val="12"/>
      <color theme="1"/>
      <name val="Times New Roman"/>
      <family val="1"/>
    </font>
    <font>
      <sz val="14"/>
      <color theme="1"/>
      <name val="Times New Roman"/>
      <family val="1"/>
    </font>
    <font>
      <b/>
      <sz val="10"/>
      <color theme="1"/>
      <name val="Times New Roman"/>
      <family val="1"/>
    </font>
    <font>
      <b/>
      <sz val="14"/>
      <color theme="1"/>
      <name val="Times New Roman"/>
      <family val="1"/>
    </font>
    <font>
      <sz val="11"/>
      <color rgb="FF000000"/>
      <name val="Times New Roman"/>
      <family val="1"/>
    </font>
    <font>
      <sz val="10"/>
      <color rgb="FF000000"/>
      <name val="Times New Roman"/>
      <family val="1"/>
    </font>
    <font>
      <b/>
      <sz val="18"/>
      <color theme="1"/>
      <name val="Times New Roman"/>
      <family val="1"/>
    </font>
    <font>
      <b/>
      <i/>
      <sz val="11"/>
      <color theme="1"/>
      <name val="Times New Roman"/>
      <family val="1"/>
    </font>
    <font>
      <b/>
      <sz val="11"/>
      <color rgb="FF000000"/>
      <name val="Times New Roman"/>
      <family val="1"/>
    </font>
    <font>
      <sz val="11"/>
      <color indexed="8"/>
      <name val="Times New Roman"/>
      <family val="1"/>
    </font>
    <font>
      <sz val="10"/>
      <color indexed="8"/>
      <name val="Times New Roman"/>
      <family val="1"/>
    </font>
    <font>
      <sz val="12"/>
      <color indexed="8"/>
      <name val="Times New Roman"/>
      <family val="1"/>
    </font>
    <font>
      <b/>
      <sz val="9"/>
      <color theme="1"/>
      <name val="Times New Roman"/>
      <family val="1"/>
    </font>
    <font>
      <sz val="8"/>
      <color indexed="8"/>
      <name val="Times New Roman"/>
      <family val="1"/>
    </font>
    <font>
      <sz val="9"/>
      <color theme="1"/>
      <name val="Times New Roman"/>
      <family val="1"/>
    </font>
    <font>
      <sz val="11"/>
      <name val="Times New Roman"/>
      <family val="1"/>
    </font>
    <font>
      <b/>
      <sz val="12"/>
      <name val="Times New Roman"/>
      <family val="1"/>
    </font>
    <font>
      <b/>
      <sz val="8"/>
      <color theme="1"/>
      <name val="Times New Roman"/>
      <family val="1"/>
    </font>
    <font>
      <sz val="11"/>
      <color rgb="FFFF0000"/>
      <name val="Times New Roman"/>
      <family val="1"/>
    </font>
    <font>
      <sz val="10"/>
      <name val="Times New Roman"/>
      <family val="1"/>
    </font>
    <font>
      <sz val="8"/>
      <color theme="1"/>
      <name val="Times New Roman"/>
      <family val="1"/>
    </font>
    <font>
      <b/>
      <u/>
      <sz val="12"/>
      <color theme="1"/>
      <name val="Times New Roman"/>
      <family val="1"/>
    </font>
    <font>
      <b/>
      <sz val="6"/>
      <color theme="1"/>
      <name val="Times New Roman"/>
      <family val="1"/>
    </font>
    <font>
      <u/>
      <sz val="10"/>
      <color indexed="8"/>
      <name val="Times New Roman"/>
      <family val="1"/>
    </font>
    <font>
      <u/>
      <sz val="8"/>
      <color indexed="8"/>
      <name val="Times New Roman"/>
      <family val="1"/>
    </font>
    <font>
      <b/>
      <sz val="12"/>
      <color indexed="8"/>
      <name val="Times New Roman"/>
      <family val="1"/>
    </font>
    <font>
      <sz val="12"/>
      <name val="Times New Roman"/>
      <family val="1"/>
    </font>
    <font>
      <sz val="9"/>
      <color rgb="FFFF0000"/>
      <name val="Times New Roman"/>
      <family val="1"/>
    </font>
    <font>
      <b/>
      <sz val="22"/>
      <color theme="1"/>
      <name val="Times New Roman"/>
      <family val="1"/>
    </font>
    <font>
      <b/>
      <sz val="28"/>
      <color theme="1"/>
      <name val="Times New Roman"/>
      <family val="1"/>
    </font>
    <font>
      <b/>
      <sz val="20"/>
      <color theme="1"/>
      <name val="Times New Roman"/>
      <family val="1"/>
    </font>
    <font>
      <b/>
      <sz val="12"/>
      <color theme="1"/>
      <name val="Calibri"/>
      <family val="2"/>
      <scheme val="minor"/>
    </font>
    <font>
      <sz val="10"/>
      <color rgb="FFFF0000"/>
      <name val="Times New Roman"/>
      <family val="1"/>
    </font>
    <font>
      <sz val="18"/>
      <color rgb="FFFF0000"/>
      <name val="Calibri"/>
      <family val="2"/>
      <charset val="1"/>
      <scheme val="minor"/>
    </font>
    <font>
      <sz val="24"/>
      <color rgb="FFFF0000"/>
      <name val="Calibri"/>
      <family val="2"/>
      <charset val="1"/>
      <scheme val="minor"/>
    </font>
    <font>
      <b/>
      <sz val="14"/>
      <name val="Times New Roman"/>
      <family val="1"/>
    </font>
    <font>
      <b/>
      <i/>
      <sz val="11"/>
      <color rgb="FFFF0000"/>
      <name val="Times New Roman"/>
      <family val="1"/>
    </font>
    <font>
      <b/>
      <sz val="16"/>
      <color theme="1"/>
      <name val="Calibri"/>
      <family val="2"/>
      <scheme val="minor"/>
    </font>
    <font>
      <b/>
      <sz val="11"/>
      <color theme="1"/>
      <name val="Calibri"/>
      <family val="2"/>
      <scheme val="minor"/>
    </font>
    <font>
      <sz val="11"/>
      <color theme="1"/>
      <name val="Calibri"/>
      <family val="2"/>
    </font>
    <font>
      <sz val="10"/>
      <color theme="1"/>
      <name val="Calibri"/>
      <family val="2"/>
      <scheme val="minor"/>
    </font>
    <font>
      <b/>
      <sz val="10"/>
      <color theme="1"/>
      <name val="Calibri"/>
      <family val="2"/>
      <scheme val="minor"/>
    </font>
    <font>
      <b/>
      <sz val="11"/>
      <color theme="1"/>
      <name val="Calibri"/>
      <family val="2"/>
    </font>
    <font>
      <sz val="11"/>
      <color rgb="FF000000"/>
      <name val="Calibri"/>
      <family val="2"/>
      <scheme val="minor"/>
    </font>
    <font>
      <sz val="7"/>
      <color theme="1"/>
      <name val="Times New Roman"/>
      <family val="1"/>
    </font>
    <font>
      <sz val="11"/>
      <name val="Calibri"/>
      <family val="2"/>
      <scheme val="minor"/>
    </font>
    <font>
      <b/>
      <sz val="11"/>
      <name val="Calibri"/>
      <family val="2"/>
      <scheme val="minor"/>
    </font>
    <font>
      <b/>
      <u/>
      <sz val="12"/>
      <name val="Times New Roman"/>
      <family val="1"/>
    </font>
    <font>
      <i/>
      <sz val="12"/>
      <color theme="1"/>
      <name val="Times New Roman"/>
      <family val="1"/>
    </font>
    <font>
      <i/>
      <sz val="12"/>
      <color rgb="FF000000"/>
      <name val="Times New Roman"/>
      <family val="1"/>
    </font>
    <font>
      <sz val="11"/>
      <color rgb="FF000000"/>
      <name val="Arial Narrow"/>
      <family val="2"/>
    </font>
    <font>
      <sz val="24"/>
      <name val="Calibri"/>
      <family val="2"/>
      <scheme val="minor"/>
    </font>
    <font>
      <i/>
      <sz val="11"/>
      <name val="Calibri"/>
      <family val="2"/>
      <scheme val="minor"/>
    </font>
    <font>
      <sz val="8"/>
      <name val="Times New Roman"/>
      <family val="1"/>
    </font>
    <font>
      <sz val="8"/>
      <name val="Calibri"/>
      <family val="2"/>
      <charset val="1"/>
      <scheme val="minor"/>
    </font>
    <font>
      <sz val="18"/>
      <color theme="1"/>
      <name val="Calibri"/>
      <family val="2"/>
      <scheme val="minor"/>
    </font>
    <font>
      <sz val="22"/>
      <color theme="1"/>
      <name val="Calibri"/>
      <family val="2"/>
      <scheme val="minor"/>
    </font>
    <font>
      <b/>
      <sz val="11"/>
      <color rgb="FF666666"/>
      <name val="Arial Narrow"/>
      <family val="2"/>
    </font>
    <font>
      <b/>
      <sz val="10"/>
      <color rgb="FF2F5496"/>
      <name val="Calibri"/>
      <family val="2"/>
      <scheme val="minor"/>
    </font>
    <font>
      <b/>
      <sz val="11"/>
      <color rgb="FF2F5496"/>
      <name val="Times New Roman"/>
      <family val="1"/>
    </font>
    <font>
      <i/>
      <sz val="11"/>
      <color theme="1"/>
      <name val="Times New Roman"/>
      <family val="1"/>
    </font>
    <font>
      <b/>
      <sz val="16"/>
      <color theme="1"/>
      <name val="Times New Roman"/>
      <family val="1"/>
    </font>
    <font>
      <i/>
      <sz val="14"/>
      <color theme="1"/>
      <name val="Times New Roman"/>
      <family val="1"/>
    </font>
    <font>
      <i/>
      <sz val="14"/>
      <name val="Times New Roman"/>
      <family val="1"/>
    </font>
    <font>
      <b/>
      <sz val="14"/>
      <color rgb="FF000000"/>
      <name val="Times New Roman"/>
      <family val="1"/>
    </font>
    <font>
      <b/>
      <sz val="8"/>
      <color rgb="FF000000"/>
      <name val="Times New Roman"/>
      <family val="1"/>
    </font>
    <font>
      <sz val="8"/>
      <color rgb="FF000000"/>
      <name val="Times New Roman"/>
      <family val="1"/>
    </font>
    <font>
      <sz val="8"/>
      <color rgb="FFFF0000"/>
      <name val="Times New Roman"/>
      <family val="1"/>
    </font>
    <font>
      <sz val="16"/>
      <color theme="1"/>
      <name val="Times New Roman"/>
      <family val="1"/>
    </font>
    <font>
      <b/>
      <sz val="16"/>
      <color rgb="FF2F5496"/>
      <name val="Times New Roman"/>
      <family val="1"/>
    </font>
    <font>
      <b/>
      <sz val="12"/>
      <color rgb="FF000000"/>
      <name val="Times New Roman"/>
      <family val="1"/>
    </font>
    <font>
      <sz val="11"/>
      <name val="Arial Narrow"/>
      <family val="2"/>
    </font>
    <font>
      <b/>
      <sz val="11"/>
      <name val="Arial Narrow"/>
      <family val="2"/>
    </font>
    <font>
      <sz val="11"/>
      <color theme="1"/>
      <name val="Cambria"/>
      <family val="1"/>
    </font>
  </fonts>
  <fills count="43">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2"/>
        <bgColor indexed="64"/>
      </patternFill>
    </fill>
    <fill>
      <patternFill patternType="solid">
        <fgColor rgb="FFFFC000"/>
        <bgColor indexed="64"/>
      </patternFill>
    </fill>
    <fill>
      <patternFill patternType="solid">
        <fgColor rgb="FFFFFF00"/>
        <bgColor indexed="64"/>
      </patternFill>
    </fill>
    <fill>
      <patternFill patternType="solid">
        <fgColor rgb="FFFF0000"/>
        <bgColor indexed="64"/>
      </patternFill>
    </fill>
    <fill>
      <patternFill patternType="solid">
        <fgColor rgb="FFFFFFFF"/>
        <bgColor indexed="64"/>
      </patternFill>
    </fill>
    <fill>
      <patternFill patternType="solid">
        <fgColor rgb="FF00FFFF"/>
        <bgColor indexed="64"/>
      </patternFill>
    </fill>
    <fill>
      <patternFill patternType="solid">
        <fgColor rgb="FF33CC33"/>
        <bgColor indexed="64"/>
      </patternFill>
    </fill>
    <fill>
      <patternFill patternType="solid">
        <fgColor rgb="FFF2F2F2"/>
      </patternFill>
    </fill>
    <fill>
      <patternFill patternType="solid">
        <fgColor rgb="FFDADADA"/>
      </patternFill>
    </fill>
    <fill>
      <patternFill patternType="solid">
        <fgColor rgb="FFF4B084"/>
      </patternFill>
    </fill>
    <fill>
      <patternFill patternType="solid">
        <fgColor rgb="FFFFC000"/>
      </patternFill>
    </fill>
    <fill>
      <patternFill patternType="solid">
        <fgColor rgb="FFFFFF00"/>
      </patternFill>
    </fill>
    <fill>
      <patternFill patternType="solid">
        <fgColor rgb="FFFF0000"/>
      </patternFill>
    </fill>
    <fill>
      <patternFill patternType="solid">
        <fgColor rgb="FF92D050"/>
      </patternFill>
    </fill>
    <fill>
      <patternFill patternType="solid">
        <fgColor rgb="FF806000"/>
      </patternFill>
    </fill>
    <fill>
      <patternFill patternType="solid">
        <fgColor rgb="FF00B0F0"/>
      </patternFill>
    </fill>
    <fill>
      <patternFill patternType="solid">
        <fgColor rgb="FFC65911"/>
      </patternFill>
    </fill>
    <fill>
      <patternFill patternType="solid">
        <fgColor rgb="FF70AD47"/>
      </patternFill>
    </fill>
    <fill>
      <patternFill patternType="solid">
        <fgColor rgb="FF0070C0"/>
      </patternFill>
    </fill>
    <fill>
      <patternFill patternType="solid">
        <fgColor rgb="FFB83F14"/>
      </patternFill>
    </fill>
    <fill>
      <patternFill patternType="solid">
        <fgColor rgb="FF2F75B5"/>
      </patternFill>
    </fill>
    <fill>
      <patternFill patternType="solid">
        <fgColor rgb="FFBF8F00"/>
      </patternFill>
    </fill>
    <fill>
      <patternFill patternType="solid">
        <fgColor rgb="FFD9D9D9"/>
        <bgColor indexed="64"/>
      </patternFill>
    </fill>
    <fill>
      <patternFill patternType="solid">
        <fgColor theme="5" tint="0.39997558519241921"/>
        <bgColor indexed="64"/>
      </patternFill>
    </fill>
    <fill>
      <patternFill patternType="solid">
        <fgColor rgb="FFFF99FF"/>
        <bgColor indexed="64"/>
      </patternFill>
    </fill>
    <fill>
      <patternFill patternType="solid">
        <fgColor rgb="FFCCFF66"/>
        <bgColor indexed="64"/>
      </patternFill>
    </fill>
    <fill>
      <patternFill patternType="solid">
        <fgColor rgb="FF6699FF"/>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8" tint="0.39997558519241921"/>
        <bgColor indexed="64"/>
      </patternFill>
    </fill>
    <fill>
      <patternFill patternType="solid">
        <fgColor rgb="FFFF7C80"/>
        <bgColor indexed="64"/>
      </patternFill>
    </fill>
    <fill>
      <patternFill patternType="solid">
        <fgColor theme="8"/>
        <bgColor indexed="64"/>
      </patternFill>
    </fill>
    <fill>
      <patternFill patternType="solid">
        <fgColor theme="6" tint="0.39997558519241921"/>
        <bgColor indexed="64"/>
      </patternFill>
    </fill>
    <fill>
      <patternFill patternType="solid">
        <fgColor theme="4"/>
        <bgColor indexed="64"/>
      </patternFill>
    </fill>
    <fill>
      <patternFill patternType="solid">
        <fgColor theme="4" tint="0.39997558519241921"/>
        <bgColor indexed="64"/>
      </patternFill>
    </fill>
    <fill>
      <patternFill patternType="solid">
        <fgColor rgb="FFB1B5BA"/>
        <bgColor indexed="64"/>
      </patternFill>
    </fill>
    <fill>
      <patternFill patternType="solid">
        <fgColor rgb="FF00FF99"/>
        <bgColor indexed="64"/>
      </patternFill>
    </fill>
    <fill>
      <patternFill patternType="solid">
        <fgColor theme="9" tint="0.59999389629810485"/>
        <bgColor indexed="64"/>
      </patternFill>
    </fill>
    <fill>
      <patternFill patternType="solid">
        <fgColor theme="9" tint="0.39997558519241921"/>
        <bgColor indexed="64"/>
      </patternFill>
    </fill>
  </fills>
  <borders count="136">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style="dashDotDot">
        <color indexed="64"/>
      </bottom>
      <diagonal/>
    </border>
    <border>
      <left style="thin">
        <color indexed="64"/>
      </left>
      <right style="thin">
        <color indexed="64"/>
      </right>
      <top style="dashDotDot">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style="thin">
        <color indexed="64"/>
      </top>
      <bottom style="double">
        <color indexed="64"/>
      </bottom>
      <diagonal/>
    </border>
    <border>
      <left/>
      <right/>
      <top style="thin">
        <color indexed="64"/>
      </top>
      <bottom/>
      <diagonal/>
    </border>
    <border>
      <left style="thin">
        <color indexed="64"/>
      </left>
      <right/>
      <top/>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top style="thin">
        <color indexed="64"/>
      </top>
      <bottom style="thin">
        <color indexed="64"/>
      </bottom>
      <diagonal/>
    </border>
    <border>
      <left/>
      <right/>
      <top style="medium">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double">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medium">
        <color auto="1"/>
      </left>
      <right style="thin">
        <color auto="1"/>
      </right>
      <top/>
      <bottom/>
      <diagonal/>
    </border>
    <border>
      <left/>
      <right style="medium">
        <color auto="1"/>
      </right>
      <top/>
      <bottom style="thin">
        <color auto="1"/>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right style="thin">
        <color indexed="64"/>
      </right>
      <top/>
      <bottom style="medium">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double">
        <color indexed="64"/>
      </top>
      <bottom/>
      <diagonal/>
    </border>
    <border>
      <left style="thin">
        <color indexed="64"/>
      </left>
      <right/>
      <top style="double">
        <color indexed="64"/>
      </top>
      <bottom style="dashDotDot">
        <color indexed="64"/>
      </bottom>
      <diagonal/>
    </border>
    <border>
      <left/>
      <right style="thin">
        <color indexed="64"/>
      </right>
      <top style="double">
        <color indexed="64"/>
      </top>
      <bottom style="dashDotDot">
        <color indexed="64"/>
      </bottom>
      <diagonal/>
    </border>
    <border>
      <left style="thin">
        <color indexed="64"/>
      </left>
      <right/>
      <top style="dashDotDot">
        <color indexed="64"/>
      </top>
      <bottom style="thin">
        <color indexed="64"/>
      </bottom>
      <diagonal/>
    </border>
    <border>
      <left/>
      <right style="thin">
        <color indexed="64"/>
      </right>
      <top style="dashDotDot">
        <color indexed="64"/>
      </top>
      <bottom style="thin">
        <color indexed="64"/>
      </bottom>
      <diagonal/>
    </border>
    <border>
      <left style="thin">
        <color indexed="64"/>
      </left>
      <right/>
      <top style="double">
        <color indexed="64"/>
      </top>
      <bottom/>
      <diagonal/>
    </border>
    <border>
      <left style="thin">
        <color indexed="64"/>
      </left>
      <right/>
      <top style="dashDotDot">
        <color indexed="64"/>
      </top>
      <bottom style="double">
        <color indexed="64"/>
      </bottom>
      <diagonal/>
    </border>
    <border>
      <left/>
      <right style="thin">
        <color indexed="64"/>
      </right>
      <top style="dashDotDot">
        <color indexed="64"/>
      </top>
      <bottom style="double">
        <color indexed="64"/>
      </bottom>
      <diagonal/>
    </border>
    <border>
      <left style="thin">
        <color indexed="64"/>
      </left>
      <right/>
      <top/>
      <bottom style="dashDotDot">
        <color indexed="64"/>
      </bottom>
      <diagonal/>
    </border>
    <border>
      <left/>
      <right style="thin">
        <color indexed="64"/>
      </right>
      <top/>
      <bottom style="dashDotDot">
        <color indexed="64"/>
      </bottom>
      <diagonal/>
    </border>
    <border>
      <left style="thin">
        <color indexed="64"/>
      </left>
      <right/>
      <top style="thin">
        <color indexed="64"/>
      </top>
      <bottom style="dashDotDot">
        <color indexed="64"/>
      </bottom>
      <diagonal/>
    </border>
    <border>
      <left/>
      <right style="thin">
        <color indexed="64"/>
      </right>
      <top style="thin">
        <color indexed="64"/>
      </top>
      <bottom style="dashDotDot">
        <color indexed="64"/>
      </bottom>
      <diagonal/>
    </border>
    <border>
      <left style="thin">
        <color indexed="64"/>
      </left>
      <right/>
      <top style="dashDotDot">
        <color indexed="64"/>
      </top>
      <bottom/>
      <diagonal/>
    </border>
    <border>
      <left/>
      <right style="thin">
        <color indexed="64"/>
      </right>
      <top style="dashDotDot">
        <color indexed="64"/>
      </top>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right style="medium">
        <color rgb="FF000000"/>
      </right>
      <top/>
      <bottom style="medium">
        <color rgb="FF000000"/>
      </bottom>
      <diagonal/>
    </border>
    <border>
      <left/>
      <right/>
      <top style="medium">
        <color rgb="FF000000"/>
      </top>
      <bottom/>
      <diagonal/>
    </border>
    <border>
      <left/>
      <right/>
      <top/>
      <bottom style="medium">
        <color rgb="FF000000"/>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indexed="64"/>
      </left>
      <right style="medium">
        <color rgb="FF000000"/>
      </right>
      <top style="medium">
        <color indexed="64"/>
      </top>
      <bottom style="medium">
        <color indexed="64"/>
      </bottom>
      <diagonal/>
    </border>
    <border>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right style="thin">
        <color indexed="64"/>
      </right>
      <top style="double">
        <color indexed="64"/>
      </top>
      <bottom/>
      <diagonal/>
    </border>
    <border>
      <left style="medium">
        <color indexed="64"/>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indexed="64"/>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top/>
      <bottom/>
      <diagonal/>
    </border>
    <border>
      <left/>
      <right/>
      <top style="thin">
        <color rgb="FF000000"/>
      </top>
      <bottom style="thin">
        <color rgb="FF000000"/>
      </bottom>
      <diagonal/>
    </border>
    <border>
      <left style="medium">
        <color rgb="FF808080"/>
      </left>
      <right/>
      <top style="medium">
        <color rgb="FF808080"/>
      </top>
      <bottom style="medium">
        <color rgb="FF808080"/>
      </bottom>
      <diagonal/>
    </border>
    <border>
      <left/>
      <right/>
      <top style="medium">
        <color rgb="FF808080"/>
      </top>
      <bottom style="medium">
        <color rgb="FF808080"/>
      </bottom>
      <diagonal/>
    </border>
    <border>
      <left/>
      <right style="medium">
        <color rgb="FF808080"/>
      </right>
      <top style="medium">
        <color rgb="FF808080"/>
      </top>
      <bottom style="medium">
        <color rgb="FF808080"/>
      </bottom>
      <diagonal/>
    </border>
    <border>
      <left style="medium">
        <color rgb="FF808080"/>
      </left>
      <right style="medium">
        <color rgb="FF808080"/>
      </right>
      <top/>
      <bottom style="medium">
        <color rgb="FF808080"/>
      </bottom>
      <diagonal/>
    </border>
    <border>
      <left style="medium">
        <color rgb="FF808080"/>
      </left>
      <right/>
      <top/>
      <bottom style="medium">
        <color rgb="FF808080"/>
      </bottom>
      <diagonal/>
    </border>
    <border>
      <left/>
      <right style="medium">
        <color rgb="FF808080"/>
      </right>
      <top/>
      <bottom style="medium">
        <color rgb="FF808080"/>
      </bottom>
      <diagonal/>
    </border>
    <border>
      <left/>
      <right/>
      <top/>
      <bottom style="medium">
        <color rgb="FF808080"/>
      </bottom>
      <diagonal/>
    </border>
    <border>
      <left style="medium">
        <color rgb="FF808080"/>
      </left>
      <right/>
      <top/>
      <bottom/>
      <diagonal/>
    </border>
    <border>
      <left/>
      <right style="medium">
        <color rgb="FF808080"/>
      </right>
      <top/>
      <bottom/>
      <diagonal/>
    </border>
    <border>
      <left style="medium">
        <color rgb="FF808080"/>
      </left>
      <right/>
      <top style="medium">
        <color rgb="FF808080"/>
      </top>
      <bottom/>
      <diagonal/>
    </border>
    <border>
      <left/>
      <right/>
      <top style="medium">
        <color rgb="FF808080"/>
      </top>
      <bottom/>
      <diagonal/>
    </border>
    <border>
      <left/>
      <right style="medium">
        <color rgb="FF808080"/>
      </right>
      <top style="medium">
        <color rgb="FF808080"/>
      </top>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s>
  <cellStyleXfs count="32">
    <xf numFmtId="0" fontId="0" fillId="0" borderId="0"/>
    <xf numFmtId="0" fontId="22"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164" fontId="22" fillId="0" borderId="0" applyFont="0" applyFill="0" applyBorder="0" applyAlignment="0" applyProtection="0"/>
    <xf numFmtId="0" fontId="5" fillId="0" borderId="0">
      <alignment vertical="center"/>
    </xf>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4" fillId="0" borderId="0"/>
    <xf numFmtId="0" fontId="4" fillId="0" borderId="0"/>
    <xf numFmtId="0" fontId="4" fillId="0" borderId="0"/>
    <xf numFmtId="0" fontId="4" fillId="0" borderId="0"/>
    <xf numFmtId="0" fontId="2" fillId="0" borderId="0"/>
    <xf numFmtId="164" fontId="2" fillId="0" borderId="0" applyFont="0" applyFill="0" applyBorder="0" applyAlignment="0" applyProtection="0"/>
    <xf numFmtId="0" fontId="2" fillId="0" borderId="0">
      <alignment vertical="center"/>
    </xf>
    <xf numFmtId="0" fontId="2" fillId="0" borderId="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0" fontId="2" fillId="0" borderId="0"/>
    <xf numFmtId="0" fontId="2" fillId="0" borderId="0"/>
    <xf numFmtId="0" fontId="2" fillId="0" borderId="0"/>
    <xf numFmtId="0" fontId="2" fillId="0" borderId="0"/>
  </cellStyleXfs>
  <cellXfs count="1393">
    <xf numFmtId="0" fontId="0" fillId="0" borderId="0" xfId="0"/>
    <xf numFmtId="0" fontId="15" fillId="0" borderId="0" xfId="0" applyFont="1"/>
    <xf numFmtId="0" fontId="14" fillId="0" borderId="0" xfId="0" applyFont="1"/>
    <xf numFmtId="0" fontId="17" fillId="0" borderId="0" xfId="0" applyFont="1"/>
    <xf numFmtId="0" fontId="17" fillId="0" borderId="0" xfId="0" applyFont="1" applyAlignment="1">
      <alignment vertical="center"/>
    </xf>
    <xf numFmtId="0" fontId="20" fillId="0" borderId="0" xfId="0" applyFont="1"/>
    <xf numFmtId="0" fontId="18" fillId="0" borderId="0" xfId="0" applyFont="1"/>
    <xf numFmtId="0" fontId="18" fillId="0" borderId="0" xfId="0" applyFont="1" applyAlignment="1">
      <alignment vertical="center"/>
    </xf>
    <xf numFmtId="0" fontId="17" fillId="0" borderId="18" xfId="0" applyFont="1" applyBorder="1"/>
    <xf numFmtId="0" fontId="17" fillId="0" borderId="15" xfId="0" applyFont="1" applyBorder="1"/>
    <xf numFmtId="15" fontId="18" fillId="0" borderId="2" xfId="0" applyNumberFormat="1" applyFont="1" applyBorder="1" applyAlignment="1">
      <alignment horizontal="center" vertical="center"/>
    </xf>
    <xf numFmtId="0" fontId="17" fillId="0" borderId="0" xfId="1" applyFont="1"/>
    <xf numFmtId="0" fontId="17" fillId="0" borderId="0" xfId="1" applyFont="1" applyAlignment="1">
      <alignment vertical="center"/>
    </xf>
    <xf numFmtId="0" fontId="16" fillId="0" borderId="0" xfId="1" applyFont="1" applyAlignment="1">
      <alignment horizontal="center" vertical="center"/>
    </xf>
    <xf numFmtId="0" fontId="19" fillId="0" borderId="0" xfId="1" applyFont="1" applyAlignment="1">
      <alignment horizontal="center" vertical="center"/>
    </xf>
    <xf numFmtId="0" fontId="12" fillId="0" borderId="0" xfId="0" applyFont="1"/>
    <xf numFmtId="0" fontId="24" fillId="0" borderId="0" xfId="0" applyFont="1"/>
    <xf numFmtId="0" fontId="12" fillId="0" borderId="0" xfId="0" applyFont="1" applyAlignment="1">
      <alignment horizontal="center"/>
    </xf>
    <xf numFmtId="0" fontId="26" fillId="0" borderId="0" xfId="0" applyFont="1"/>
    <xf numFmtId="0" fontId="27" fillId="0" borderId="0" xfId="0" applyFont="1" applyAlignment="1">
      <alignment vertical="center"/>
    </xf>
    <xf numFmtId="0" fontId="28" fillId="0" borderId="0" xfId="0" applyFont="1" applyAlignment="1">
      <alignment horizontal="left" vertical="top" wrapText="1"/>
    </xf>
    <xf numFmtId="0" fontId="28" fillId="0" borderId="2" xfId="0" applyFont="1" applyBorder="1" applyAlignment="1">
      <alignment horizontal="left" vertical="center" wrapText="1"/>
    </xf>
    <xf numFmtId="0" fontId="28" fillId="0" borderId="2" xfId="0" applyFont="1" applyBorder="1" applyAlignment="1">
      <alignment vertical="center" wrapText="1"/>
    </xf>
    <xf numFmtId="0" fontId="0" fillId="0" borderId="0" xfId="0" applyAlignment="1">
      <alignment horizontal="center" vertical="center"/>
    </xf>
    <xf numFmtId="0" fontId="30" fillId="0" borderId="0" xfId="0" applyFont="1" applyAlignment="1">
      <alignment horizontal="center" vertical="center" wrapText="1"/>
    </xf>
    <xf numFmtId="0" fontId="30" fillId="0" borderId="0" xfId="0" applyFont="1"/>
    <xf numFmtId="0" fontId="30" fillId="0" borderId="0" xfId="0" applyFont="1" applyAlignment="1">
      <alignment vertical="center"/>
    </xf>
    <xf numFmtId="0" fontId="28" fillId="0" borderId="0" xfId="0" applyFont="1"/>
    <xf numFmtId="0" fontId="28" fillId="0" borderId="0" xfId="0" applyFont="1" applyAlignment="1">
      <alignment vertical="center"/>
    </xf>
    <xf numFmtId="0" fontId="28" fillId="0" borderId="2" xfId="0" applyFont="1" applyBorder="1"/>
    <xf numFmtId="0" fontId="30" fillId="0" borderId="0" xfId="0" applyFont="1" applyAlignment="1">
      <alignment horizontal="justify" vertical="center"/>
    </xf>
    <xf numFmtId="0" fontId="32" fillId="0" borderId="0" xfId="0" applyFont="1" applyAlignment="1">
      <alignment vertical="center"/>
    </xf>
    <xf numFmtId="0" fontId="35" fillId="0" borderId="0" xfId="0" applyFont="1" applyAlignment="1">
      <alignment horizontal="center"/>
    </xf>
    <xf numFmtId="0" fontId="28" fillId="0" borderId="0" xfId="0" applyFont="1" applyAlignment="1">
      <alignment horizontal="left"/>
    </xf>
    <xf numFmtId="0" fontId="36" fillId="0" borderId="0" xfId="0" applyFont="1"/>
    <xf numFmtId="0" fontId="32" fillId="0" borderId="2" xfId="0" applyFont="1" applyBorder="1" applyAlignment="1">
      <alignment horizontal="center"/>
    </xf>
    <xf numFmtId="0" fontId="30" fillId="0" borderId="0" xfId="0" applyFont="1" applyAlignment="1">
      <alignment horizontal="left"/>
    </xf>
    <xf numFmtId="0" fontId="29" fillId="0" borderId="0" xfId="0" applyFont="1" applyAlignment="1">
      <alignment vertical="center"/>
    </xf>
    <xf numFmtId="0" fontId="36" fillId="0" borderId="0" xfId="0" applyFont="1" applyAlignment="1">
      <alignment horizontal="left"/>
    </xf>
    <xf numFmtId="0" fontId="41" fillId="0" borderId="0" xfId="0" applyFont="1"/>
    <xf numFmtId="0" fontId="42" fillId="0" borderId="2" xfId="0" applyFont="1" applyBorder="1" applyAlignment="1">
      <alignment horizontal="center" vertical="center"/>
    </xf>
    <xf numFmtId="0" fontId="43" fillId="0" borderId="0" xfId="0" applyFont="1" applyAlignment="1">
      <alignment horizontal="left"/>
    </xf>
    <xf numFmtId="0" fontId="43" fillId="0" borderId="0" xfId="0" applyFont="1"/>
    <xf numFmtId="0" fontId="41" fillId="0" borderId="1" xfId="0" applyFont="1" applyBorder="1"/>
    <xf numFmtId="0" fontId="41" fillId="0" borderId="2" xfId="0" applyFont="1" applyBorder="1"/>
    <xf numFmtId="0" fontId="31" fillId="0" borderId="0" xfId="0" applyFont="1"/>
    <xf numFmtId="0" fontId="31" fillId="0" borderId="0" xfId="0" applyFont="1" applyAlignment="1">
      <alignment vertical="center"/>
    </xf>
    <xf numFmtId="0" fontId="31" fillId="0" borderId="0" xfId="0" applyFont="1" applyAlignment="1">
      <alignment horizontal="center" vertical="center"/>
    </xf>
    <xf numFmtId="0" fontId="28" fillId="0" borderId="0" xfId="0" applyFont="1" applyAlignment="1">
      <alignment horizontal="center"/>
    </xf>
    <xf numFmtId="0" fontId="28" fillId="0" borderId="2" xfId="0" applyFont="1" applyBorder="1" applyAlignment="1">
      <alignment horizontal="center"/>
    </xf>
    <xf numFmtId="0" fontId="30" fillId="0" borderId="0" xfId="1" applyFont="1" applyAlignment="1">
      <alignment horizontal="left" vertical="center"/>
    </xf>
    <xf numFmtId="0" fontId="30" fillId="0" borderId="0" xfId="1" applyFont="1" applyAlignment="1">
      <alignment vertical="center"/>
    </xf>
    <xf numFmtId="0" fontId="30" fillId="0" borderId="0" xfId="1" applyFont="1" applyAlignment="1">
      <alignment horizontal="center" vertical="center"/>
    </xf>
    <xf numFmtId="0" fontId="28" fillId="0" borderId="0" xfId="1" applyFont="1" applyAlignment="1">
      <alignment vertical="center"/>
    </xf>
    <xf numFmtId="0" fontId="28" fillId="0" borderId="0" xfId="1" applyFont="1" applyAlignment="1">
      <alignment horizontal="left" vertical="center"/>
    </xf>
    <xf numFmtId="0" fontId="34" fillId="0" borderId="70" xfId="1" applyFont="1" applyBorder="1" applyAlignment="1">
      <alignment horizontal="center" vertical="center"/>
    </xf>
    <xf numFmtId="0" fontId="34" fillId="2" borderId="59" xfId="1" applyFont="1" applyFill="1" applyBorder="1" applyAlignment="1">
      <alignment horizontal="center" vertical="center"/>
    </xf>
    <xf numFmtId="0" fontId="34" fillId="2" borderId="60" xfId="1" applyFont="1" applyFill="1" applyBorder="1" applyAlignment="1">
      <alignment horizontal="center" vertical="center"/>
    </xf>
    <xf numFmtId="0" fontId="34" fillId="2" borderId="63" xfId="1" applyFont="1" applyFill="1" applyBorder="1" applyAlignment="1">
      <alignment horizontal="center" vertical="center"/>
    </xf>
    <xf numFmtId="0" fontId="28" fillId="0" borderId="51" xfId="1" applyFont="1" applyBorder="1" applyAlignment="1">
      <alignment horizontal="center" vertical="center"/>
    </xf>
    <xf numFmtId="0" fontId="31" fillId="2" borderId="44" xfId="1" applyFont="1" applyFill="1" applyBorder="1" applyAlignment="1">
      <alignment horizontal="center" vertical="center"/>
    </xf>
    <xf numFmtId="0" fontId="31" fillId="2" borderId="1" xfId="1" applyFont="1" applyFill="1" applyBorder="1" applyAlignment="1">
      <alignment horizontal="center" vertical="center"/>
    </xf>
    <xf numFmtId="0" fontId="31" fillId="2" borderId="45" xfId="1" applyFont="1" applyFill="1" applyBorder="1" applyAlignment="1">
      <alignment horizontal="center" vertical="center"/>
    </xf>
    <xf numFmtId="0" fontId="31" fillId="2" borderId="16" xfId="1" applyFont="1" applyFill="1" applyBorder="1" applyAlignment="1">
      <alignment horizontal="center" vertical="center"/>
    </xf>
    <xf numFmtId="0" fontId="31" fillId="2" borderId="34" xfId="1" applyFont="1" applyFill="1" applyBorder="1" applyAlignment="1">
      <alignment horizontal="center" vertical="center"/>
    </xf>
    <xf numFmtId="0" fontId="31" fillId="2" borderId="35" xfId="1" applyFont="1" applyFill="1" applyBorder="1" applyAlignment="1">
      <alignment horizontal="center" vertical="center"/>
    </xf>
    <xf numFmtId="0" fontId="31" fillId="2" borderId="58" xfId="1" applyFont="1" applyFill="1" applyBorder="1" applyAlignment="1">
      <alignment horizontal="center" vertical="center"/>
    </xf>
    <xf numFmtId="0" fontId="28" fillId="0" borderId="55" xfId="1" applyFont="1" applyBorder="1" applyAlignment="1">
      <alignment horizontal="center" vertical="center"/>
    </xf>
    <xf numFmtId="0" fontId="43" fillId="0" borderId="55" xfId="1" applyFont="1" applyBorder="1" applyAlignment="1">
      <alignment horizontal="left" vertical="center"/>
    </xf>
    <xf numFmtId="3" fontId="28" fillId="0" borderId="40" xfId="1" applyNumberFormat="1" applyFont="1" applyBorder="1" applyAlignment="1">
      <alignment horizontal="center" vertical="center"/>
    </xf>
    <xf numFmtId="3" fontId="28" fillId="0" borderId="2" xfId="1" applyNumberFormat="1" applyFont="1" applyBorder="1" applyAlignment="1">
      <alignment horizontal="center" vertical="center"/>
    </xf>
    <xf numFmtId="0" fontId="28" fillId="0" borderId="41" xfId="1" applyFont="1" applyBorder="1" applyAlignment="1">
      <alignment vertical="center"/>
    </xf>
    <xf numFmtId="0" fontId="28" fillId="0" borderId="5" xfId="1" applyFont="1" applyBorder="1" applyAlignment="1">
      <alignment vertical="center"/>
    </xf>
    <xf numFmtId="0" fontId="31" fillId="2" borderId="69" xfId="1" applyFont="1" applyFill="1" applyBorder="1" applyAlignment="1">
      <alignment horizontal="center" vertical="center"/>
    </xf>
    <xf numFmtId="0" fontId="31" fillId="2" borderId="29" xfId="1" applyFont="1" applyFill="1" applyBorder="1" applyAlignment="1">
      <alignment horizontal="center" vertical="center"/>
    </xf>
    <xf numFmtId="0" fontId="31" fillId="2" borderId="62" xfId="1" applyFont="1" applyFill="1" applyBorder="1" applyAlignment="1">
      <alignment horizontal="center" vertical="center"/>
    </xf>
    <xf numFmtId="3" fontId="28" fillId="0" borderId="69" xfId="1" applyNumberFormat="1" applyFont="1" applyBorder="1" applyAlignment="1">
      <alignment horizontal="center" vertical="center"/>
    </xf>
    <xf numFmtId="3" fontId="28" fillId="0" borderId="29" xfId="1" applyNumberFormat="1" applyFont="1" applyBorder="1" applyAlignment="1">
      <alignment horizontal="center" vertical="center"/>
    </xf>
    <xf numFmtId="0" fontId="28" fillId="0" borderId="62" xfId="1" applyFont="1" applyBorder="1" applyAlignment="1">
      <alignment vertical="center"/>
    </xf>
    <xf numFmtId="0" fontId="45" fillId="0" borderId="55" xfId="1" applyFont="1" applyBorder="1" applyAlignment="1">
      <alignment horizontal="left" vertical="center"/>
    </xf>
    <xf numFmtId="0" fontId="42" fillId="0" borderId="55" xfId="1" applyFont="1" applyBorder="1" applyAlignment="1">
      <alignment horizontal="left" vertical="center"/>
    </xf>
    <xf numFmtId="3" fontId="28" fillId="0" borderId="41" xfId="1" applyNumberFormat="1" applyFont="1" applyBorder="1" applyAlignment="1">
      <alignment horizontal="center" vertical="center"/>
    </xf>
    <xf numFmtId="3" fontId="28" fillId="0" borderId="5" xfId="1" applyNumberFormat="1" applyFont="1" applyBorder="1" applyAlignment="1">
      <alignment horizontal="center" vertical="center"/>
    </xf>
    <xf numFmtId="0" fontId="28" fillId="0" borderId="56" xfId="1" applyFont="1" applyBorder="1" applyAlignment="1">
      <alignment horizontal="center" vertical="center"/>
    </xf>
    <xf numFmtId="0" fontId="43" fillId="0" borderId="56" xfId="1" applyFont="1" applyBorder="1" applyAlignment="1">
      <alignment horizontal="left" vertical="center"/>
    </xf>
    <xf numFmtId="3" fontId="28" fillId="0" borderId="42" xfId="1" applyNumberFormat="1" applyFont="1" applyBorder="1" applyAlignment="1">
      <alignment horizontal="center" vertical="center"/>
    </xf>
    <xf numFmtId="3" fontId="28" fillId="0" borderId="22" xfId="1" applyNumberFormat="1" applyFont="1" applyBorder="1" applyAlignment="1">
      <alignment horizontal="center" vertical="center"/>
    </xf>
    <xf numFmtId="0" fontId="28" fillId="0" borderId="43" xfId="1" applyFont="1" applyBorder="1" applyAlignment="1">
      <alignment vertical="center"/>
    </xf>
    <xf numFmtId="0" fontId="28" fillId="0" borderId="57" xfId="1" applyFont="1" applyBorder="1" applyAlignment="1">
      <alignment vertical="center"/>
    </xf>
    <xf numFmtId="3" fontId="28" fillId="0" borderId="68" xfId="1" applyNumberFormat="1" applyFont="1" applyBorder="1" applyAlignment="1">
      <alignment horizontal="center" vertical="center"/>
    </xf>
    <xf numFmtId="3" fontId="28" fillId="0" borderId="31" xfId="1" applyNumberFormat="1" applyFont="1" applyBorder="1" applyAlignment="1">
      <alignment horizontal="center" vertical="center"/>
    </xf>
    <xf numFmtId="0" fontId="28" fillId="0" borderId="64" xfId="1" applyFont="1" applyBorder="1" applyAlignment="1">
      <alignment vertical="center"/>
    </xf>
    <xf numFmtId="0" fontId="28" fillId="0" borderId="28" xfId="1" applyFont="1" applyBorder="1" applyAlignment="1">
      <alignment vertical="center"/>
    </xf>
    <xf numFmtId="0" fontId="28" fillId="0" borderId="24" xfId="1" applyFont="1" applyBorder="1" applyAlignment="1">
      <alignment vertical="center"/>
    </xf>
    <xf numFmtId="0" fontId="28" fillId="0" borderId="26" xfId="1" applyFont="1" applyBorder="1" applyAlignment="1">
      <alignment vertical="center"/>
    </xf>
    <xf numFmtId="0" fontId="28" fillId="0" borderId="27" xfId="1" applyFont="1" applyBorder="1" applyAlignment="1">
      <alignment vertical="center"/>
    </xf>
    <xf numFmtId="0" fontId="28" fillId="0" borderId="9" xfId="1" applyFont="1" applyBorder="1" applyAlignment="1">
      <alignment vertical="center"/>
    </xf>
    <xf numFmtId="0" fontId="32" fillId="0" borderId="0" xfId="1" applyFont="1" applyAlignment="1">
      <alignment horizontal="left" vertical="center"/>
    </xf>
    <xf numFmtId="0" fontId="46" fillId="0" borderId="0" xfId="1" applyFont="1" applyAlignment="1">
      <alignment horizontal="center" vertical="center"/>
    </xf>
    <xf numFmtId="15" fontId="31" fillId="0" borderId="0" xfId="0" applyNumberFormat="1" applyFont="1" applyAlignment="1">
      <alignment horizontal="center" vertical="center"/>
    </xf>
    <xf numFmtId="0" fontId="32" fillId="0" borderId="0" xfId="1" applyFont="1" applyAlignment="1">
      <alignment horizontal="center" vertical="center"/>
    </xf>
    <xf numFmtId="0" fontId="28" fillId="0" borderId="6" xfId="1" applyFont="1" applyBorder="1" applyAlignment="1">
      <alignment horizontal="center" vertical="center"/>
    </xf>
    <xf numFmtId="0" fontId="34" fillId="0" borderId="51" xfId="1" applyFont="1" applyBorder="1" applyAlignment="1">
      <alignment horizontal="center" vertical="center"/>
    </xf>
    <xf numFmtId="0" fontId="31" fillId="2" borderId="17" xfId="1" applyFont="1" applyFill="1" applyBorder="1" applyAlignment="1">
      <alignment horizontal="center" vertical="center"/>
    </xf>
    <xf numFmtId="0" fontId="28" fillId="0" borderId="6" xfId="1" applyFont="1" applyBorder="1" applyAlignment="1">
      <alignment vertical="center"/>
    </xf>
    <xf numFmtId="0" fontId="28" fillId="0" borderId="51" xfId="1" applyFont="1" applyBorder="1" applyAlignment="1">
      <alignment vertical="center"/>
    </xf>
    <xf numFmtId="0" fontId="28" fillId="0" borderId="29" xfId="1" applyFont="1" applyBorder="1" applyAlignment="1">
      <alignment horizontal="center" vertical="center"/>
    </xf>
    <xf numFmtId="0" fontId="43" fillId="0" borderId="65" xfId="1" applyFont="1" applyBorder="1" applyAlignment="1">
      <alignment horizontal="left" vertical="center"/>
    </xf>
    <xf numFmtId="3" fontId="28" fillId="0" borderId="19" xfId="1" applyNumberFormat="1" applyFont="1" applyBorder="1" applyAlignment="1">
      <alignment horizontal="center" vertical="center"/>
    </xf>
    <xf numFmtId="0" fontId="28" fillId="0" borderId="55" xfId="1" applyFont="1" applyBorder="1" applyAlignment="1">
      <alignment vertical="center"/>
    </xf>
    <xf numFmtId="0" fontId="41" fillId="0" borderId="55" xfId="1" applyFont="1" applyBorder="1" applyAlignment="1">
      <alignment horizontal="left" vertical="center"/>
    </xf>
    <xf numFmtId="0" fontId="28" fillId="0" borderId="31" xfId="1" applyFont="1" applyBorder="1" applyAlignment="1">
      <alignment horizontal="center" vertical="center"/>
    </xf>
    <xf numFmtId="3" fontId="28" fillId="0" borderId="32" xfId="1" applyNumberFormat="1" applyFont="1" applyBorder="1" applyAlignment="1">
      <alignment horizontal="center" vertical="center"/>
    </xf>
    <xf numFmtId="0" fontId="28" fillId="0" borderId="10" xfId="1" applyFont="1" applyBorder="1" applyAlignment="1">
      <alignment vertical="center"/>
    </xf>
    <xf numFmtId="0" fontId="28" fillId="0" borderId="56" xfId="1" applyFont="1" applyBorder="1" applyAlignment="1">
      <alignment vertical="center"/>
    </xf>
    <xf numFmtId="0" fontId="27" fillId="0" borderId="0" xfId="1" applyFont="1" applyAlignment="1">
      <alignment vertical="center"/>
    </xf>
    <xf numFmtId="0" fontId="47" fillId="0" borderId="0" xfId="1" applyFont="1" applyAlignment="1">
      <alignment vertical="center"/>
    </xf>
    <xf numFmtId="0" fontId="48" fillId="0" borderId="0" xfId="1" applyFont="1" applyAlignment="1">
      <alignment horizontal="center" vertical="center"/>
    </xf>
    <xf numFmtId="0" fontId="27" fillId="0" borderId="0" xfId="1" applyFont="1" applyAlignment="1">
      <alignment horizontal="center" vertical="center"/>
    </xf>
    <xf numFmtId="0" fontId="28" fillId="0" borderId="0" xfId="1" applyFont="1"/>
    <xf numFmtId="0" fontId="31" fillId="0" borderId="0" xfId="1" applyFont="1"/>
    <xf numFmtId="0" fontId="29" fillId="0" borderId="2" xfId="1" applyFont="1" applyBorder="1" applyAlignment="1">
      <alignment horizontal="center" vertical="center" wrapText="1"/>
    </xf>
    <xf numFmtId="0" fontId="34" fillId="0" borderId="2" xfId="1" applyFont="1" applyBorder="1" applyAlignment="1">
      <alignment horizontal="center" vertical="center" wrapText="1"/>
    </xf>
    <xf numFmtId="0" fontId="28" fillId="2" borderId="0" xfId="0" applyFont="1" applyFill="1"/>
    <xf numFmtId="0" fontId="34" fillId="0" borderId="0" xfId="0" applyFont="1" applyAlignment="1">
      <alignment vertical="center"/>
    </xf>
    <xf numFmtId="0" fontId="34" fillId="0" borderId="0" xfId="0" applyFont="1" applyAlignment="1">
      <alignment horizontal="center" vertical="top"/>
    </xf>
    <xf numFmtId="9" fontId="34" fillId="0" borderId="0" xfId="0" applyNumberFormat="1" applyFont="1" applyAlignment="1">
      <alignment vertical="center"/>
    </xf>
    <xf numFmtId="166" fontId="34" fillId="0" borderId="0" xfId="0" applyNumberFormat="1" applyFont="1" applyAlignment="1">
      <alignment vertical="center"/>
    </xf>
    <xf numFmtId="0" fontId="34" fillId="0" borderId="0" xfId="0" applyFont="1" applyAlignment="1">
      <alignment vertical="top"/>
    </xf>
    <xf numFmtId="166" fontId="34" fillId="0" borderId="0" xfId="0" applyNumberFormat="1" applyFont="1" applyAlignment="1">
      <alignment vertical="top"/>
    </xf>
    <xf numFmtId="166" fontId="34" fillId="0" borderId="0" xfId="0" applyNumberFormat="1" applyFont="1"/>
    <xf numFmtId="9" fontId="31" fillId="0" borderId="0" xfId="0" applyNumberFormat="1" applyFont="1"/>
    <xf numFmtId="1" fontId="28" fillId="0" borderId="0" xfId="0" applyNumberFormat="1" applyFont="1"/>
    <xf numFmtId="10" fontId="34" fillId="0" borderId="0" xfId="0" applyNumberFormat="1" applyFont="1" applyAlignment="1">
      <alignment vertical="center"/>
    </xf>
    <xf numFmtId="0" fontId="34" fillId="0" borderId="0" xfId="0" applyFont="1" applyAlignment="1">
      <alignment horizontal="center"/>
    </xf>
    <xf numFmtId="166" fontId="34" fillId="0" borderId="0" xfId="0" applyNumberFormat="1" applyFont="1" applyAlignment="1">
      <alignment horizontal="center" vertical="top"/>
    </xf>
    <xf numFmtId="166" fontId="34" fillId="0" borderId="0" xfId="0" applyNumberFormat="1" applyFont="1" applyAlignment="1">
      <alignment horizontal="center"/>
    </xf>
    <xf numFmtId="0" fontId="34" fillId="0" borderId="0" xfId="0" applyFont="1" applyAlignment="1">
      <alignment horizontal="left" vertical="top"/>
    </xf>
    <xf numFmtId="9" fontId="34" fillId="0" borderId="0" xfId="0" applyNumberFormat="1" applyFont="1" applyAlignment="1">
      <alignment horizontal="center"/>
    </xf>
    <xf numFmtId="9" fontId="34" fillId="0" borderId="0" xfId="0" applyNumberFormat="1" applyFont="1" applyAlignment="1">
      <alignment horizontal="center" vertical="top"/>
    </xf>
    <xf numFmtId="9" fontId="49" fillId="0" borderId="0" xfId="0" applyNumberFormat="1" applyFont="1" applyAlignment="1">
      <alignment horizontal="center" vertical="top"/>
    </xf>
    <xf numFmtId="0" fontId="31" fillId="0" borderId="0" xfId="0" applyFont="1" applyAlignment="1">
      <alignment horizontal="center"/>
    </xf>
    <xf numFmtId="0" fontId="28" fillId="0" borderId="0" xfId="0" applyFont="1" applyAlignment="1">
      <alignment horizontal="center" vertical="center"/>
    </xf>
    <xf numFmtId="0" fontId="47" fillId="0" borderId="0" xfId="0" applyFont="1" applyAlignment="1">
      <alignment vertical="center"/>
    </xf>
    <xf numFmtId="0" fontId="47" fillId="0" borderId="0" xfId="0" applyFont="1"/>
    <xf numFmtId="0" fontId="51" fillId="0" borderId="0" xfId="0" applyFont="1"/>
    <xf numFmtId="0" fontId="29" fillId="0" borderId="0" xfId="0" applyFont="1"/>
    <xf numFmtId="0" fontId="52" fillId="0" borderId="0" xfId="0" applyFont="1"/>
    <xf numFmtId="0" fontId="35" fillId="0" borderId="0" xfId="0" applyFont="1"/>
    <xf numFmtId="0" fontId="49" fillId="3" borderId="21" xfId="0" applyFont="1" applyFill="1" applyBorder="1" applyAlignment="1">
      <alignment horizontal="center" vertical="center" wrapText="1"/>
    </xf>
    <xf numFmtId="0" fontId="28" fillId="0" borderId="0" xfId="0" applyFont="1" applyAlignment="1">
      <alignment horizontal="center" vertical="center" wrapText="1"/>
    </xf>
    <xf numFmtId="0" fontId="29" fillId="0" borderId="18" xfId="0" applyFont="1" applyBorder="1" applyAlignment="1">
      <alignment horizontal="left" vertical="center"/>
    </xf>
    <xf numFmtId="0" fontId="28" fillId="0" borderId="21" xfId="0" applyFont="1" applyBorder="1"/>
    <xf numFmtId="0" fontId="29" fillId="0" borderId="21" xfId="0" applyFont="1" applyBorder="1" applyAlignment="1">
      <alignment horizontal="center"/>
    </xf>
    <xf numFmtId="0" fontId="28" fillId="0" borderId="2" xfId="0" applyFont="1" applyBorder="1" applyAlignment="1">
      <alignment horizontal="center" vertical="center"/>
    </xf>
    <xf numFmtId="0" fontId="28" fillId="0" borderId="23" xfId="0" applyFont="1" applyBorder="1" applyAlignment="1">
      <alignment horizontal="center" vertical="center"/>
    </xf>
    <xf numFmtId="0" fontId="28" fillId="0" borderId="23" xfId="0" applyFont="1" applyBorder="1"/>
    <xf numFmtId="0" fontId="29" fillId="0" borderId="29" xfId="0" applyFont="1" applyBorder="1" applyAlignment="1">
      <alignment vertical="center" wrapText="1"/>
    </xf>
    <xf numFmtId="0" fontId="28" fillId="0" borderId="21" xfId="0" applyFont="1" applyBorder="1" applyAlignment="1">
      <alignment horizontal="center" vertical="center"/>
    </xf>
    <xf numFmtId="0" fontId="30" fillId="0" borderId="0" xfId="0" applyFont="1" applyAlignment="1">
      <alignment horizontal="left" indent="3"/>
    </xf>
    <xf numFmtId="0" fontId="28" fillId="0" borderId="1" xfId="0" applyFont="1" applyBorder="1" applyAlignment="1">
      <alignment horizontal="center" vertical="top"/>
    </xf>
    <xf numFmtId="0" fontId="28" fillId="0" borderId="14" xfId="0" applyFont="1" applyBorder="1" applyAlignment="1">
      <alignment vertical="center" wrapText="1"/>
    </xf>
    <xf numFmtId="0" fontId="28" fillId="0" borderId="1" xfId="0" applyFont="1" applyBorder="1"/>
    <xf numFmtId="0" fontId="28" fillId="0" borderId="1" xfId="0" applyFont="1" applyBorder="1" applyAlignment="1">
      <alignment horizontal="center" vertical="center"/>
    </xf>
    <xf numFmtId="0" fontId="28" fillId="0" borderId="2" xfId="0" applyFont="1" applyBorder="1" applyAlignment="1">
      <alignment vertical="center"/>
    </xf>
    <xf numFmtId="0" fontId="29" fillId="0" borderId="2" xfId="0" applyFont="1" applyBorder="1" applyAlignment="1">
      <alignment vertical="center"/>
    </xf>
    <xf numFmtId="0" fontId="29" fillId="0" borderId="2" xfId="0" applyFont="1" applyBorder="1" applyAlignment="1">
      <alignment horizontal="center" vertical="center"/>
    </xf>
    <xf numFmtId="0" fontId="40" fillId="0" borderId="0" xfId="0" applyFont="1"/>
    <xf numFmtId="15" fontId="31" fillId="0" borderId="2" xfId="0" applyNumberFormat="1" applyFont="1" applyBorder="1" applyAlignment="1">
      <alignment horizontal="center" vertical="center"/>
    </xf>
    <xf numFmtId="0" fontId="35" fillId="0" borderId="0" xfId="0" applyFont="1" applyAlignment="1">
      <alignment vertical="center"/>
    </xf>
    <xf numFmtId="0" fontId="32" fillId="0" borderId="8" xfId="0" applyFont="1" applyBorder="1" applyAlignment="1">
      <alignment horizontal="center" vertical="center" wrapText="1"/>
    </xf>
    <xf numFmtId="0" fontId="32" fillId="0" borderId="8" xfId="0" applyFont="1" applyBorder="1" applyAlignment="1">
      <alignment horizontal="center" vertical="center"/>
    </xf>
    <xf numFmtId="0" fontId="32" fillId="0" borderId="0" xfId="0" applyFont="1"/>
    <xf numFmtId="0" fontId="28" fillId="0" borderId="1" xfId="0" applyFont="1" applyBorder="1" applyAlignment="1">
      <alignment wrapText="1"/>
    </xf>
    <xf numFmtId="0" fontId="28" fillId="0" borderId="0" xfId="0" applyFont="1" applyAlignment="1">
      <alignment horizontal="left" vertical="center"/>
    </xf>
    <xf numFmtId="0" fontId="29" fillId="0" borderId="0" xfId="0" applyFont="1" applyAlignment="1">
      <alignment horizontal="center" vertical="center"/>
    </xf>
    <xf numFmtId="0" fontId="30" fillId="0" borderId="0" xfId="0" applyFont="1" applyAlignment="1">
      <alignment wrapText="1"/>
    </xf>
    <xf numFmtId="0" fontId="30" fillId="0" borderId="2" xfId="0" applyFont="1" applyBorder="1" applyAlignment="1">
      <alignment horizontal="center" wrapText="1"/>
    </xf>
    <xf numFmtId="0" fontId="30" fillId="0" borderId="2" xfId="0" applyFont="1" applyBorder="1"/>
    <xf numFmtId="0" fontId="30" fillId="0" borderId="5" xfId="0" applyFont="1" applyBorder="1" applyAlignment="1">
      <alignment horizontal="center"/>
    </xf>
    <xf numFmtId="0" fontId="30" fillId="0" borderId="40" xfId="0" applyFont="1" applyBorder="1" applyAlignment="1">
      <alignment horizontal="center"/>
    </xf>
    <xf numFmtId="0" fontId="30" fillId="0" borderId="2" xfId="0" applyFont="1" applyBorder="1" applyAlignment="1">
      <alignment horizontal="center" vertical="center"/>
    </xf>
    <xf numFmtId="0" fontId="34" fillId="0" borderId="0" xfId="0" applyFont="1"/>
    <xf numFmtId="0" fontId="34" fillId="0" borderId="21" xfId="0" applyFont="1" applyBorder="1" applyAlignment="1">
      <alignment horizontal="center" vertical="center"/>
    </xf>
    <xf numFmtId="0" fontId="34" fillId="0" borderId="2" xfId="0" applyFont="1" applyBorder="1" applyAlignment="1">
      <alignment horizontal="center" vertical="center"/>
    </xf>
    <xf numFmtId="0" fontId="34" fillId="0" borderId="8" xfId="0" applyFont="1" applyBorder="1" applyAlignment="1">
      <alignment horizontal="center" vertical="center"/>
    </xf>
    <xf numFmtId="0" fontId="49" fillId="0" borderId="8" xfId="0" applyFont="1" applyBorder="1" applyAlignment="1">
      <alignment horizontal="center" vertical="center"/>
    </xf>
    <xf numFmtId="0" fontId="34" fillId="0" borderId="0" xfId="0" applyFont="1" applyAlignment="1">
      <alignment horizontal="left" vertical="center"/>
    </xf>
    <xf numFmtId="0" fontId="31" fillId="0" borderId="0" xfId="0" applyFont="1" applyAlignment="1">
      <alignment horizontal="left" vertical="center"/>
    </xf>
    <xf numFmtId="0" fontId="52" fillId="0" borderId="1" xfId="0" applyFont="1" applyBorder="1" applyAlignment="1">
      <alignment horizontal="center" vertical="center"/>
    </xf>
    <xf numFmtId="0" fontId="52" fillId="0" borderId="2" xfId="0" applyFont="1" applyBorder="1" applyAlignment="1">
      <alignment horizontal="center" vertical="center"/>
    </xf>
    <xf numFmtId="0" fontId="31" fillId="0" borderId="0" xfId="0" applyFont="1" applyAlignment="1">
      <alignment vertical="top"/>
    </xf>
    <xf numFmtId="0" fontId="52" fillId="0" borderId="0" xfId="0" applyFont="1" applyAlignment="1">
      <alignment vertical="top"/>
    </xf>
    <xf numFmtId="0" fontId="31" fillId="0" borderId="0" xfId="0" applyFont="1" applyAlignment="1">
      <alignment horizontal="left" indent="2"/>
    </xf>
    <xf numFmtId="0" fontId="51" fillId="0" borderId="0" xfId="0" applyFont="1" applyAlignment="1">
      <alignment vertical="center"/>
    </xf>
    <xf numFmtId="0" fontId="29" fillId="0" borderId="8" xfId="0" applyFont="1" applyBorder="1" applyAlignment="1">
      <alignment horizontal="center" vertical="center"/>
    </xf>
    <xf numFmtId="0" fontId="29" fillId="0" borderId="0" xfId="0" applyFont="1" applyAlignment="1">
      <alignment horizontal="left" vertical="center"/>
    </xf>
    <xf numFmtId="0" fontId="28" fillId="0" borderId="1" xfId="0" applyFont="1" applyBorder="1" applyAlignment="1">
      <alignment horizontal="center"/>
    </xf>
    <xf numFmtId="0" fontId="43" fillId="0" borderId="0" xfId="0" applyFont="1" applyAlignment="1">
      <alignment horizontal="center"/>
    </xf>
    <xf numFmtId="0" fontId="57" fillId="0" borderId="8" xfId="0" applyFont="1" applyBorder="1" applyAlignment="1">
      <alignment horizontal="center" vertical="center"/>
    </xf>
    <xf numFmtId="0" fontId="58" fillId="0" borderId="0" xfId="0" applyFont="1"/>
    <xf numFmtId="0" fontId="32" fillId="0" borderId="0" xfId="0" applyFont="1" applyAlignment="1">
      <alignment horizontal="center"/>
    </xf>
    <xf numFmtId="0" fontId="30" fillId="0" borderId="1" xfId="0" applyFont="1" applyBorder="1" applyAlignment="1">
      <alignment horizontal="center" vertical="center"/>
    </xf>
    <xf numFmtId="0" fontId="58" fillId="0" borderId="2" xfId="0" applyFont="1" applyBorder="1" applyAlignment="1">
      <alignment horizontal="center"/>
    </xf>
    <xf numFmtId="0" fontId="28" fillId="2" borderId="0" xfId="0" applyFont="1" applyFill="1" applyAlignment="1">
      <alignment vertical="center"/>
    </xf>
    <xf numFmtId="0" fontId="35" fillId="0" borderId="0" xfId="0" applyFont="1" applyAlignment="1">
      <alignment horizontal="center" vertical="center"/>
    </xf>
    <xf numFmtId="0" fontId="28" fillId="2" borderId="0" xfId="0" applyFont="1" applyFill="1" applyAlignment="1">
      <alignment horizontal="center" vertical="center"/>
    </xf>
    <xf numFmtId="0" fontId="29" fillId="3" borderId="8" xfId="0" applyFont="1" applyFill="1" applyBorder="1" applyAlignment="1">
      <alignment horizontal="center" vertical="center" wrapText="1"/>
    </xf>
    <xf numFmtId="0" fontId="29" fillId="4" borderId="8" xfId="0" applyFont="1" applyFill="1" applyBorder="1" applyAlignment="1">
      <alignment horizontal="center" vertical="center" wrapText="1"/>
    </xf>
    <xf numFmtId="0" fontId="47" fillId="0" borderId="2" xfId="0" applyFont="1" applyBorder="1" applyAlignment="1">
      <alignment horizontal="center" vertical="center"/>
    </xf>
    <xf numFmtId="0" fontId="29" fillId="2" borderId="0" xfId="0" applyFont="1" applyFill="1" applyAlignment="1">
      <alignment horizontal="center" vertical="center"/>
    </xf>
    <xf numFmtId="0" fontId="27" fillId="2" borderId="0" xfId="0" applyFont="1" applyFill="1" applyAlignment="1">
      <alignment horizontal="center" vertical="center"/>
    </xf>
    <xf numFmtId="0" fontId="47" fillId="2" borderId="0" xfId="0" applyFont="1" applyFill="1" applyAlignment="1">
      <alignment horizontal="center" vertical="center"/>
    </xf>
    <xf numFmtId="0" fontId="50" fillId="0" borderId="0" xfId="0" applyFont="1" applyAlignment="1">
      <alignment vertical="center"/>
    </xf>
    <xf numFmtId="15" fontId="59" fillId="0" borderId="0" xfId="0" applyNumberFormat="1" applyFont="1" applyAlignment="1">
      <alignment horizontal="center" vertical="center"/>
    </xf>
    <xf numFmtId="15" fontId="46" fillId="0" borderId="0" xfId="0" applyNumberFormat="1" applyFont="1" applyAlignment="1">
      <alignment horizontal="center" vertical="center"/>
    </xf>
    <xf numFmtId="0" fontId="32" fillId="0" borderId="24" xfId="0" applyFont="1" applyBorder="1"/>
    <xf numFmtId="0" fontId="32" fillId="0" borderId="25" xfId="0" applyFont="1" applyBorder="1"/>
    <xf numFmtId="0" fontId="32" fillId="0" borderId="26" xfId="0" applyFont="1" applyBorder="1"/>
    <xf numFmtId="0" fontId="32" fillId="0" borderId="27" xfId="0" applyFont="1" applyBorder="1"/>
    <xf numFmtId="0" fontId="35" fillId="0" borderId="26" xfId="0" applyFont="1" applyBorder="1"/>
    <xf numFmtId="0" fontId="35" fillId="0" borderId="27" xfId="0" applyFont="1" applyBorder="1"/>
    <xf numFmtId="0" fontId="35" fillId="0" borderId="0" xfId="0" applyFont="1" applyAlignment="1">
      <alignment horizontal="left" indent="2"/>
    </xf>
    <xf numFmtId="0" fontId="35" fillId="0" borderId="0" xfId="0" applyFont="1" applyAlignment="1">
      <alignment horizontal="left" indent="4"/>
    </xf>
    <xf numFmtId="0" fontId="35" fillId="0" borderId="0" xfId="0" applyFont="1" applyAlignment="1">
      <alignment horizontal="left" indent="5"/>
    </xf>
    <xf numFmtId="0" fontId="32" fillId="0" borderId="9" xfId="0" applyFont="1" applyBorder="1"/>
    <xf numFmtId="0" fontId="32" fillId="0" borderId="10" xfId="0" applyFont="1" applyBorder="1"/>
    <xf numFmtId="0" fontId="32" fillId="0" borderId="28" xfId="0" applyFont="1" applyBorder="1"/>
    <xf numFmtId="0" fontId="15" fillId="0" borderId="0" xfId="0" applyFont="1" applyAlignment="1">
      <alignment wrapText="1"/>
    </xf>
    <xf numFmtId="0" fontId="32" fillId="0" borderId="72" xfId="0" applyFont="1" applyBorder="1" applyAlignment="1">
      <alignment horizontal="center" vertical="center"/>
    </xf>
    <xf numFmtId="0" fontId="32" fillId="0" borderId="72" xfId="0" applyFont="1" applyBorder="1" applyAlignment="1">
      <alignment horizontal="center" vertical="center" wrapText="1"/>
    </xf>
    <xf numFmtId="0" fontId="64" fillId="0" borderId="0" xfId="0" applyFont="1"/>
    <xf numFmtId="0" fontId="39" fillId="0" borderId="0" xfId="0" applyFont="1"/>
    <xf numFmtId="0" fontId="68" fillId="0" borderId="0" xfId="0" applyFont="1"/>
    <xf numFmtId="0" fontId="31" fillId="0" borderId="2" xfId="0" applyFont="1" applyBorder="1" applyAlignment="1">
      <alignment horizontal="center" vertical="center"/>
    </xf>
    <xf numFmtId="0" fontId="46" fillId="0" borderId="2" xfId="0" applyFont="1" applyBorder="1" applyAlignment="1">
      <alignment horizontal="center" vertical="center"/>
    </xf>
    <xf numFmtId="15" fontId="58" fillId="0" borderId="2" xfId="0" applyNumberFormat="1" applyFont="1" applyBorder="1" applyAlignment="1">
      <alignment horizontal="center" vertical="center"/>
    </xf>
    <xf numFmtId="15" fontId="18" fillId="0" borderId="13" xfId="0" applyNumberFormat="1" applyFont="1" applyBorder="1" applyAlignment="1">
      <alignment vertical="center"/>
    </xf>
    <xf numFmtId="15" fontId="18" fillId="0" borderId="0" xfId="0" applyNumberFormat="1" applyFont="1" applyAlignment="1">
      <alignment vertical="center"/>
    </xf>
    <xf numFmtId="0" fontId="46" fillId="0" borderId="0" xfId="1" applyFont="1" applyAlignment="1">
      <alignment vertical="center"/>
    </xf>
    <xf numFmtId="15" fontId="31" fillId="0" borderId="0" xfId="0" applyNumberFormat="1" applyFont="1" applyAlignment="1">
      <alignment vertical="center"/>
    </xf>
    <xf numFmtId="15" fontId="58" fillId="0" borderId="0" xfId="0" applyNumberFormat="1" applyFont="1" applyAlignment="1">
      <alignment vertical="center"/>
    </xf>
    <xf numFmtId="0" fontId="0" fillId="0" borderId="0" xfId="0" applyAlignment="1">
      <alignment horizontal="center"/>
    </xf>
    <xf numFmtId="0" fontId="63" fillId="0" borderId="0" xfId="0" applyFont="1" applyAlignment="1">
      <alignment horizontal="center" vertical="center"/>
    </xf>
    <xf numFmtId="0" fontId="70" fillId="0" borderId="92" xfId="0" applyFont="1" applyBorder="1" applyAlignment="1">
      <alignment horizontal="center" vertical="center"/>
    </xf>
    <xf numFmtId="0" fontId="70" fillId="0" borderId="92" xfId="0" applyFont="1" applyBorder="1" applyAlignment="1">
      <alignment horizontal="center" vertical="center" wrapText="1"/>
    </xf>
    <xf numFmtId="0" fontId="0" fillId="0" borderId="1" xfId="0" applyBorder="1" applyAlignment="1">
      <alignment horizontal="center"/>
    </xf>
    <xf numFmtId="0" fontId="0" fillId="0" borderId="1" xfId="0" applyBorder="1"/>
    <xf numFmtId="0" fontId="0" fillId="0" borderId="2" xfId="0" applyBorder="1" applyAlignment="1">
      <alignment horizontal="center"/>
    </xf>
    <xf numFmtId="0" fontId="0" fillId="0" borderId="2" xfId="0" applyBorder="1"/>
    <xf numFmtId="165" fontId="0" fillId="0" borderId="2" xfId="0" applyNumberFormat="1" applyBorder="1"/>
    <xf numFmtId="0" fontId="22" fillId="0" borderId="0" xfId="0" applyFont="1" applyAlignment="1">
      <alignment horizontal="justify" vertical="center"/>
    </xf>
    <xf numFmtId="0" fontId="22" fillId="0" borderId="0" xfId="0" applyFont="1"/>
    <xf numFmtId="0" fontId="0" fillId="0" borderId="2" xfId="0" applyBorder="1" applyAlignment="1">
      <alignment horizontal="center" vertical="center"/>
    </xf>
    <xf numFmtId="0" fontId="0" fillId="0" borderId="2" xfId="0" applyBorder="1" applyAlignment="1">
      <alignment horizontal="center" vertical="center" wrapText="1"/>
    </xf>
    <xf numFmtId="0" fontId="71" fillId="0" borderId="97" xfId="0" applyFont="1" applyBorder="1" applyAlignment="1">
      <alignment horizontal="center" vertical="center" wrapText="1"/>
    </xf>
    <xf numFmtId="0" fontId="71" fillId="0" borderId="98" xfId="0" applyFont="1" applyBorder="1" applyAlignment="1">
      <alignment horizontal="center" vertical="center" wrapText="1"/>
    </xf>
    <xf numFmtId="0" fontId="0" fillId="0" borderId="99" xfId="0" applyBorder="1" applyAlignment="1">
      <alignment vertical="top" wrapText="1"/>
    </xf>
    <xf numFmtId="0" fontId="71" fillId="0" borderId="99" xfId="0" applyFont="1" applyBorder="1" applyAlignment="1">
      <alignment horizontal="center" vertical="center" wrapText="1"/>
    </xf>
    <xf numFmtId="20" fontId="71" fillId="0" borderId="99" xfId="0" applyNumberFormat="1" applyFont="1" applyBorder="1" applyAlignment="1">
      <alignment horizontal="center" vertical="center" wrapText="1"/>
    </xf>
    <xf numFmtId="0" fontId="70" fillId="0" borderId="0" xfId="0" applyFont="1" applyAlignment="1">
      <alignment horizontal="center"/>
    </xf>
    <xf numFmtId="20" fontId="71" fillId="0" borderId="98" xfId="0" applyNumberFormat="1" applyFont="1" applyBorder="1" applyAlignment="1">
      <alignment horizontal="center" vertical="center" wrapText="1"/>
    </xf>
    <xf numFmtId="0" fontId="74" fillId="0" borderId="97" xfId="0" applyFont="1" applyBorder="1" applyAlignment="1">
      <alignment horizontal="center" vertical="center" wrapText="1"/>
    </xf>
    <xf numFmtId="0" fontId="74" fillId="0" borderId="98" xfId="0" applyFont="1" applyBorder="1" applyAlignment="1">
      <alignment horizontal="center" vertical="center" wrapText="1"/>
    </xf>
    <xf numFmtId="0" fontId="71" fillId="0" borderId="99" xfId="0" applyFont="1" applyBorder="1" applyAlignment="1">
      <alignment vertical="center" wrapText="1"/>
    </xf>
    <xf numFmtId="0" fontId="70" fillId="0" borderId="0" xfId="0" applyFont="1" applyAlignment="1">
      <alignment horizontal="left"/>
    </xf>
    <xf numFmtId="15" fontId="51" fillId="0" borderId="0" xfId="0" applyNumberFormat="1" applyFont="1" applyAlignment="1">
      <alignment vertical="center"/>
    </xf>
    <xf numFmtId="0" fontId="70" fillId="0" borderId="0" xfId="0" applyFont="1"/>
    <xf numFmtId="0" fontId="22" fillId="0" borderId="2" xfId="0" applyFont="1" applyBorder="1" applyAlignment="1">
      <alignment horizontal="justify" vertical="center" wrapText="1"/>
    </xf>
    <xf numFmtId="0" fontId="70" fillId="0" borderId="2" xfId="0" applyFont="1" applyBorder="1" applyAlignment="1">
      <alignment horizontal="justify" vertical="center" wrapText="1"/>
    </xf>
    <xf numFmtId="0" fontId="70" fillId="0" borderId="0" xfId="0" applyFont="1" applyAlignment="1">
      <alignment horizontal="center" vertical="center"/>
    </xf>
    <xf numFmtId="0" fontId="22" fillId="0" borderId="2" xfId="0" applyFont="1" applyBorder="1" applyAlignment="1">
      <alignment horizontal="center" vertical="center" wrapText="1"/>
    </xf>
    <xf numFmtId="0" fontId="22" fillId="0" borderId="1" xfId="0" applyFont="1" applyBorder="1" applyAlignment="1">
      <alignment horizontal="center" vertical="center" wrapText="1"/>
    </xf>
    <xf numFmtId="0" fontId="75" fillId="0" borderId="1" xfId="0" applyFont="1" applyBorder="1" applyAlignment="1">
      <alignment horizontal="justify" vertical="center" wrapText="1"/>
    </xf>
    <xf numFmtId="0" fontId="22" fillId="0" borderId="1" xfId="0" applyFont="1" applyBorder="1" applyAlignment="1">
      <alignment horizontal="justify" vertical="center" wrapText="1"/>
    </xf>
    <xf numFmtId="0" fontId="22" fillId="0" borderId="104" xfId="0" applyFont="1" applyBorder="1" applyAlignment="1">
      <alignment horizontal="center" vertical="center" wrapText="1"/>
    </xf>
    <xf numFmtId="0" fontId="22" fillId="0" borderId="105" xfId="0" applyFont="1" applyBorder="1" applyAlignment="1">
      <alignment horizontal="center" vertical="center" wrapText="1"/>
    </xf>
    <xf numFmtId="0" fontId="70" fillId="0" borderId="2" xfId="0" applyFont="1" applyBorder="1" applyAlignment="1">
      <alignment horizontal="center" vertical="center" wrapText="1"/>
    </xf>
    <xf numFmtId="0" fontId="22" fillId="0" borderId="2" xfId="0" applyFont="1" applyBorder="1" applyAlignment="1">
      <alignment horizontal="left" vertical="center" wrapText="1" indent="2"/>
    </xf>
    <xf numFmtId="0" fontId="70" fillId="0" borderId="104" xfId="0" applyFont="1" applyBorder="1" applyAlignment="1">
      <alignment horizontal="center" vertical="center" wrapText="1"/>
    </xf>
    <xf numFmtId="0" fontId="70" fillId="0" borderId="105" xfId="0" applyFont="1" applyBorder="1" applyAlignment="1">
      <alignment horizontal="center" vertical="center" wrapText="1"/>
    </xf>
    <xf numFmtId="0" fontId="32" fillId="0" borderId="72" xfId="0" applyFont="1" applyBorder="1" applyAlignment="1">
      <alignment horizontal="center"/>
    </xf>
    <xf numFmtId="0" fontId="0" fillId="0" borderId="2" xfId="0" applyBorder="1" applyAlignment="1">
      <alignment vertical="center"/>
    </xf>
    <xf numFmtId="0" fontId="70" fillId="3" borderId="2" xfId="0" applyFont="1" applyFill="1" applyBorder="1" applyAlignment="1">
      <alignment horizontal="center" vertical="center"/>
    </xf>
    <xf numFmtId="0" fontId="30" fillId="0" borderId="0" xfId="0" applyFont="1" applyAlignment="1">
      <alignment horizontal="left" vertical="center"/>
    </xf>
    <xf numFmtId="0" fontId="32" fillId="0" borderId="46" xfId="0" applyFont="1" applyBorder="1" applyAlignment="1">
      <alignment horizontal="center" wrapText="1"/>
    </xf>
    <xf numFmtId="0" fontId="30" fillId="0" borderId="40" xfId="0" applyFont="1" applyBorder="1" applyAlignment="1">
      <alignment horizontal="center" wrapText="1"/>
    </xf>
    <xf numFmtId="0" fontId="28" fillId="0" borderId="1" xfId="0" applyFont="1" applyBorder="1" applyAlignment="1">
      <alignment horizontal="left" vertical="center" indent="1"/>
    </xf>
    <xf numFmtId="0" fontId="28" fillId="0" borderId="2" xfId="0" applyFont="1" applyBorder="1" applyAlignment="1">
      <alignment horizontal="left" vertical="center" indent="1"/>
    </xf>
    <xf numFmtId="0" fontId="32" fillId="0" borderId="19" xfId="0" applyFont="1" applyBorder="1" applyAlignment="1">
      <alignment horizontal="center"/>
    </xf>
    <xf numFmtId="0" fontId="32" fillId="0" borderId="2" xfId="0" applyFont="1" applyBorder="1" applyAlignment="1">
      <alignment horizontal="center" wrapText="1"/>
    </xf>
    <xf numFmtId="0" fontId="0" fillId="0" borderId="0" xfId="0" applyAlignment="1">
      <alignment horizontal="left"/>
    </xf>
    <xf numFmtId="0" fontId="32" fillId="0" borderId="2" xfId="0" applyFont="1" applyBorder="1" applyAlignment="1">
      <alignment horizontal="center" vertical="center"/>
    </xf>
    <xf numFmtId="0" fontId="47" fillId="2" borderId="2" xfId="0" applyFont="1" applyFill="1" applyBorder="1" applyAlignment="1">
      <alignment vertical="center"/>
    </xf>
    <xf numFmtId="0" fontId="30" fillId="0" borderId="2" xfId="0" applyFont="1" applyBorder="1" applyAlignment="1">
      <alignment horizontal="center"/>
    </xf>
    <xf numFmtId="0" fontId="47" fillId="2" borderId="1" xfId="0" applyFont="1" applyFill="1" applyBorder="1" applyAlignment="1">
      <alignment horizontal="center" vertical="center"/>
    </xf>
    <xf numFmtId="0" fontId="47" fillId="2" borderId="2" xfId="0" applyFont="1" applyFill="1" applyBorder="1" applyAlignment="1">
      <alignment horizontal="center" vertical="center"/>
    </xf>
    <xf numFmtId="0" fontId="27" fillId="2" borderId="2" xfId="0" applyFont="1" applyFill="1" applyBorder="1" applyAlignment="1">
      <alignment horizontal="center" vertical="center"/>
    </xf>
    <xf numFmtId="0" fontId="28" fillId="0" borderId="5" xfId="0" applyFont="1" applyBorder="1" applyAlignment="1">
      <alignment vertical="center"/>
    </xf>
    <xf numFmtId="0" fontId="30" fillId="0" borderId="2" xfId="0" applyFont="1" applyBorder="1" applyAlignment="1">
      <alignment vertical="center" wrapText="1"/>
    </xf>
    <xf numFmtId="0" fontId="22" fillId="0" borderId="5" xfId="0" applyFont="1" applyBorder="1" applyAlignment="1">
      <alignment horizontal="center" vertical="center" wrapText="1"/>
    </xf>
    <xf numFmtId="0" fontId="30" fillId="0" borderId="2" xfId="0" applyFont="1" applyBorder="1" applyAlignment="1">
      <alignment horizontal="center" vertical="center" wrapText="1"/>
    </xf>
    <xf numFmtId="0" fontId="28" fillId="0" borderId="2" xfId="0" applyFont="1" applyBorder="1" applyAlignment="1">
      <alignment wrapText="1"/>
    </xf>
    <xf numFmtId="0" fontId="28" fillId="0" borderId="2" xfId="0" applyFont="1" applyBorder="1" applyAlignment="1">
      <alignment horizontal="center" vertical="center" wrapText="1"/>
    </xf>
    <xf numFmtId="0" fontId="11" fillId="0" borderId="0" xfId="0" applyFont="1" applyAlignment="1">
      <alignment horizontal="left"/>
    </xf>
    <xf numFmtId="0" fontId="28" fillId="0" borderId="2" xfId="0" applyFont="1" applyBorder="1" applyAlignment="1">
      <alignment horizontal="left"/>
    </xf>
    <xf numFmtId="0" fontId="28" fillId="0" borderId="2" xfId="1" applyFont="1" applyBorder="1" applyAlignment="1">
      <alignment horizontal="center"/>
    </xf>
    <xf numFmtId="0" fontId="28" fillId="0" borderId="2" xfId="1" applyFont="1" applyBorder="1" applyAlignment="1">
      <alignment horizontal="center" vertical="center"/>
    </xf>
    <xf numFmtId="0" fontId="83" fillId="0" borderId="0" xfId="0" applyFont="1"/>
    <xf numFmtId="0" fontId="66" fillId="0" borderId="0" xfId="0" applyFont="1"/>
    <xf numFmtId="0" fontId="70" fillId="0" borderId="2" xfId="0" applyFont="1" applyBorder="1" applyAlignment="1">
      <alignment horizontal="center" vertical="center"/>
    </xf>
    <xf numFmtId="0" fontId="70" fillId="0" borderId="21" xfId="0" applyFont="1" applyBorder="1" applyAlignment="1">
      <alignment horizontal="center" vertical="center"/>
    </xf>
    <xf numFmtId="0" fontId="70" fillId="0" borderId="8" xfId="0" applyFont="1" applyBorder="1" applyAlignment="1">
      <alignment horizontal="center" vertical="center"/>
    </xf>
    <xf numFmtId="0" fontId="10" fillId="0" borderId="1" xfId="0" applyFont="1" applyBorder="1" applyAlignment="1">
      <alignment horizontal="center" vertical="center"/>
    </xf>
    <xf numFmtId="1" fontId="10" fillId="0" borderId="1" xfId="0" applyNumberFormat="1" applyFont="1" applyBorder="1" applyAlignment="1">
      <alignment horizontal="center"/>
    </xf>
    <xf numFmtId="0" fontId="10" fillId="0" borderId="2" xfId="0" applyFont="1" applyBorder="1" applyAlignment="1">
      <alignment horizontal="center" vertical="center"/>
    </xf>
    <xf numFmtId="0" fontId="10" fillId="0" borderId="2" xfId="0" applyFont="1" applyBorder="1" applyAlignment="1">
      <alignment horizontal="center"/>
    </xf>
    <xf numFmtId="0" fontId="30" fillId="0" borderId="5" xfId="0" applyFont="1" applyBorder="1" applyAlignment="1">
      <alignment horizontal="left"/>
    </xf>
    <xf numFmtId="0" fontId="78" fillId="0" borderId="7" xfId="0" applyFont="1" applyBorder="1" applyAlignment="1">
      <alignment horizontal="center" vertical="center"/>
    </xf>
    <xf numFmtId="0" fontId="10" fillId="0" borderId="1" xfId="0" applyFont="1" applyBorder="1" applyAlignment="1">
      <alignment horizontal="center"/>
    </xf>
    <xf numFmtId="2" fontId="10" fillId="0" borderId="1" xfId="0" applyNumberFormat="1" applyFont="1" applyBorder="1" applyAlignment="1">
      <alignment horizontal="center"/>
    </xf>
    <xf numFmtId="10" fontId="10" fillId="0" borderId="1" xfId="0" applyNumberFormat="1" applyFont="1" applyBorder="1" applyAlignment="1">
      <alignment horizontal="center"/>
    </xf>
    <xf numFmtId="0" fontId="78" fillId="0" borderId="2" xfId="2" applyFont="1" applyBorder="1" applyAlignment="1">
      <alignment horizontal="center" vertical="center"/>
    </xf>
    <xf numFmtId="1" fontId="10" fillId="0" borderId="2" xfId="0" applyNumberFormat="1" applyFont="1" applyBorder="1" applyAlignment="1">
      <alignment horizontal="center"/>
    </xf>
    <xf numFmtId="2" fontId="9" fillId="0" borderId="2" xfId="0" applyNumberFormat="1" applyFont="1" applyBorder="1" applyAlignment="1">
      <alignment horizontal="center"/>
    </xf>
    <xf numFmtId="10" fontId="9" fillId="0" borderId="1" xfId="0" applyNumberFormat="1" applyFont="1" applyBorder="1" applyAlignment="1">
      <alignment horizontal="center"/>
    </xf>
    <xf numFmtId="0" fontId="78" fillId="0" borderId="2" xfId="0" applyFont="1" applyBorder="1" applyAlignment="1">
      <alignment horizontal="center" vertical="center"/>
    </xf>
    <xf numFmtId="2" fontId="10" fillId="0" borderId="2" xfId="0" applyNumberFormat="1" applyFont="1" applyBorder="1" applyAlignment="1">
      <alignment horizontal="center"/>
    </xf>
    <xf numFmtId="0" fontId="10" fillId="0" borderId="0" xfId="0" applyFont="1" applyAlignment="1">
      <alignment horizontal="center"/>
    </xf>
    <xf numFmtId="0" fontId="84" fillId="2" borderId="2" xfId="0" applyFont="1" applyFill="1" applyBorder="1" applyAlignment="1">
      <alignment horizontal="center" vertical="center"/>
    </xf>
    <xf numFmtId="0" fontId="9" fillId="0" borderId="2" xfId="0" applyFont="1" applyBorder="1" applyAlignment="1">
      <alignment horizontal="center"/>
    </xf>
    <xf numFmtId="9" fontId="10" fillId="0" borderId="2" xfId="0" applyNumberFormat="1" applyFont="1" applyBorder="1" applyAlignment="1">
      <alignment horizontal="center"/>
    </xf>
    <xf numFmtId="1" fontId="0" fillId="0" borderId="0" xfId="0" applyNumberFormat="1"/>
    <xf numFmtId="0" fontId="8" fillId="0" borderId="0" xfId="0" applyFont="1" applyAlignment="1">
      <alignment horizontal="center"/>
    </xf>
    <xf numFmtId="0" fontId="30" fillId="6" borderId="2" xfId="0" applyFont="1" applyFill="1" applyBorder="1" applyAlignment="1">
      <alignment horizontal="center" vertical="center" wrapText="1"/>
    </xf>
    <xf numFmtId="0" fontId="28" fillId="0" borderId="0" xfId="0" applyFont="1" applyAlignment="1">
      <alignment wrapText="1"/>
    </xf>
    <xf numFmtId="0" fontId="28" fillId="0" borderId="1" xfId="0" applyFont="1" applyBorder="1" applyAlignment="1">
      <alignment horizontal="left" vertical="center"/>
    </xf>
    <xf numFmtId="0" fontId="28" fillId="0" borderId="2" xfId="0" applyFont="1" applyBorder="1" applyAlignment="1">
      <alignment horizontal="left" vertical="center"/>
    </xf>
    <xf numFmtId="0" fontId="85" fillId="0" borderId="7" xfId="0" applyFont="1" applyBorder="1" applyAlignment="1">
      <alignment horizontal="center" vertical="center"/>
    </xf>
    <xf numFmtId="0" fontId="85" fillId="0" borderId="2" xfId="0" applyFont="1" applyBorder="1" applyAlignment="1">
      <alignment horizontal="center" vertical="center"/>
    </xf>
    <xf numFmtId="0" fontId="31" fillId="0" borderId="10" xfId="0" applyFont="1" applyBorder="1"/>
    <xf numFmtId="0" fontId="31" fillId="0" borderId="30" xfId="0" applyFont="1" applyBorder="1" applyAlignment="1">
      <alignment horizontal="center"/>
    </xf>
    <xf numFmtId="0" fontId="25" fillId="0" borderId="0" xfId="0" applyFont="1" applyAlignment="1">
      <alignment vertical="center"/>
    </xf>
    <xf numFmtId="0" fontId="32" fillId="0" borderId="41" xfId="0" applyFont="1" applyBorder="1" applyAlignment="1">
      <alignment horizontal="center"/>
    </xf>
    <xf numFmtId="0" fontId="30" fillId="0" borderId="41" xfId="0" applyFont="1" applyBorder="1" applyAlignment="1">
      <alignment horizontal="center"/>
    </xf>
    <xf numFmtId="0" fontId="30" fillId="0" borderId="43" xfId="0" applyFont="1" applyBorder="1" applyAlignment="1">
      <alignment horizontal="center"/>
    </xf>
    <xf numFmtId="0" fontId="30" fillId="0" borderId="0" xfId="0" applyFont="1" applyAlignment="1">
      <alignment horizontal="center"/>
    </xf>
    <xf numFmtId="0" fontId="34" fillId="0" borderId="89" xfId="0" applyFont="1" applyBorder="1" applyAlignment="1">
      <alignment horizontal="center" vertical="center"/>
    </xf>
    <xf numFmtId="0" fontId="32" fillId="0" borderId="0" xfId="0" applyFont="1" applyAlignment="1">
      <alignment horizontal="center" wrapText="1"/>
    </xf>
    <xf numFmtId="0" fontId="30" fillId="0" borderId="0" xfId="0" applyFont="1" applyAlignment="1">
      <alignment horizontal="center" wrapText="1"/>
    </xf>
    <xf numFmtId="0" fontId="32" fillId="0" borderId="5" xfId="0" applyFont="1" applyBorder="1" applyAlignment="1">
      <alignment horizontal="center"/>
    </xf>
    <xf numFmtId="0" fontId="32" fillId="0" borderId="89" xfId="0" applyFont="1" applyBorder="1" applyAlignment="1">
      <alignment horizontal="center"/>
    </xf>
    <xf numFmtId="0" fontId="7" fillId="0" borderId="0" xfId="0" applyFont="1" applyAlignment="1">
      <alignment horizontal="left"/>
    </xf>
    <xf numFmtId="0" fontId="30" fillId="0" borderId="5" xfId="0" applyFont="1" applyBorder="1" applyAlignment="1">
      <alignment horizontal="center" wrapText="1"/>
    </xf>
    <xf numFmtId="0" fontId="85" fillId="0" borderId="1" xfId="0" applyFont="1" applyBorder="1" applyAlignment="1">
      <alignment horizontal="center" vertical="center"/>
    </xf>
    <xf numFmtId="0" fontId="85" fillId="0" borderId="2" xfId="0" applyFont="1" applyBorder="1" applyAlignment="1">
      <alignment horizontal="center"/>
    </xf>
    <xf numFmtId="0" fontId="28" fillId="2" borderId="2" xfId="0" applyFont="1" applyFill="1" applyBorder="1"/>
    <xf numFmtId="0" fontId="22" fillId="0" borderId="53" xfId="0" applyFont="1" applyBorder="1" applyAlignment="1">
      <alignment horizontal="center" vertical="center" wrapText="1"/>
    </xf>
    <xf numFmtId="0" fontId="22" fillId="0" borderId="16" xfId="0" applyFont="1" applyBorder="1" applyAlignment="1">
      <alignment horizontal="center" vertical="center" wrapText="1"/>
    </xf>
    <xf numFmtId="0" fontId="6" fillId="0" borderId="1" xfId="0" applyFont="1" applyBorder="1" applyAlignment="1">
      <alignment horizontal="center" vertical="center" wrapText="1"/>
    </xf>
    <xf numFmtId="0" fontId="6" fillId="0" borderId="2" xfId="0" applyFont="1" applyBorder="1" applyAlignment="1">
      <alignment horizontal="justify" vertical="center" wrapText="1"/>
    </xf>
    <xf numFmtId="0" fontId="87" fillId="0" borderId="0" xfId="0" applyFont="1"/>
    <xf numFmtId="0" fontId="0" fillId="2" borderId="5" xfId="0" applyFill="1" applyBorder="1" applyAlignment="1">
      <alignment horizontal="center" vertical="center"/>
    </xf>
    <xf numFmtId="0" fontId="0" fillId="2" borderId="2" xfId="0" applyFill="1" applyBorder="1" applyAlignment="1">
      <alignment horizontal="center" vertical="center"/>
    </xf>
    <xf numFmtId="0" fontId="0" fillId="2" borderId="23" xfId="0" applyFill="1" applyBorder="1" applyAlignment="1">
      <alignment horizontal="center" vertical="center"/>
    </xf>
    <xf numFmtId="0" fontId="10" fillId="2" borderId="2" xfId="0" applyFont="1" applyFill="1" applyBorder="1" applyAlignment="1">
      <alignment horizontal="center" vertical="center"/>
    </xf>
    <xf numFmtId="9" fontId="0" fillId="2" borderId="2" xfId="0" applyNumberFormat="1" applyFill="1" applyBorder="1" applyAlignment="1">
      <alignment horizontal="center" vertical="center"/>
    </xf>
    <xf numFmtId="0" fontId="10" fillId="2" borderId="2" xfId="0" applyFont="1" applyFill="1" applyBorder="1" applyAlignment="1">
      <alignment horizontal="center"/>
    </xf>
    <xf numFmtId="0" fontId="0" fillId="2" borderId="0" xfId="0" applyFill="1" applyAlignment="1">
      <alignment horizontal="center" vertical="center"/>
    </xf>
    <xf numFmtId="0" fontId="0" fillId="2" borderId="0" xfId="0" applyFill="1"/>
    <xf numFmtId="0" fontId="0" fillId="2" borderId="23" xfId="0" applyFill="1" applyBorder="1" applyAlignment="1">
      <alignment horizontal="center" vertical="center" wrapText="1"/>
    </xf>
    <xf numFmtId="0" fontId="88" fillId="0" borderId="0" xfId="0" applyFont="1"/>
    <xf numFmtId="0" fontId="82" fillId="0" borderId="2" xfId="10" applyFont="1" applyBorder="1">
      <alignment vertical="center"/>
    </xf>
    <xf numFmtId="0" fontId="30" fillId="0" borderId="2" xfId="0" applyFont="1" applyBorder="1" applyAlignment="1">
      <alignment vertical="center"/>
    </xf>
    <xf numFmtId="0" fontId="89" fillId="0" borderId="2" xfId="10" applyFont="1" applyBorder="1">
      <alignment vertical="center"/>
    </xf>
    <xf numFmtId="0" fontId="5" fillId="0" borderId="0" xfId="0" applyFont="1" applyAlignment="1">
      <alignment horizontal="left"/>
    </xf>
    <xf numFmtId="0" fontId="90" fillId="0" borderId="0" xfId="0" applyFont="1" applyAlignment="1">
      <alignment horizontal="center" vertical="center"/>
    </xf>
    <xf numFmtId="0" fontId="28" fillId="0" borderId="123" xfId="0" applyFont="1" applyBorder="1" applyAlignment="1">
      <alignment vertical="center" wrapText="1"/>
    </xf>
    <xf numFmtId="0" fontId="40" fillId="26" borderId="123" xfId="0" applyFont="1" applyFill="1" applyBorder="1" applyAlignment="1">
      <alignment vertical="center" wrapText="1"/>
    </xf>
    <xf numFmtId="0" fontId="4" fillId="0" borderId="0" xfId="17"/>
    <xf numFmtId="0" fontId="28" fillId="0" borderId="0" xfId="17" applyFont="1" applyAlignment="1">
      <alignment vertical="center"/>
    </xf>
    <xf numFmtId="0" fontId="30" fillId="0" borderId="0" xfId="17" applyFont="1" applyAlignment="1">
      <alignment horizontal="left" vertical="center"/>
    </xf>
    <xf numFmtId="0" fontId="30" fillId="0" borderId="0" xfId="17" applyFont="1" applyAlignment="1">
      <alignment vertical="center"/>
    </xf>
    <xf numFmtId="0" fontId="34" fillId="0" borderId="70" xfId="17" applyFont="1" applyBorder="1" applyAlignment="1">
      <alignment horizontal="center" vertical="center"/>
    </xf>
    <xf numFmtId="0" fontId="34" fillId="2" borderId="59" xfId="17" applyFont="1" applyFill="1" applyBorder="1" applyAlignment="1">
      <alignment horizontal="center" vertical="center"/>
    </xf>
    <xf numFmtId="0" fontId="34" fillId="2" borderId="60" xfId="17" applyFont="1" applyFill="1" applyBorder="1" applyAlignment="1">
      <alignment horizontal="center" vertical="center"/>
    </xf>
    <xf numFmtId="0" fontId="34" fillId="2" borderId="63" xfId="17" applyFont="1" applyFill="1" applyBorder="1" applyAlignment="1">
      <alignment horizontal="center" vertical="center"/>
    </xf>
    <xf numFmtId="0" fontId="28" fillId="0" borderId="51" xfId="17" applyFont="1" applyBorder="1" applyAlignment="1">
      <alignment horizontal="center" vertical="center"/>
    </xf>
    <xf numFmtId="0" fontId="31" fillId="2" borderId="1" xfId="17" applyFont="1" applyFill="1" applyBorder="1" applyAlignment="1">
      <alignment horizontal="center" vertical="center"/>
    </xf>
    <xf numFmtId="0" fontId="31" fillId="2" borderId="45" xfId="17" applyFont="1" applyFill="1" applyBorder="1" applyAlignment="1">
      <alignment horizontal="center" vertical="center"/>
    </xf>
    <xf numFmtId="0" fontId="31" fillId="2" borderId="44" xfId="17" applyFont="1" applyFill="1" applyBorder="1" applyAlignment="1">
      <alignment horizontal="center" vertical="center"/>
    </xf>
    <xf numFmtId="0" fontId="28" fillId="0" borderId="55" xfId="17" applyFont="1" applyBorder="1" applyAlignment="1">
      <alignment horizontal="center" vertical="center"/>
    </xf>
    <xf numFmtId="3" fontId="28" fillId="0" borderId="2" xfId="17" applyNumberFormat="1" applyFont="1" applyBorder="1" applyAlignment="1">
      <alignment horizontal="center" vertical="center"/>
    </xf>
    <xf numFmtId="0" fontId="28" fillId="0" borderId="41" xfId="17" applyFont="1" applyBorder="1" applyAlignment="1">
      <alignment vertical="center"/>
    </xf>
    <xf numFmtId="3" fontId="28" fillId="0" borderId="40" xfId="17" applyNumberFormat="1" applyFont="1" applyBorder="1" applyAlignment="1">
      <alignment horizontal="center" vertical="center"/>
    </xf>
    <xf numFmtId="0" fontId="43" fillId="0" borderId="55" xfId="17" applyFont="1" applyBorder="1" applyAlignment="1">
      <alignment horizontal="left" vertical="center"/>
    </xf>
    <xf numFmtId="0" fontId="42" fillId="0" borderId="55" xfId="17" applyFont="1" applyBorder="1" applyAlignment="1">
      <alignment horizontal="left" vertical="center"/>
    </xf>
    <xf numFmtId="0" fontId="45" fillId="0" borderId="55" xfId="17" applyFont="1" applyBorder="1" applyAlignment="1">
      <alignment horizontal="left" vertical="center"/>
    </xf>
    <xf numFmtId="3" fontId="28" fillId="0" borderId="41" xfId="17" applyNumberFormat="1" applyFont="1" applyBorder="1" applyAlignment="1">
      <alignment horizontal="center" vertical="center"/>
    </xf>
    <xf numFmtId="0" fontId="43" fillId="0" borderId="56" xfId="17" applyFont="1" applyBorder="1" applyAlignment="1">
      <alignment horizontal="left" vertical="center"/>
    </xf>
    <xf numFmtId="3" fontId="28" fillId="0" borderId="22" xfId="17" applyNumberFormat="1" applyFont="1" applyBorder="1" applyAlignment="1">
      <alignment horizontal="center" vertical="center"/>
    </xf>
    <xf numFmtId="0" fontId="28" fillId="0" borderId="43" xfId="17" applyFont="1" applyBorder="1" applyAlignment="1">
      <alignment vertical="center"/>
    </xf>
    <xf numFmtId="3" fontId="28" fillId="0" borderId="42" xfId="17" applyNumberFormat="1" applyFont="1" applyBorder="1" applyAlignment="1">
      <alignment horizontal="center" vertical="center"/>
    </xf>
    <xf numFmtId="0" fontId="28" fillId="0" borderId="0" xfId="17" applyFont="1" applyAlignment="1">
      <alignment horizontal="left" vertical="center"/>
    </xf>
    <xf numFmtId="0" fontId="32" fillId="0" borderId="0" xfId="17" applyFont="1" applyAlignment="1">
      <alignment horizontal="left" vertical="center"/>
    </xf>
    <xf numFmtId="0" fontId="28" fillId="0" borderId="24" xfId="17" applyFont="1" applyBorder="1" applyAlignment="1">
      <alignment vertical="center"/>
    </xf>
    <xf numFmtId="0" fontId="28" fillId="0" borderId="26" xfId="17" applyFont="1" applyBorder="1" applyAlignment="1">
      <alignment vertical="center"/>
    </xf>
    <xf numFmtId="0" fontId="28" fillId="0" borderId="9" xfId="17" applyFont="1" applyBorder="1" applyAlignment="1">
      <alignment vertical="center"/>
    </xf>
    <xf numFmtId="0" fontId="31" fillId="2" borderId="16" xfId="17" applyFont="1" applyFill="1" applyBorder="1" applyAlignment="1">
      <alignment horizontal="center" vertical="center"/>
    </xf>
    <xf numFmtId="0" fontId="31" fillId="2" borderId="34" xfId="17" applyFont="1" applyFill="1" applyBorder="1" applyAlignment="1">
      <alignment horizontal="center" vertical="center"/>
    </xf>
    <xf numFmtId="0" fontId="28" fillId="0" borderId="5" xfId="17" applyFont="1" applyBorder="1" applyAlignment="1">
      <alignment vertical="center"/>
    </xf>
    <xf numFmtId="3" fontId="28" fillId="0" borderId="69" xfId="17" applyNumberFormat="1" applyFont="1" applyBorder="1" applyAlignment="1">
      <alignment horizontal="center" vertical="center"/>
    </xf>
    <xf numFmtId="0" fontId="31" fillId="2" borderId="69" xfId="17" applyFont="1" applyFill="1" applyBorder="1" applyAlignment="1">
      <alignment horizontal="center" vertical="center"/>
    </xf>
    <xf numFmtId="3" fontId="28" fillId="0" borderId="5" xfId="17" applyNumberFormat="1" applyFont="1" applyBorder="1" applyAlignment="1">
      <alignment horizontal="center" vertical="center"/>
    </xf>
    <xf numFmtId="0" fontId="28" fillId="0" borderId="57" xfId="17" applyFont="1" applyBorder="1" applyAlignment="1">
      <alignment vertical="center"/>
    </xf>
    <xf numFmtId="3" fontId="28" fillId="0" borderId="68" xfId="17" applyNumberFormat="1" applyFont="1" applyBorder="1" applyAlignment="1">
      <alignment horizontal="center" vertical="center"/>
    </xf>
    <xf numFmtId="0" fontId="28" fillId="0" borderId="27" xfId="17" applyFont="1" applyBorder="1" applyAlignment="1">
      <alignment vertical="center"/>
    </xf>
    <xf numFmtId="0" fontId="31" fillId="2" borderId="35" xfId="17" applyFont="1" applyFill="1" applyBorder="1" applyAlignment="1">
      <alignment horizontal="center" vertical="center"/>
    </xf>
    <xf numFmtId="3" fontId="28" fillId="0" borderId="29" xfId="17" applyNumberFormat="1" applyFont="1" applyBorder="1" applyAlignment="1">
      <alignment horizontal="center" vertical="center"/>
    </xf>
    <xf numFmtId="0" fontId="31" fillId="2" borderId="29" xfId="17" applyFont="1" applyFill="1" applyBorder="1" applyAlignment="1">
      <alignment horizontal="center" vertical="center"/>
    </xf>
    <xf numFmtId="3" fontId="28" fillId="0" borderId="31" xfId="17" applyNumberFormat="1" applyFont="1" applyBorder="1" applyAlignment="1">
      <alignment horizontal="center" vertical="center"/>
    </xf>
    <xf numFmtId="0" fontId="42" fillId="0" borderId="6" xfId="17" applyFont="1" applyBorder="1" applyAlignment="1">
      <alignment horizontal="left" vertical="center"/>
    </xf>
    <xf numFmtId="0" fontId="42" fillId="0" borderId="51" xfId="17" applyFont="1" applyBorder="1" applyAlignment="1">
      <alignment horizontal="left" vertical="center"/>
    </xf>
    <xf numFmtId="0" fontId="20" fillId="0" borderId="0" xfId="17" applyFont="1" applyAlignment="1">
      <alignment horizontal="left" vertical="center"/>
    </xf>
    <xf numFmtId="0" fontId="34" fillId="2" borderId="61" xfId="17" applyFont="1" applyFill="1" applyBorder="1" applyAlignment="1">
      <alignment horizontal="center" vertical="center"/>
    </xf>
    <xf numFmtId="0" fontId="28" fillId="0" borderId="50" xfId="17" applyFont="1" applyBorder="1" applyAlignment="1">
      <alignment vertical="center"/>
    </xf>
    <xf numFmtId="3" fontId="28" fillId="0" borderId="71" xfId="17" applyNumberFormat="1" applyFont="1" applyBorder="1" applyAlignment="1">
      <alignment horizontal="center" vertical="center"/>
    </xf>
    <xf numFmtId="3" fontId="28" fillId="0" borderId="12" xfId="17" applyNumberFormat="1" applyFont="1" applyBorder="1" applyAlignment="1">
      <alignment horizontal="center" vertical="center"/>
    </xf>
    <xf numFmtId="0" fontId="20" fillId="0" borderId="0" xfId="17" applyFont="1" applyAlignment="1">
      <alignment vertical="center"/>
    </xf>
    <xf numFmtId="0" fontId="43" fillId="0" borderId="130" xfId="17" applyFont="1" applyBorder="1" applyAlignment="1">
      <alignment horizontal="left" vertical="center"/>
    </xf>
    <xf numFmtId="3" fontId="28" fillId="0" borderId="131" xfId="17" applyNumberFormat="1" applyFont="1" applyBorder="1" applyAlignment="1">
      <alignment horizontal="center" vertical="center"/>
    </xf>
    <xf numFmtId="3" fontId="28" fillId="0" borderId="21" xfId="17" applyNumberFormat="1" applyFont="1" applyBorder="1" applyAlignment="1">
      <alignment horizontal="center" vertical="center"/>
    </xf>
    <xf numFmtId="0" fontId="28" fillId="0" borderId="132" xfId="17" applyFont="1" applyBorder="1" applyAlignment="1">
      <alignment vertical="center"/>
    </xf>
    <xf numFmtId="0" fontId="28" fillId="0" borderId="14" xfId="17" applyFont="1" applyBorder="1" applyAlignment="1">
      <alignment vertical="center"/>
    </xf>
    <xf numFmtId="0" fontId="31" fillId="2" borderId="71" xfId="17" applyFont="1" applyFill="1" applyBorder="1" applyAlignment="1">
      <alignment horizontal="center" vertical="center"/>
    </xf>
    <xf numFmtId="0" fontId="31" fillId="2" borderId="12" xfId="17" applyFont="1" applyFill="1" applyBorder="1" applyAlignment="1">
      <alignment horizontal="center" vertical="center"/>
    </xf>
    <xf numFmtId="0" fontId="0" fillId="2" borderId="21" xfId="0" applyFill="1" applyBorder="1" applyAlignment="1">
      <alignment horizontal="center" vertical="center"/>
    </xf>
    <xf numFmtId="0" fontId="0" fillId="2" borderId="1" xfId="0" applyFill="1" applyBorder="1" applyAlignment="1">
      <alignment horizontal="center" vertical="center"/>
    </xf>
    <xf numFmtId="0" fontId="0" fillId="2" borderId="29" xfId="0" applyFill="1" applyBorder="1" applyAlignment="1">
      <alignment horizontal="center" vertical="center"/>
    </xf>
    <xf numFmtId="0" fontId="0" fillId="2" borderId="19" xfId="0" applyFill="1" applyBorder="1" applyAlignment="1">
      <alignment horizontal="center" vertical="center"/>
    </xf>
    <xf numFmtId="0" fontId="0" fillId="2" borderId="21" xfId="0" applyFill="1" applyBorder="1" applyAlignment="1">
      <alignment horizontal="center" vertical="center" wrapText="1"/>
    </xf>
    <xf numFmtId="0" fontId="0" fillId="2" borderId="1" xfId="0" applyFill="1" applyBorder="1" applyAlignment="1">
      <alignment horizontal="center" vertical="center" wrapText="1"/>
    </xf>
    <xf numFmtId="9" fontId="0" fillId="0" borderId="2" xfId="0" applyNumberFormat="1" applyBorder="1" applyAlignment="1">
      <alignment horizontal="center" vertical="center"/>
    </xf>
    <xf numFmtId="0" fontId="77" fillId="0" borderId="2" xfId="0" applyFont="1" applyBorder="1" applyAlignment="1">
      <alignment horizontal="center" vertical="center"/>
    </xf>
    <xf numFmtId="0" fontId="70" fillId="2" borderId="21" xfId="0" applyFont="1" applyFill="1" applyBorder="1" applyAlignment="1">
      <alignment horizontal="center" vertical="center"/>
    </xf>
    <xf numFmtId="0" fontId="70" fillId="2" borderId="23" xfId="0" applyFont="1" applyFill="1" applyBorder="1" applyAlignment="1">
      <alignment horizontal="center" vertical="center"/>
    </xf>
    <xf numFmtId="0" fontId="70" fillId="2" borderId="1" xfId="0" applyFont="1" applyFill="1" applyBorder="1" applyAlignment="1">
      <alignment horizontal="center" vertical="center"/>
    </xf>
    <xf numFmtId="0" fontId="4" fillId="2" borderId="2" xfId="0" applyFont="1" applyFill="1" applyBorder="1" applyAlignment="1">
      <alignment horizontal="center"/>
    </xf>
    <xf numFmtId="0" fontId="30" fillId="0" borderId="2" xfId="0" applyFont="1" applyBorder="1" applyAlignment="1">
      <alignment horizontal="left" vertical="center"/>
    </xf>
    <xf numFmtId="0" fontId="28" fillId="0" borderId="2" xfId="17" applyFont="1" applyBorder="1" applyAlignment="1">
      <alignment vertical="center"/>
    </xf>
    <xf numFmtId="0" fontId="28" fillId="0" borderId="12" xfId="17" applyFont="1" applyBorder="1" applyAlignment="1">
      <alignment vertical="center"/>
    </xf>
    <xf numFmtId="0" fontId="28" fillId="0" borderId="29" xfId="17" applyFont="1" applyBorder="1" applyAlignment="1">
      <alignment vertical="center"/>
    </xf>
    <xf numFmtId="0" fontId="28" fillId="0" borderId="31" xfId="17" applyFont="1" applyBorder="1" applyAlignment="1">
      <alignment vertical="center"/>
    </xf>
    <xf numFmtId="0" fontId="28" fillId="0" borderId="1" xfId="17" applyFont="1" applyBorder="1" applyAlignment="1">
      <alignment vertical="center"/>
    </xf>
    <xf numFmtId="0" fontId="3" fillId="0" borderId="0" xfId="0" applyFont="1" applyAlignment="1">
      <alignment horizontal="left"/>
    </xf>
    <xf numFmtId="0" fontId="13" fillId="0" borderId="0" xfId="0" applyFont="1"/>
    <xf numFmtId="0" fontId="58" fillId="0" borderId="0" xfId="0" applyFont="1" applyAlignment="1">
      <alignment vertical="center"/>
    </xf>
    <xf numFmtId="0" fontId="28" fillId="0" borderId="5" xfId="0" applyFont="1" applyBorder="1" applyAlignment="1">
      <alignment vertical="center" wrapText="1"/>
    </xf>
    <xf numFmtId="0" fontId="33" fillId="0" borderId="0" xfId="0" applyFont="1" applyAlignment="1">
      <alignment vertical="center" wrapText="1"/>
    </xf>
    <xf numFmtId="0" fontId="33" fillId="0" borderId="0" xfId="0" applyFont="1" applyAlignment="1">
      <alignment horizontal="center" vertical="center"/>
    </xf>
    <xf numFmtId="0" fontId="33" fillId="0" borderId="0" xfId="0" applyFont="1"/>
    <xf numFmtId="0" fontId="35" fillId="0" borderId="14" xfId="0" applyFont="1" applyBorder="1" applyAlignment="1">
      <alignment horizontal="right" vertical="top"/>
    </xf>
    <xf numFmtId="0" fontId="94" fillId="0" borderId="18" xfId="0" applyFont="1" applyBorder="1" applyAlignment="1">
      <alignment horizontal="left" vertical="top"/>
    </xf>
    <xf numFmtId="0" fontId="94" fillId="0" borderId="0" xfId="0" applyFont="1" applyAlignment="1">
      <alignment horizontal="left" vertical="top"/>
    </xf>
    <xf numFmtId="0" fontId="35" fillId="0" borderId="13" xfId="0" applyFont="1" applyBorder="1" applyAlignment="1">
      <alignment horizontal="right" vertical="top"/>
    </xf>
    <xf numFmtId="0" fontId="94" fillId="0" borderId="15" xfId="0" applyFont="1" applyBorder="1" applyAlignment="1">
      <alignment horizontal="left" vertical="top"/>
    </xf>
    <xf numFmtId="0" fontId="95" fillId="0" borderId="15" xfId="0" applyFont="1" applyBorder="1" applyAlignment="1">
      <alignment horizontal="left" vertical="top"/>
    </xf>
    <xf numFmtId="0" fontId="33" fillId="0" borderId="16" xfId="0" applyFont="1" applyBorder="1"/>
    <xf numFmtId="0" fontId="33" fillId="0" borderId="17" xfId="0" applyFont="1" applyBorder="1"/>
    <xf numFmtId="0" fontId="35" fillId="0" borderId="16" xfId="0" applyFont="1" applyBorder="1" applyAlignment="1">
      <alignment horizontal="right" vertical="top"/>
    </xf>
    <xf numFmtId="0" fontId="94" fillId="0" borderId="17" xfId="0" applyFont="1" applyBorder="1" applyAlignment="1">
      <alignment horizontal="left" vertical="top"/>
    </xf>
    <xf numFmtId="0" fontId="29" fillId="2" borderId="0" xfId="0" applyFont="1" applyFill="1"/>
    <xf numFmtId="0" fontId="47" fillId="0" borderId="21" xfId="0" applyFont="1" applyBorder="1" applyAlignment="1">
      <alignment horizontal="center" vertical="center"/>
    </xf>
    <xf numFmtId="0" fontId="28" fillId="2" borderId="2" xfId="0" applyFont="1" applyFill="1" applyBorder="1" applyAlignment="1">
      <alignment horizontal="center" vertical="center" wrapText="1"/>
    </xf>
    <xf numFmtId="0" fontId="28" fillId="2" borderId="2" xfId="0" applyFont="1" applyFill="1" applyBorder="1" applyAlignment="1">
      <alignment horizontal="center" vertical="center"/>
    </xf>
    <xf numFmtId="0" fontId="30" fillId="0" borderId="21" xfId="0" applyFont="1" applyBorder="1" applyAlignment="1">
      <alignment horizontal="center" vertical="center"/>
    </xf>
    <xf numFmtId="0" fontId="30" fillId="0" borderId="2" xfId="0" applyFont="1" applyBorder="1" applyAlignment="1">
      <alignment horizontal="left"/>
    </xf>
    <xf numFmtId="15" fontId="30" fillId="0" borderId="2" xfId="0" applyNumberFormat="1" applyFont="1" applyBorder="1" applyAlignment="1">
      <alignment horizontal="center" vertical="center"/>
    </xf>
    <xf numFmtId="0" fontId="28" fillId="2" borderId="2" xfId="0" applyFont="1" applyFill="1" applyBorder="1" applyAlignment="1">
      <alignment horizontal="left" vertical="center" indent="1"/>
    </xf>
    <xf numFmtId="0" fontId="28" fillId="2" borderId="1" xfId="0" applyFont="1" applyFill="1" applyBorder="1" applyAlignment="1">
      <alignment horizontal="center" vertical="center"/>
    </xf>
    <xf numFmtId="0" fontId="48" fillId="0" borderId="0" xfId="0" applyFont="1" applyAlignment="1">
      <alignment horizontal="left"/>
    </xf>
    <xf numFmtId="0" fontId="58" fillId="0" borderId="0" xfId="0" applyFont="1" applyAlignment="1">
      <alignment horizontal="left"/>
    </xf>
    <xf numFmtId="0" fontId="58" fillId="2" borderId="2" xfId="0" applyFont="1" applyFill="1" applyBorder="1" applyAlignment="1">
      <alignment horizontal="center"/>
    </xf>
    <xf numFmtId="0" fontId="97" fillId="0" borderId="26" xfId="0" applyFont="1" applyBorder="1" applyAlignment="1">
      <alignment horizontal="left"/>
    </xf>
    <xf numFmtId="0" fontId="98" fillId="0" borderId="0" xfId="0" applyFont="1" applyAlignment="1">
      <alignment horizontal="left"/>
    </xf>
    <xf numFmtId="0" fontId="98" fillId="2" borderId="0" xfId="0" applyFont="1" applyFill="1" applyAlignment="1">
      <alignment horizontal="left"/>
    </xf>
    <xf numFmtId="0" fontId="98" fillId="0" borderId="27" xfId="0" applyFont="1" applyBorder="1" applyAlignment="1">
      <alignment horizontal="left"/>
    </xf>
    <xf numFmtId="0" fontId="98" fillId="0" borderId="108" xfId="0" applyFont="1" applyBorder="1" applyAlignment="1">
      <alignment horizontal="left" vertical="center" wrapText="1"/>
    </xf>
    <xf numFmtId="0" fontId="99" fillId="12" borderId="2" xfId="0" applyFont="1" applyFill="1" applyBorder="1" applyAlignment="1">
      <alignment horizontal="left" vertical="center" wrapText="1" indent="2"/>
    </xf>
    <xf numFmtId="0" fontId="99" fillId="2" borderId="0" xfId="0" applyFont="1" applyFill="1" applyAlignment="1">
      <alignment horizontal="left" vertical="center" wrapText="1" indent="2"/>
    </xf>
    <xf numFmtId="0" fontId="98" fillId="0" borderId="109" xfId="0" applyFont="1" applyBorder="1" applyAlignment="1">
      <alignment horizontal="left" vertical="center" wrapText="1"/>
    </xf>
    <xf numFmtId="0" fontId="98" fillId="2" borderId="0" xfId="0" applyFont="1" applyFill="1" applyAlignment="1">
      <alignment horizontal="left" vertical="center" wrapText="1" indent="2"/>
    </xf>
    <xf numFmtId="0" fontId="98" fillId="0" borderId="0" xfId="0" applyFont="1" applyAlignment="1">
      <alignment horizontal="left" vertical="center"/>
    </xf>
    <xf numFmtId="0" fontId="98" fillId="0" borderId="0" xfId="0" applyFont="1" applyAlignment="1">
      <alignment horizontal="left" vertical="center" wrapText="1"/>
    </xf>
    <xf numFmtId="0" fontId="98" fillId="0" borderId="2" xfId="0" applyFont="1" applyBorder="1" applyAlignment="1">
      <alignment horizontal="left" vertical="center" wrapText="1"/>
    </xf>
    <xf numFmtId="0" fontId="98" fillId="2" borderId="0" xfId="0" applyFont="1" applyFill="1" applyAlignment="1">
      <alignment horizontal="left" vertical="center" wrapText="1"/>
    </xf>
    <xf numFmtId="0" fontId="98" fillId="0" borderId="26" xfId="0" applyFont="1" applyBorder="1" applyAlignment="1">
      <alignment horizontal="left"/>
    </xf>
    <xf numFmtId="0" fontId="98" fillId="16" borderId="109" xfId="0" applyFont="1" applyFill="1" applyBorder="1" applyAlignment="1">
      <alignment horizontal="left" vertical="center" wrapText="1" indent="1"/>
    </xf>
    <xf numFmtId="17" fontId="97" fillId="0" borderId="26" xfId="0" applyNumberFormat="1" applyFont="1" applyBorder="1" applyAlignment="1">
      <alignment horizontal="left"/>
    </xf>
    <xf numFmtId="0" fontId="98" fillId="0" borderId="109" xfId="0" applyFont="1" applyBorder="1" applyAlignment="1">
      <alignment horizontal="center" vertical="center" wrapText="1"/>
    </xf>
    <xf numFmtId="0" fontId="98" fillId="0" borderId="26" xfId="0" applyFont="1" applyBorder="1" applyAlignment="1">
      <alignment vertical="center" wrapText="1"/>
    </xf>
    <xf numFmtId="0" fontId="98" fillId="0" borderId="0" xfId="0" applyFont="1" applyAlignment="1">
      <alignment vertical="center" wrapText="1"/>
    </xf>
    <xf numFmtId="0" fontId="98" fillId="2" borderId="0" xfId="0" applyFont="1" applyFill="1" applyAlignment="1">
      <alignment vertical="center" wrapText="1"/>
    </xf>
    <xf numFmtId="0" fontId="98" fillId="0" borderId="0" xfId="0" applyFont="1" applyAlignment="1">
      <alignment vertical="center"/>
    </xf>
    <xf numFmtId="0" fontId="98" fillId="0" borderId="27" xfId="0" applyFont="1" applyBorder="1" applyAlignment="1">
      <alignment vertical="center" wrapText="1"/>
    </xf>
    <xf numFmtId="0" fontId="98" fillId="0" borderId="27" xfId="0" applyFont="1" applyBorder="1" applyAlignment="1">
      <alignment horizontal="left" vertical="center"/>
    </xf>
    <xf numFmtId="0" fontId="98" fillId="0" borderId="27" xfId="0" applyFont="1" applyBorder="1" applyAlignment="1">
      <alignment horizontal="left" vertical="center" wrapText="1"/>
    </xf>
    <xf numFmtId="0" fontId="98" fillId="0" borderId="112" xfId="0" applyFont="1" applyBorder="1" applyAlignment="1">
      <alignment horizontal="left" vertical="center" wrapText="1"/>
    </xf>
    <xf numFmtId="0" fontId="98" fillId="0" borderId="40" xfId="0" applyFont="1" applyBorder="1" applyAlignment="1">
      <alignment horizontal="left" vertical="center" wrapText="1"/>
    </xf>
    <xf numFmtId="0" fontId="98" fillId="0" borderId="116" xfId="0" applyFont="1" applyBorder="1" applyAlignment="1">
      <alignment horizontal="left"/>
    </xf>
    <xf numFmtId="0" fontId="98" fillId="0" borderId="0" xfId="0" applyFont="1" applyAlignment="1">
      <alignment horizontal="left" vertical="center" wrapText="1" indent="16"/>
    </xf>
    <xf numFmtId="0" fontId="98" fillId="2" borderId="0" xfId="0" applyFont="1" applyFill="1" applyAlignment="1">
      <alignment horizontal="left" vertical="center" wrapText="1" indent="1"/>
    </xf>
    <xf numFmtId="0" fontId="98" fillId="0" borderId="9" xfId="0" applyFont="1" applyBorder="1" applyAlignment="1">
      <alignment horizontal="left"/>
    </xf>
    <xf numFmtId="0" fontId="98" fillId="0" borderId="10" xfId="0" applyFont="1" applyBorder="1" applyAlignment="1">
      <alignment horizontal="left"/>
    </xf>
    <xf numFmtId="0" fontId="98" fillId="2" borderId="10" xfId="0" applyFont="1" applyFill="1" applyBorder="1" applyAlignment="1">
      <alignment horizontal="left"/>
    </xf>
    <xf numFmtId="0" fontId="98" fillId="0" borderId="28" xfId="0" applyFont="1" applyBorder="1" applyAlignment="1">
      <alignment horizontal="left"/>
    </xf>
    <xf numFmtId="0" fontId="29" fillId="0" borderId="14" xfId="0" applyFont="1" applyBorder="1"/>
    <xf numFmtId="0" fontId="28" fillId="0" borderId="12" xfId="0" applyFont="1" applyBorder="1"/>
    <xf numFmtId="0" fontId="28" fillId="0" borderId="13" xfId="0" applyFont="1" applyBorder="1"/>
    <xf numFmtId="0" fontId="34" fillId="6" borderId="3" xfId="0" applyFont="1" applyFill="1" applyBorder="1" applyAlignment="1">
      <alignment horizontal="center"/>
    </xf>
    <xf numFmtId="0" fontId="34" fillId="6" borderId="4" xfId="0" applyFont="1" applyFill="1" applyBorder="1" applyAlignment="1">
      <alignment horizontal="center"/>
    </xf>
    <xf numFmtId="0" fontId="31" fillId="0" borderId="3" xfId="0" applyFont="1" applyBorder="1" applyAlignment="1">
      <alignment horizontal="center"/>
    </xf>
    <xf numFmtId="0" fontId="31" fillId="0" borderId="4" xfId="0" applyFont="1" applyBorder="1" applyAlignment="1">
      <alignment horizontal="center"/>
    </xf>
    <xf numFmtId="0" fontId="28" fillId="0" borderId="6" xfId="0" applyFont="1" applyBorder="1"/>
    <xf numFmtId="0" fontId="28" fillId="0" borderId="16" xfId="0" applyFont="1" applyBorder="1"/>
    <xf numFmtId="0" fontId="35" fillId="0" borderId="21" xfId="0" applyFont="1" applyBorder="1" applyAlignment="1">
      <alignment horizontal="center" wrapText="1"/>
    </xf>
    <xf numFmtId="0" fontId="35" fillId="0" borderId="1" xfId="0" applyFont="1" applyBorder="1" applyAlignment="1">
      <alignment horizontal="center" wrapText="1"/>
    </xf>
    <xf numFmtId="0" fontId="32" fillId="3" borderId="2" xfId="0" applyFont="1" applyFill="1" applyBorder="1" applyAlignment="1">
      <alignment horizontal="center" vertical="center"/>
    </xf>
    <xf numFmtId="0" fontId="32" fillId="3" borderId="2" xfId="0" applyFont="1" applyFill="1" applyBorder="1" applyAlignment="1">
      <alignment vertical="center"/>
    </xf>
    <xf numFmtId="0" fontId="30" fillId="0" borderId="22" xfId="0" applyFont="1" applyBorder="1" applyAlignment="1">
      <alignment horizontal="center" vertical="center"/>
    </xf>
    <xf numFmtId="0" fontId="32" fillId="6" borderId="2" xfId="0" applyFont="1" applyFill="1" applyBorder="1" applyAlignment="1">
      <alignment vertical="center" wrapText="1"/>
    </xf>
    <xf numFmtId="0" fontId="29" fillId="0" borderId="2" xfId="0" applyFont="1" applyBorder="1" applyAlignment="1">
      <alignment horizontal="center" vertical="center" wrapText="1"/>
    </xf>
    <xf numFmtId="0" fontId="34" fillId="0" borderId="2" xfId="0" applyFont="1" applyBorder="1" applyAlignment="1">
      <alignment horizontal="center" vertical="center" wrapText="1"/>
    </xf>
    <xf numFmtId="0" fontId="30" fillId="0" borderId="2" xfId="0" applyFont="1" applyBorder="1" applyAlignment="1">
      <alignment horizontal="justify" vertical="center" wrapText="1"/>
    </xf>
    <xf numFmtId="0" fontId="30" fillId="0" borderId="2" xfId="0" applyFont="1" applyBorder="1" applyAlignment="1">
      <alignment horizontal="left" vertical="center" wrapText="1"/>
    </xf>
    <xf numFmtId="0" fontId="100" fillId="0" borderId="0" xfId="0" applyFont="1"/>
    <xf numFmtId="0" fontId="93" fillId="0" borderId="0" xfId="0" applyFont="1" applyAlignment="1">
      <alignment horizontal="center" vertical="center"/>
    </xf>
    <xf numFmtId="0" fontId="101" fillId="0" borderId="0" xfId="0" applyFont="1" applyAlignment="1">
      <alignment horizontal="center" vertical="center"/>
    </xf>
    <xf numFmtId="0" fontId="30" fillId="0" borderId="2" xfId="1" applyFont="1" applyBorder="1" applyAlignment="1">
      <alignment horizontal="center" vertical="center"/>
    </xf>
    <xf numFmtId="0" fontId="28" fillId="0" borderId="2" xfId="1" applyFont="1" applyBorder="1" applyAlignment="1">
      <alignment vertical="center"/>
    </xf>
    <xf numFmtId="0" fontId="28" fillId="0" borderId="2" xfId="1" applyFont="1" applyBorder="1" applyAlignment="1">
      <alignment horizontal="left" vertical="center" wrapText="1"/>
    </xf>
    <xf numFmtId="0" fontId="28" fillId="0" borderId="2" xfId="1" applyFont="1" applyBorder="1" applyAlignment="1">
      <alignment vertical="center" wrapText="1"/>
    </xf>
    <xf numFmtId="0" fontId="28" fillId="0" borderId="0" xfId="1" applyFont="1" applyAlignment="1">
      <alignment vertical="center" wrapText="1"/>
    </xf>
    <xf numFmtId="0" fontId="28" fillId="0" borderId="21" xfId="1" applyFont="1" applyBorder="1" applyAlignment="1">
      <alignment vertical="center" wrapText="1"/>
    </xf>
    <xf numFmtId="0" fontId="28" fillId="0" borderId="0" xfId="1" applyFont="1" applyAlignment="1">
      <alignment horizontal="center" vertical="center"/>
    </xf>
    <xf numFmtId="0" fontId="28" fillId="0" borderId="21" xfId="1" applyFont="1" applyBorder="1" applyAlignment="1">
      <alignment horizontal="center" vertical="center"/>
    </xf>
    <xf numFmtId="0" fontId="28" fillId="0" borderId="21" xfId="1" applyFont="1" applyBorder="1" applyAlignment="1">
      <alignment horizontal="center"/>
    </xf>
    <xf numFmtId="0" fontId="47" fillId="9" borderId="2" xfId="0" applyFont="1" applyFill="1" applyBorder="1" applyAlignment="1">
      <alignment horizontal="center" vertical="center"/>
    </xf>
    <xf numFmtId="0" fontId="47" fillId="2" borderId="5" xfId="0" applyFont="1" applyFill="1" applyBorder="1" applyAlignment="1">
      <alignment vertical="center"/>
    </xf>
    <xf numFmtId="0" fontId="29" fillId="3" borderId="21" xfId="0" applyFont="1" applyFill="1" applyBorder="1" applyAlignment="1">
      <alignment horizontal="center" vertical="center" wrapText="1"/>
    </xf>
    <xf numFmtId="0" fontId="30" fillId="0" borderId="21" xfId="0" applyFont="1" applyBorder="1" applyAlignment="1">
      <alignment vertical="center"/>
    </xf>
    <xf numFmtId="0" fontId="30" fillId="0" borderId="21" xfId="0" applyFont="1" applyBorder="1" applyAlignment="1">
      <alignment vertical="center" wrapText="1"/>
    </xf>
    <xf numFmtId="0" fontId="30" fillId="0" borderId="2" xfId="0" applyFont="1" applyBorder="1" applyAlignment="1">
      <alignment wrapText="1"/>
    </xf>
    <xf numFmtId="0" fontId="30" fillId="0" borderId="2" xfId="0" applyFont="1" applyBorder="1" applyAlignment="1">
      <alignment horizontal="left" vertical="center" wrapText="1" indent="15"/>
    </xf>
    <xf numFmtId="0" fontId="58" fillId="0" borderId="2" xfId="0" applyFont="1" applyBorder="1" applyAlignment="1">
      <alignment vertical="center" wrapText="1"/>
    </xf>
    <xf numFmtId="0" fontId="32" fillId="0" borderId="2" xfId="0" applyFont="1" applyBorder="1" applyAlignment="1">
      <alignment horizontal="center" vertical="center" wrapText="1"/>
    </xf>
    <xf numFmtId="0" fontId="32" fillId="0" borderId="2" xfId="0" applyFont="1" applyBorder="1" applyAlignment="1">
      <alignment horizontal="justify" vertical="center" wrapText="1"/>
    </xf>
    <xf numFmtId="0" fontId="26" fillId="0" borderId="2" xfId="5" applyFont="1" applyBorder="1" applyAlignment="1">
      <alignment horizontal="center" vertical="center"/>
    </xf>
    <xf numFmtId="0" fontId="26" fillId="2" borderId="2" xfId="5" applyFont="1" applyFill="1" applyBorder="1" applyAlignment="1">
      <alignment horizontal="center" vertical="center"/>
    </xf>
    <xf numFmtId="0" fontId="26" fillId="7" borderId="2" xfId="5" applyFont="1" applyFill="1" applyBorder="1" applyAlignment="1">
      <alignment horizontal="center" vertical="center"/>
    </xf>
    <xf numFmtId="0" fontId="30" fillId="6" borderId="2" xfId="0" applyFont="1" applyFill="1" applyBorder="1" applyAlignment="1">
      <alignment horizontal="center"/>
    </xf>
    <xf numFmtId="0" fontId="29" fillId="3" borderId="21" xfId="0" applyFont="1" applyFill="1" applyBorder="1" applyAlignment="1">
      <alignment horizontal="center" vertical="center"/>
    </xf>
    <xf numFmtId="0" fontId="58" fillId="0" borderId="2" xfId="0" applyFont="1" applyBorder="1" applyAlignment="1">
      <alignment horizontal="center" vertical="center" wrapText="1"/>
    </xf>
    <xf numFmtId="0" fontId="32" fillId="0" borderId="21" xfId="0" applyFont="1" applyBorder="1" applyAlignment="1">
      <alignment horizontal="center" vertical="center" wrapText="1"/>
    </xf>
    <xf numFmtId="16" fontId="28" fillId="0" borderId="1" xfId="0" applyNumberFormat="1" applyFont="1" applyBorder="1" applyAlignment="1">
      <alignment horizontal="left" vertical="center"/>
    </xf>
    <xf numFmtId="0" fontId="28" fillId="0" borderId="7" xfId="0" applyFont="1" applyBorder="1" applyAlignment="1">
      <alignment horizontal="left" vertical="center" wrapText="1"/>
    </xf>
    <xf numFmtId="0" fontId="28" fillId="4" borderId="2" xfId="0" applyFont="1" applyFill="1" applyBorder="1"/>
    <xf numFmtId="0" fontId="28" fillId="4" borderId="2" xfId="0" applyFont="1" applyFill="1" applyBorder="1" applyAlignment="1">
      <alignment horizontal="center" vertical="center"/>
    </xf>
    <xf numFmtId="0" fontId="47" fillId="4" borderId="2" xfId="0" applyFont="1" applyFill="1" applyBorder="1" applyAlignment="1">
      <alignment horizontal="center" vertical="center"/>
    </xf>
    <xf numFmtId="0" fontId="28" fillId="4" borderId="2" xfId="0" applyFont="1" applyFill="1" applyBorder="1" applyAlignment="1">
      <alignment vertical="center"/>
    </xf>
    <xf numFmtId="0" fontId="28" fillId="4" borderId="2" xfId="0" applyFont="1" applyFill="1" applyBorder="1" applyAlignment="1">
      <alignment horizontal="center"/>
    </xf>
    <xf numFmtId="0" fontId="30" fillId="4" borderId="2" xfId="0" applyFont="1" applyFill="1" applyBorder="1" applyAlignment="1">
      <alignment horizontal="center"/>
    </xf>
    <xf numFmtId="0" fontId="30" fillId="4" borderId="2" xfId="0" applyFont="1" applyFill="1" applyBorder="1"/>
    <xf numFmtId="0" fontId="30" fillId="0" borderId="5" xfId="0" applyFont="1" applyBorder="1" applyAlignment="1">
      <alignment vertical="center" wrapText="1"/>
    </xf>
    <xf numFmtId="0" fontId="30" fillId="0" borderId="19" xfId="0" applyFont="1" applyBorder="1" applyAlignment="1">
      <alignment horizontal="center" vertical="center" wrapText="1"/>
    </xf>
    <xf numFmtId="0" fontId="30" fillId="6" borderId="1" xfId="0" applyFont="1" applyFill="1" applyBorder="1" applyAlignment="1">
      <alignment horizontal="center" vertical="center" wrapText="1"/>
    </xf>
    <xf numFmtId="0" fontId="29" fillId="10" borderId="2" xfId="0" applyFont="1" applyFill="1" applyBorder="1" applyAlignment="1">
      <alignment horizontal="center" vertical="center"/>
    </xf>
    <xf numFmtId="0" fontId="29" fillId="10" borderId="21" xfId="0" applyFont="1" applyFill="1" applyBorder="1" applyAlignment="1">
      <alignment horizontal="center" vertical="center"/>
    </xf>
    <xf numFmtId="0" fontId="29" fillId="28" borderId="21" xfId="0" applyFont="1" applyFill="1" applyBorder="1" applyAlignment="1">
      <alignment horizontal="center" vertical="center"/>
    </xf>
    <xf numFmtId="0" fontId="29" fillId="27" borderId="21" xfId="0" applyFont="1" applyFill="1" applyBorder="1" applyAlignment="1">
      <alignment horizontal="center" vertical="center"/>
    </xf>
    <xf numFmtId="0" fontId="29" fillId="29" borderId="21" xfId="0" applyFont="1" applyFill="1" applyBorder="1" applyAlignment="1">
      <alignment horizontal="center" vertical="center"/>
    </xf>
    <xf numFmtId="0" fontId="47" fillId="9" borderId="21" xfId="0" applyFont="1" applyFill="1" applyBorder="1" applyAlignment="1">
      <alignment horizontal="center" vertical="center"/>
    </xf>
    <xf numFmtId="0" fontId="27" fillId="30" borderId="2" xfId="0" applyFont="1" applyFill="1" applyBorder="1" applyAlignment="1">
      <alignment vertical="center" wrapText="1"/>
    </xf>
    <xf numFmtId="0" fontId="27" fillId="30" borderId="2" xfId="0" applyFont="1" applyFill="1" applyBorder="1" applyAlignment="1">
      <alignment horizontal="center" vertical="center"/>
    </xf>
    <xf numFmtId="0" fontId="29" fillId="0" borderId="2" xfId="0" applyFont="1" applyBorder="1" applyAlignment="1">
      <alignment horizontal="left" vertical="center" wrapText="1"/>
    </xf>
    <xf numFmtId="0" fontId="32" fillId="6" borderId="0" xfId="0" applyFont="1" applyFill="1" applyAlignment="1">
      <alignment horizontal="center"/>
    </xf>
    <xf numFmtId="0" fontId="102" fillId="6" borderId="2" xfId="5" applyFont="1" applyFill="1" applyBorder="1" applyAlignment="1">
      <alignment horizontal="center" vertical="center"/>
    </xf>
    <xf numFmtId="0" fontId="102" fillId="6" borderId="19" xfId="5" applyFont="1" applyFill="1" applyBorder="1" applyAlignment="1">
      <alignment horizontal="center" vertical="center"/>
    </xf>
    <xf numFmtId="14" fontId="102" fillId="6" borderId="2" xfId="5" applyNumberFormat="1" applyFont="1" applyFill="1" applyBorder="1" applyAlignment="1">
      <alignment horizontal="center" vertical="center"/>
    </xf>
    <xf numFmtId="0" fontId="102" fillId="6" borderId="2" xfId="5" applyFont="1" applyFill="1" applyBorder="1"/>
    <xf numFmtId="0" fontId="26" fillId="0" borderId="2" xfId="5" applyFont="1" applyBorder="1" applyAlignment="1">
      <alignment horizontal="left"/>
    </xf>
    <xf numFmtId="0" fontId="26" fillId="2" borderId="2" xfId="10" applyFont="1" applyFill="1" applyBorder="1">
      <alignment vertical="center"/>
    </xf>
    <xf numFmtId="0" fontId="26" fillId="0" borderId="19" xfId="5" applyFont="1" applyBorder="1" applyAlignment="1">
      <alignment horizontal="center" vertical="center"/>
    </xf>
    <xf numFmtId="0" fontId="30" fillId="2" borderId="2" xfId="10" applyFont="1" applyFill="1" applyBorder="1">
      <alignment vertical="center"/>
    </xf>
    <xf numFmtId="0" fontId="26" fillId="27" borderId="2" xfId="5" applyFont="1" applyFill="1" applyBorder="1" applyAlignment="1">
      <alignment horizontal="left"/>
    </xf>
    <xf numFmtId="0" fontId="26" fillId="27" borderId="2" xfId="10" applyFont="1" applyFill="1" applyBorder="1">
      <alignment vertical="center"/>
    </xf>
    <xf numFmtId="0" fontId="26" fillId="2" borderId="19" xfId="5" applyFont="1" applyFill="1" applyBorder="1" applyAlignment="1">
      <alignment horizontal="center" vertical="center"/>
    </xf>
    <xf numFmtId="0" fontId="26" fillId="0" borderId="2" xfId="5" applyFont="1" applyBorder="1" applyAlignment="1">
      <alignment horizontal="left" vertical="center"/>
    </xf>
    <xf numFmtId="0" fontId="26" fillId="0" borderId="2" xfId="5" quotePrefix="1" applyFont="1" applyBorder="1" applyAlignment="1">
      <alignment horizontal="left" vertical="center"/>
    </xf>
    <xf numFmtId="0" fontId="103" fillId="0" borderId="2" xfId="10" applyFont="1" applyBorder="1">
      <alignment vertical="center"/>
    </xf>
    <xf numFmtId="0" fontId="104" fillId="0" borderId="2" xfId="10" applyFont="1" applyBorder="1">
      <alignment vertical="center"/>
    </xf>
    <xf numFmtId="0" fontId="26" fillId="31" borderId="2" xfId="5" applyFont="1" applyFill="1" applyBorder="1" applyAlignment="1">
      <alignment horizontal="center" vertical="center"/>
    </xf>
    <xf numFmtId="0" fontId="26" fillId="2" borderId="2" xfId="5" applyFont="1" applyFill="1" applyBorder="1" applyAlignment="1">
      <alignment horizontal="left"/>
    </xf>
    <xf numFmtId="0" fontId="30" fillId="2" borderId="0" xfId="0" applyFont="1" applyFill="1"/>
    <xf numFmtId="0" fontId="26" fillId="27" borderId="2" xfId="5" applyFont="1" applyFill="1" applyBorder="1" applyAlignment="1">
      <alignment horizontal="center" vertical="center"/>
    </xf>
    <xf numFmtId="0" fontId="26" fillId="2" borderId="2" xfId="5" applyFont="1" applyFill="1" applyBorder="1" applyAlignment="1">
      <alignment horizontal="left" vertical="center"/>
    </xf>
    <xf numFmtId="0" fontId="26" fillId="32" borderId="2" xfId="5" applyFont="1" applyFill="1" applyBorder="1" applyAlignment="1">
      <alignment horizontal="center" vertical="center"/>
    </xf>
    <xf numFmtId="0" fontId="28" fillId="0" borderId="122" xfId="0" applyFont="1" applyBorder="1" applyAlignment="1">
      <alignment vertical="center" wrapText="1"/>
    </xf>
    <xf numFmtId="0" fontId="28" fillId="0" borderId="124" xfId="0" applyFont="1" applyBorder="1" applyAlignment="1">
      <alignment vertical="center" wrapText="1"/>
    </xf>
    <xf numFmtId="0" fontId="31" fillId="0" borderId="0" xfId="0" applyFont="1" applyAlignment="1">
      <alignment vertical="center" wrapText="1"/>
    </xf>
    <xf numFmtId="0" fontId="40" fillId="26" borderId="127" xfId="0" applyFont="1" applyFill="1" applyBorder="1" applyAlignment="1">
      <alignment vertical="center" wrapText="1"/>
    </xf>
    <xf numFmtId="0" fontId="40" fillId="26" borderId="128" xfId="0" applyFont="1" applyFill="1" applyBorder="1" applyAlignment="1">
      <alignment vertical="center" wrapText="1"/>
    </xf>
    <xf numFmtId="0" fontId="40" fillId="26" borderId="129" xfId="0" applyFont="1" applyFill="1" applyBorder="1" applyAlignment="1">
      <alignment vertical="center" wrapText="1"/>
    </xf>
    <xf numFmtId="0" fontId="40" fillId="26" borderId="125" xfId="0" applyFont="1" applyFill="1" applyBorder="1" applyAlignment="1">
      <alignment vertical="center" wrapText="1"/>
    </xf>
    <xf numFmtId="0" fontId="40" fillId="26" borderId="126" xfId="0" applyFont="1" applyFill="1" applyBorder="1" applyAlignment="1">
      <alignment vertical="center" wrapText="1"/>
    </xf>
    <xf numFmtId="0" fontId="28" fillId="0" borderId="125" xfId="0" applyFont="1" applyBorder="1" applyAlignment="1">
      <alignment vertical="center" wrapText="1"/>
    </xf>
    <xf numFmtId="0" fontId="28" fillId="0" borderId="0" xfId="0" applyFont="1" applyAlignment="1">
      <alignment vertical="center" wrapText="1"/>
    </xf>
    <xf numFmtId="0" fontId="28" fillId="0" borderId="126" xfId="0" applyFont="1" applyBorder="1" applyAlignment="1">
      <alignment vertical="center" wrapText="1"/>
    </xf>
    <xf numFmtId="0" fontId="0" fillId="0" borderId="0" xfId="0" applyAlignment="1">
      <alignment wrapText="1"/>
    </xf>
    <xf numFmtId="0" fontId="28" fillId="0" borderId="125" xfId="0" applyFont="1" applyBorder="1" applyAlignment="1">
      <alignment horizontal="justify" vertical="center" wrapText="1"/>
    </xf>
    <xf numFmtId="0" fontId="29" fillId="0" borderId="125" xfId="0" applyFont="1" applyBorder="1" applyAlignment="1">
      <alignment horizontal="center" vertical="center" wrapText="1"/>
    </xf>
    <xf numFmtId="0" fontId="28" fillId="0" borderId="125" xfId="0" applyFont="1" applyBorder="1" applyAlignment="1">
      <alignment horizontal="center" vertical="center" wrapText="1"/>
    </xf>
    <xf numFmtId="0" fontId="28" fillId="0" borderId="0" xfId="0" applyFont="1" applyAlignment="1">
      <alignment horizontal="left" vertical="center" wrapText="1"/>
    </xf>
    <xf numFmtId="0" fontId="28" fillId="0" borderId="126" xfId="0" applyFont="1" applyBorder="1" applyAlignment="1">
      <alignment horizontal="left" vertical="center" wrapText="1"/>
    </xf>
    <xf numFmtId="0" fontId="28" fillId="0" borderId="0" xfId="0" applyFont="1" applyAlignment="1">
      <alignment horizontal="center" vertical="top" wrapText="1"/>
    </xf>
    <xf numFmtId="0" fontId="28" fillId="0" borderId="0" xfId="0" applyFont="1" applyAlignment="1">
      <alignment horizontal="center" vertical="top"/>
    </xf>
    <xf numFmtId="0" fontId="28" fillId="0" borderId="122" xfId="0" applyFont="1" applyBorder="1" applyAlignment="1">
      <alignment horizontal="center" vertical="center" wrapText="1"/>
    </xf>
    <xf numFmtId="0" fontId="28" fillId="0" borderId="125" xfId="0" applyFont="1" applyBorder="1" applyAlignment="1">
      <alignment horizontal="center" vertical="top" wrapText="1"/>
    </xf>
    <xf numFmtId="0" fontId="28" fillId="0" borderId="125" xfId="0" applyFont="1" applyBorder="1" applyAlignment="1">
      <alignment horizontal="right" vertical="center" wrapText="1"/>
    </xf>
    <xf numFmtId="0" fontId="29" fillId="0" borderId="121" xfId="0" applyFont="1" applyBorder="1" applyAlignment="1">
      <alignment horizontal="center" vertical="center" wrapText="1"/>
    </xf>
    <xf numFmtId="0" fontId="28" fillId="0" borderId="121" xfId="0" applyFont="1" applyBorder="1" applyAlignment="1">
      <alignment horizontal="center" vertical="center" wrapText="1"/>
    </xf>
    <xf numFmtId="0" fontId="28" fillId="0" borderId="123" xfId="0" applyFont="1" applyBorder="1" applyAlignment="1">
      <alignment horizontal="center" vertical="center" wrapText="1"/>
    </xf>
    <xf numFmtId="0" fontId="28" fillId="0" borderId="125" xfId="0" applyFont="1" applyBorder="1" applyAlignment="1">
      <alignment horizontal="right" vertical="top" wrapText="1"/>
    </xf>
    <xf numFmtId="0" fontId="28" fillId="0" borderId="125" xfId="0" applyFont="1" applyBorder="1" applyAlignment="1">
      <alignment vertical="top" wrapText="1"/>
    </xf>
    <xf numFmtId="0" fontId="28" fillId="0" borderId="0" xfId="0" applyFont="1" applyAlignment="1">
      <alignment horizontal="justify" vertical="top" wrapText="1"/>
    </xf>
    <xf numFmtId="0" fontId="40" fillId="26" borderId="0" xfId="0" applyFont="1" applyFill="1" applyAlignment="1">
      <alignment vertical="center" wrapText="1"/>
    </xf>
    <xf numFmtId="0" fontId="31" fillId="0" borderId="0" xfId="0" applyFont="1" applyAlignment="1">
      <alignment horizontal="justify" vertical="center"/>
    </xf>
    <xf numFmtId="17" fontId="97" fillId="0" borderId="26" xfId="0" quotePrefix="1" applyNumberFormat="1" applyFont="1" applyBorder="1" applyAlignment="1">
      <alignment horizontal="left"/>
    </xf>
    <xf numFmtId="15" fontId="98" fillId="0" borderId="0" xfId="0" quotePrefix="1" applyNumberFormat="1" applyFont="1" applyAlignment="1">
      <alignment horizontal="left"/>
    </xf>
    <xf numFmtId="15" fontId="98" fillId="0" borderId="0" xfId="0" quotePrefix="1" applyNumberFormat="1" applyFont="1" applyAlignment="1">
      <alignment horizontal="left" vertical="center"/>
    </xf>
    <xf numFmtId="15" fontId="31" fillId="0" borderId="2" xfId="0" quotePrefix="1" applyNumberFormat="1" applyFont="1" applyBorder="1" applyAlignment="1">
      <alignment horizontal="center" vertical="center"/>
    </xf>
    <xf numFmtId="0" fontId="47" fillId="2" borderId="21" xfId="0" applyFont="1" applyFill="1" applyBorder="1" applyAlignment="1">
      <alignment horizontal="center" vertical="center"/>
    </xf>
    <xf numFmtId="0" fontId="28" fillId="0" borderId="5" xfId="0" applyFont="1" applyBorder="1" applyAlignment="1">
      <alignment horizontal="center"/>
    </xf>
    <xf numFmtId="0" fontId="28" fillId="0" borderId="21" xfId="0" applyFont="1" applyBorder="1" applyAlignment="1">
      <alignment horizontal="left" vertical="center" wrapText="1"/>
    </xf>
    <xf numFmtId="0" fontId="30" fillId="0" borderId="19" xfId="0" applyFont="1" applyBorder="1" applyAlignment="1">
      <alignment horizontal="center"/>
    </xf>
    <xf numFmtId="0" fontId="40" fillId="26" borderId="123" xfId="0" applyFont="1" applyFill="1" applyBorder="1" applyAlignment="1">
      <alignment horizontal="center" vertical="center" wrapText="1"/>
    </xf>
    <xf numFmtId="0" fontId="28" fillId="2" borderId="21" xfId="0" applyFont="1" applyFill="1" applyBorder="1" applyAlignment="1">
      <alignment horizontal="center"/>
    </xf>
    <xf numFmtId="0" fontId="28" fillId="6" borderId="2" xfId="0" applyFont="1" applyFill="1" applyBorder="1" applyAlignment="1">
      <alignment vertical="center" wrapText="1"/>
    </xf>
    <xf numFmtId="0" fontId="47" fillId="6" borderId="2" xfId="0" applyFont="1" applyFill="1" applyBorder="1" applyAlignment="1">
      <alignment horizontal="center" vertical="center"/>
    </xf>
    <xf numFmtId="0" fontId="28" fillId="6" borderId="21" xfId="0" applyFont="1" applyFill="1" applyBorder="1" applyAlignment="1">
      <alignment horizontal="center" vertical="center"/>
    </xf>
    <xf numFmtId="0" fontId="47" fillId="34" borderId="2" xfId="0" applyFont="1" applyFill="1" applyBorder="1" applyAlignment="1">
      <alignment horizontal="center" vertical="center"/>
    </xf>
    <xf numFmtId="0" fontId="29" fillId="35" borderId="21" xfId="0" applyFont="1" applyFill="1" applyBorder="1" applyAlignment="1">
      <alignment horizontal="center" vertical="center"/>
    </xf>
    <xf numFmtId="0" fontId="28" fillId="6" borderId="2" xfId="0" applyFont="1" applyFill="1" applyBorder="1" applyAlignment="1">
      <alignment vertical="center"/>
    </xf>
    <xf numFmtId="0" fontId="28" fillId="34" borderId="2" xfId="0" applyFont="1" applyFill="1" applyBorder="1" applyAlignment="1">
      <alignment vertical="center" wrapText="1"/>
    </xf>
    <xf numFmtId="0" fontId="28" fillId="34" borderId="2" xfId="0" applyFont="1" applyFill="1" applyBorder="1" applyAlignment="1">
      <alignment vertical="center"/>
    </xf>
    <xf numFmtId="0" fontId="28" fillId="9" borderId="21" xfId="0" applyFont="1" applyFill="1" applyBorder="1" applyAlignment="1">
      <alignment vertical="center"/>
    </xf>
    <xf numFmtId="0" fontId="47" fillId="2" borderId="2" xfId="0" applyFont="1" applyFill="1" applyBorder="1" applyAlignment="1">
      <alignment vertical="center" textRotation="90" wrapText="1"/>
    </xf>
    <xf numFmtId="0" fontId="28" fillId="36" borderId="21" xfId="0" applyFont="1" applyFill="1" applyBorder="1" applyAlignment="1">
      <alignment horizontal="center" vertical="center"/>
    </xf>
    <xf numFmtId="0" fontId="28" fillId="9" borderId="2" xfId="0" applyFont="1" applyFill="1" applyBorder="1"/>
    <xf numFmtId="0" fontId="28" fillId="39" borderId="2" xfId="0" applyFont="1" applyFill="1" applyBorder="1"/>
    <xf numFmtId="0" fontId="47" fillId="40" borderId="2" xfId="0" applyFont="1" applyFill="1" applyBorder="1" applyAlignment="1">
      <alignment vertical="center" wrapText="1"/>
    </xf>
    <xf numFmtId="0" fontId="28" fillId="29" borderId="2" xfId="0" applyFont="1" applyFill="1" applyBorder="1"/>
    <xf numFmtId="0" fontId="28" fillId="2" borderId="2" xfId="0" applyFont="1" applyFill="1" applyBorder="1" applyAlignment="1">
      <alignment vertical="center"/>
    </xf>
    <xf numFmtId="0" fontId="29" fillId="2" borderId="2" xfId="0" applyFont="1" applyFill="1" applyBorder="1" applyAlignment="1">
      <alignment horizontal="center"/>
    </xf>
    <xf numFmtId="0" fontId="29" fillId="7" borderId="21" xfId="0" applyFont="1" applyFill="1" applyBorder="1" applyAlignment="1">
      <alignment horizontal="center" vertical="center"/>
    </xf>
    <xf numFmtId="0" fontId="29" fillId="36" borderId="21" xfId="0" applyFont="1" applyFill="1" applyBorder="1" applyAlignment="1">
      <alignment horizontal="center" vertical="center"/>
    </xf>
    <xf numFmtId="0" fontId="29" fillId="33" borderId="21" xfId="0" applyFont="1" applyFill="1" applyBorder="1" applyAlignment="1">
      <alignment horizontal="center" vertical="center"/>
    </xf>
    <xf numFmtId="0" fontId="29" fillId="37" borderId="21" xfId="0" applyFont="1" applyFill="1" applyBorder="1" applyAlignment="1">
      <alignment horizontal="center" vertical="center"/>
    </xf>
    <xf numFmtId="0" fontId="29" fillId="38" borderId="21" xfId="0" applyFont="1" applyFill="1" applyBorder="1" applyAlignment="1">
      <alignment horizontal="center" vertical="center"/>
    </xf>
    <xf numFmtId="0" fontId="28" fillId="29" borderId="2" xfId="0" applyFont="1" applyFill="1" applyBorder="1" applyAlignment="1">
      <alignment horizontal="center"/>
    </xf>
    <xf numFmtId="0" fontId="28" fillId="9" borderId="2" xfId="0" applyFont="1" applyFill="1" applyBorder="1" applyAlignment="1">
      <alignment wrapText="1"/>
    </xf>
    <xf numFmtId="0" fontId="28" fillId="39" borderId="2" xfId="0" applyFont="1" applyFill="1" applyBorder="1" applyAlignment="1">
      <alignment wrapText="1"/>
    </xf>
    <xf numFmtId="0" fontId="28" fillId="6" borderId="2" xfId="0" applyFont="1" applyFill="1" applyBorder="1" applyAlignment="1">
      <alignment wrapText="1"/>
    </xf>
    <xf numFmtId="0" fontId="102" fillId="6" borderId="1" xfId="5" applyFont="1" applyFill="1" applyBorder="1" applyAlignment="1">
      <alignment horizontal="center" vertical="center"/>
    </xf>
    <xf numFmtId="0" fontId="47" fillId="40" borderId="2" xfId="0" applyFont="1" applyFill="1" applyBorder="1" applyAlignment="1">
      <alignment horizontal="center" vertical="center"/>
    </xf>
    <xf numFmtId="15" fontId="28" fillId="0" borderId="2" xfId="0" quotePrefix="1" applyNumberFormat="1" applyFont="1" applyBorder="1" applyAlignment="1">
      <alignment vertical="center"/>
    </xf>
    <xf numFmtId="15" fontId="28" fillId="0" borderId="2" xfId="0" applyNumberFormat="1" applyFont="1" applyBorder="1" applyAlignment="1">
      <alignment vertical="center"/>
    </xf>
    <xf numFmtId="0" fontId="28" fillId="0" borderId="13" xfId="0" applyFont="1" applyBorder="1" applyAlignment="1">
      <alignment horizontal="center"/>
    </xf>
    <xf numFmtId="0" fontId="30" fillId="0" borderId="1" xfId="0" applyFont="1" applyBorder="1" applyAlignment="1">
      <alignment horizontal="left"/>
    </xf>
    <xf numFmtId="0" fontId="30" fillId="0" borderId="1" xfId="0" applyFont="1" applyBorder="1" applyAlignment="1">
      <alignment horizontal="center"/>
    </xf>
    <xf numFmtId="0" fontId="28" fillId="0" borderId="16" xfId="0" applyFont="1" applyBorder="1" applyAlignment="1">
      <alignment vertical="center"/>
    </xf>
    <xf numFmtId="0" fontId="28" fillId="0" borderId="17" xfId="0" applyFont="1" applyBorder="1" applyAlignment="1">
      <alignment horizontal="center"/>
    </xf>
    <xf numFmtId="0" fontId="36" fillId="0" borderId="21" xfId="0" applyFont="1" applyBorder="1" applyAlignment="1">
      <alignment vertical="center"/>
    </xf>
    <xf numFmtId="0" fontId="28" fillId="0" borderId="18" xfId="0" applyFont="1" applyBorder="1" applyAlignment="1">
      <alignment horizontal="center"/>
    </xf>
    <xf numFmtId="0" fontId="36" fillId="0" borderId="5" xfId="0" applyFont="1" applyBorder="1" applyAlignment="1">
      <alignment vertical="center"/>
    </xf>
    <xf numFmtId="0" fontId="28" fillId="0" borderId="19" xfId="0" applyFont="1" applyBorder="1"/>
    <xf numFmtId="0" fontId="30" fillId="0" borderId="21" xfId="0" applyFont="1" applyBorder="1"/>
    <xf numFmtId="0" fontId="30" fillId="0" borderId="21" xfId="0" applyFont="1" applyBorder="1" applyAlignment="1">
      <alignment horizontal="left"/>
    </xf>
    <xf numFmtId="15" fontId="31" fillId="0" borderId="0" xfId="0" quotePrefix="1" applyNumberFormat="1" applyFont="1" applyAlignment="1">
      <alignment vertical="center"/>
    </xf>
    <xf numFmtId="0" fontId="28" fillId="0" borderId="0" xfId="0" applyFont="1" applyAlignment="1">
      <alignment vertical="top" wrapText="1"/>
    </xf>
    <xf numFmtId="0" fontId="40" fillId="26" borderId="123" xfId="0" applyFont="1" applyFill="1" applyBorder="1" applyAlignment="1">
      <alignment horizontal="center" wrapText="1"/>
    </xf>
    <xf numFmtId="0" fontId="28" fillId="0" borderId="127" xfId="0" applyFont="1" applyBorder="1" applyAlignment="1">
      <alignment vertical="center" wrapText="1"/>
    </xf>
    <xf numFmtId="0" fontId="28" fillId="0" borderId="128" xfId="0" applyFont="1" applyBorder="1" applyAlignment="1">
      <alignment vertical="center" wrapText="1"/>
    </xf>
    <xf numFmtId="0" fontId="28" fillId="0" borderId="129" xfId="0" applyFont="1" applyBorder="1" applyAlignment="1">
      <alignment vertical="center" wrapText="1"/>
    </xf>
    <xf numFmtId="0" fontId="31" fillId="0" borderId="0" xfId="1" applyFont="1" applyAlignment="1">
      <alignment horizontal="right"/>
    </xf>
    <xf numFmtId="0" fontId="102" fillId="6" borderId="1" xfId="5" applyFont="1" applyFill="1" applyBorder="1" applyAlignment="1">
      <alignment horizontal="center"/>
    </xf>
    <xf numFmtId="0" fontId="32" fillId="6" borderId="1" xfId="0" applyFont="1" applyFill="1" applyBorder="1" applyAlignment="1">
      <alignment horizontal="center"/>
    </xf>
    <xf numFmtId="0" fontId="32" fillId="41" borderId="2" xfId="0" applyFont="1" applyFill="1" applyBorder="1" applyAlignment="1">
      <alignment horizontal="center"/>
    </xf>
    <xf numFmtId="0" fontId="30" fillId="42" borderId="2" xfId="0" applyFont="1" applyFill="1" applyBorder="1"/>
    <xf numFmtId="0" fontId="26" fillId="5" borderId="2" xfId="10" applyFont="1" applyFill="1" applyBorder="1">
      <alignment vertical="center"/>
    </xf>
    <xf numFmtId="0" fontId="30" fillId="5" borderId="2" xfId="0" applyFont="1" applyFill="1" applyBorder="1"/>
    <xf numFmtId="0" fontId="98" fillId="12" borderId="109" xfId="0" applyFont="1" applyFill="1" applyBorder="1" applyAlignment="1">
      <alignment horizontal="center" vertical="center" wrapText="1"/>
    </xf>
    <xf numFmtId="0" fontId="99" fillId="12" borderId="109" xfId="0" applyFont="1" applyFill="1" applyBorder="1" applyAlignment="1">
      <alignment horizontal="center" vertical="center" wrapText="1"/>
    </xf>
    <xf numFmtId="0" fontId="99" fillId="12" borderId="110" xfId="0" applyFont="1" applyFill="1" applyBorder="1" applyAlignment="1">
      <alignment horizontal="center" vertical="center" wrapText="1"/>
    </xf>
    <xf numFmtId="0" fontId="99" fillId="12" borderId="2" xfId="0" applyFont="1" applyFill="1" applyBorder="1" applyAlignment="1">
      <alignment horizontal="center" vertical="center" wrapText="1"/>
    </xf>
    <xf numFmtId="0" fontId="98" fillId="13" borderId="109" xfId="0" applyFont="1" applyFill="1" applyBorder="1" applyAlignment="1">
      <alignment horizontal="center" vertical="center" wrapText="1"/>
    </xf>
    <xf numFmtId="0" fontId="98" fillId="14" borderId="109" xfId="0" applyFont="1" applyFill="1" applyBorder="1" applyAlignment="1">
      <alignment horizontal="center" vertical="center" wrapText="1"/>
    </xf>
    <xf numFmtId="0" fontId="98" fillId="0" borderId="110" xfId="0" applyFont="1" applyBorder="1" applyAlignment="1">
      <alignment horizontal="center" vertical="center" wrapText="1"/>
    </xf>
    <xf numFmtId="0" fontId="98" fillId="0" borderId="2" xfId="0" applyFont="1" applyBorder="1" applyAlignment="1">
      <alignment horizontal="center" vertical="center" wrapText="1"/>
    </xf>
    <xf numFmtId="0" fontId="98" fillId="15" borderId="109" xfId="0" applyFont="1" applyFill="1" applyBorder="1" applyAlignment="1">
      <alignment horizontal="center" vertical="center" wrapText="1"/>
    </xf>
    <xf numFmtId="0" fontId="98" fillId="16" borderId="109" xfId="0" applyFont="1" applyFill="1" applyBorder="1" applyAlignment="1">
      <alignment horizontal="center" vertical="center" wrapText="1"/>
    </xf>
    <xf numFmtId="0" fontId="98" fillId="17" borderId="109" xfId="0" applyFont="1" applyFill="1" applyBorder="1" applyAlignment="1">
      <alignment horizontal="center" vertical="center" wrapText="1"/>
    </xf>
    <xf numFmtId="0" fontId="98" fillId="0" borderId="0" xfId="0" applyFont="1" applyAlignment="1">
      <alignment horizontal="center" vertical="center" wrapText="1"/>
    </xf>
    <xf numFmtId="0" fontId="99" fillId="17" borderId="109" xfId="0" applyFont="1" applyFill="1" applyBorder="1" applyAlignment="1">
      <alignment horizontal="center" vertical="center" wrapText="1"/>
    </xf>
    <xf numFmtId="0" fontId="98" fillId="18" borderId="109" xfId="0" applyFont="1" applyFill="1" applyBorder="1" applyAlignment="1">
      <alignment horizontal="center" vertical="center" wrapText="1"/>
    </xf>
    <xf numFmtId="0" fontId="98" fillId="19" borderId="110" xfId="0" applyFont="1" applyFill="1" applyBorder="1" applyAlignment="1">
      <alignment horizontal="center" vertical="center" wrapText="1"/>
    </xf>
    <xf numFmtId="0" fontId="98" fillId="20" borderId="110" xfId="0" applyFont="1" applyFill="1" applyBorder="1" applyAlignment="1">
      <alignment horizontal="center" vertical="center" wrapText="1"/>
    </xf>
    <xf numFmtId="0" fontId="98" fillId="20" borderId="109" xfId="0" applyFont="1" applyFill="1" applyBorder="1" applyAlignment="1">
      <alignment horizontal="center" vertical="center" wrapText="1"/>
    </xf>
    <xf numFmtId="0" fontId="98" fillId="21" borderId="109" xfId="0" applyFont="1" applyFill="1" applyBorder="1" applyAlignment="1">
      <alignment horizontal="center" vertical="center" wrapText="1"/>
    </xf>
    <xf numFmtId="0" fontId="98" fillId="22" borderId="109" xfId="0" applyFont="1" applyFill="1" applyBorder="1" applyAlignment="1">
      <alignment horizontal="center" vertical="center" wrapText="1"/>
    </xf>
    <xf numFmtId="0" fontId="99" fillId="12" borderId="111" xfId="0" applyFont="1" applyFill="1" applyBorder="1" applyAlignment="1">
      <alignment horizontal="center" vertical="center" wrapText="1"/>
    </xf>
    <xf numFmtId="0" fontId="98" fillId="11" borderId="111" xfId="0" applyFont="1" applyFill="1" applyBorder="1" applyAlignment="1">
      <alignment horizontal="center" vertical="center" wrapText="1"/>
    </xf>
    <xf numFmtId="0" fontId="98" fillId="11" borderId="113" xfId="0" applyFont="1" applyFill="1" applyBorder="1" applyAlignment="1">
      <alignment horizontal="center" vertical="center" wrapText="1"/>
    </xf>
    <xf numFmtId="0" fontId="98" fillId="0" borderId="114" xfId="0" applyFont="1" applyBorder="1" applyAlignment="1">
      <alignment horizontal="center" vertical="center" wrapText="1"/>
    </xf>
    <xf numFmtId="0" fontId="98" fillId="0" borderId="19" xfId="0" applyFont="1" applyBorder="1" applyAlignment="1">
      <alignment horizontal="center" vertical="center" wrapText="1"/>
    </xf>
    <xf numFmtId="0" fontId="98" fillId="16" borderId="114" xfId="0" applyFont="1" applyFill="1" applyBorder="1" applyAlignment="1">
      <alignment horizontal="center" vertical="center" wrapText="1"/>
    </xf>
    <xf numFmtId="0" fontId="98" fillId="13" borderId="114" xfId="0" applyFont="1" applyFill="1" applyBorder="1" applyAlignment="1">
      <alignment horizontal="center" vertical="center" wrapText="1"/>
    </xf>
    <xf numFmtId="0" fontId="98" fillId="16" borderId="2" xfId="0" applyFont="1" applyFill="1" applyBorder="1" applyAlignment="1">
      <alignment horizontal="center" vertical="center" wrapText="1"/>
    </xf>
    <xf numFmtId="0" fontId="98" fillId="0" borderId="111" xfId="0" applyFont="1" applyBorder="1" applyAlignment="1">
      <alignment horizontal="center" vertical="center" wrapText="1"/>
    </xf>
    <xf numFmtId="0" fontId="98" fillId="0" borderId="115" xfId="0" applyFont="1" applyBorder="1" applyAlignment="1">
      <alignment horizontal="center" vertical="center" wrapText="1"/>
    </xf>
    <xf numFmtId="0" fontId="98" fillId="12" borderId="111" xfId="0" applyFont="1" applyFill="1" applyBorder="1" applyAlignment="1">
      <alignment horizontal="center" vertical="center" wrapText="1"/>
    </xf>
    <xf numFmtId="0" fontId="98" fillId="23" borderId="109" xfId="0" applyFont="1" applyFill="1" applyBorder="1" applyAlignment="1">
      <alignment horizontal="center" vertical="center" wrapText="1"/>
    </xf>
    <xf numFmtId="0" fontId="98" fillId="16" borderId="111" xfId="0" applyFont="1" applyFill="1" applyBorder="1" applyAlignment="1">
      <alignment horizontal="center" vertical="center" wrapText="1"/>
    </xf>
    <xf numFmtId="0" fontId="98" fillId="24" borderId="109" xfId="0" applyFont="1" applyFill="1" applyBorder="1" applyAlignment="1">
      <alignment horizontal="center" vertical="center" wrapText="1"/>
    </xf>
    <xf numFmtId="0" fontId="98" fillId="12" borderId="117" xfId="0" applyFont="1" applyFill="1" applyBorder="1" applyAlignment="1">
      <alignment horizontal="center" vertical="center" wrapText="1"/>
    </xf>
    <xf numFmtId="0" fontId="98" fillId="0" borderId="117" xfId="0" applyFont="1" applyBorder="1" applyAlignment="1">
      <alignment horizontal="center" vertical="center" wrapText="1"/>
    </xf>
    <xf numFmtId="0" fontId="98" fillId="25" borderId="109" xfId="0" applyFont="1" applyFill="1" applyBorder="1" applyAlignment="1">
      <alignment horizontal="center" vertical="center" wrapText="1"/>
    </xf>
    <xf numFmtId="0" fontId="98" fillId="13" borderId="117" xfId="0" applyFont="1" applyFill="1" applyBorder="1" applyAlignment="1">
      <alignment horizontal="center" vertical="center" wrapText="1"/>
    </xf>
    <xf numFmtId="0" fontId="98" fillId="0" borderId="0" xfId="0" applyFont="1" applyAlignment="1">
      <alignment horizontal="center" vertical="center"/>
    </xf>
    <xf numFmtId="0" fontId="52" fillId="0" borderId="0" xfId="0" applyFont="1" applyAlignment="1">
      <alignment horizontal="center" vertical="center"/>
    </xf>
    <xf numFmtId="0" fontId="99" fillId="3" borderId="2" xfId="0" applyFont="1" applyFill="1" applyBorder="1" applyAlignment="1">
      <alignment horizontal="center" vertical="center"/>
    </xf>
    <xf numFmtId="0" fontId="98" fillId="0" borderId="2" xfId="0" applyFont="1" applyBorder="1" applyAlignment="1">
      <alignment horizontal="center" vertical="center"/>
    </xf>
    <xf numFmtId="0" fontId="98" fillId="0" borderId="10" xfId="0" applyFont="1" applyBorder="1" applyAlignment="1">
      <alignment horizontal="center" vertical="center"/>
    </xf>
    <xf numFmtId="0" fontId="33" fillId="0" borderId="26" xfId="0" applyFont="1" applyBorder="1" applyAlignment="1">
      <alignment horizontal="center"/>
    </xf>
    <xf numFmtId="0" fontId="33" fillId="0" borderId="0" xfId="0" applyFont="1" applyAlignment="1">
      <alignment horizontal="center"/>
    </xf>
    <xf numFmtId="0" fontId="33" fillId="0" borderId="27" xfId="0" applyFont="1" applyBorder="1" applyAlignment="1">
      <alignment horizontal="center"/>
    </xf>
    <xf numFmtId="0" fontId="28" fillId="0" borderId="30" xfId="0" applyFont="1" applyBorder="1" applyAlignment="1">
      <alignment horizontal="center"/>
    </xf>
    <xf numFmtId="0" fontId="60" fillId="0" borderId="26" xfId="0" applyFont="1" applyBorder="1" applyAlignment="1">
      <alignment horizontal="center" vertical="center"/>
    </xf>
    <xf numFmtId="0" fontId="60" fillId="0" borderId="0" xfId="0" applyFont="1" applyAlignment="1">
      <alignment horizontal="center" vertical="center"/>
    </xf>
    <xf numFmtId="0" fontId="60" fillId="0" borderId="27" xfId="0" applyFont="1" applyBorder="1" applyAlignment="1">
      <alignment horizontal="center" vertical="center"/>
    </xf>
    <xf numFmtId="0" fontId="35" fillId="0" borderId="26" xfId="0" applyFont="1" applyBorder="1" applyAlignment="1">
      <alignment horizontal="center"/>
    </xf>
    <xf numFmtId="0" fontId="35" fillId="0" borderId="0" xfId="0" applyFont="1" applyAlignment="1">
      <alignment horizontal="center"/>
    </xf>
    <xf numFmtId="0" fontId="35" fillId="0" borderId="27" xfId="0" applyFont="1" applyBorder="1" applyAlignment="1">
      <alignment horizontal="center"/>
    </xf>
    <xf numFmtId="0" fontId="62" fillId="0" borderId="26" xfId="0" applyFont="1" applyBorder="1" applyAlignment="1">
      <alignment horizontal="center"/>
    </xf>
    <xf numFmtId="0" fontId="62" fillId="0" borderId="0" xfId="0" applyFont="1" applyAlignment="1">
      <alignment horizontal="center"/>
    </xf>
    <xf numFmtId="0" fontId="62" fillId="0" borderId="27" xfId="0" applyFont="1" applyBorder="1" applyAlignment="1">
      <alignment horizontal="center"/>
    </xf>
    <xf numFmtId="0" fontId="61" fillId="0" borderId="26" xfId="0" applyFont="1" applyBorder="1" applyAlignment="1">
      <alignment horizontal="center" vertical="center"/>
    </xf>
    <xf numFmtId="0" fontId="61" fillId="0" borderId="0" xfId="0" applyFont="1" applyAlignment="1">
      <alignment horizontal="center" vertical="center"/>
    </xf>
    <xf numFmtId="0" fontId="61" fillId="0" borderId="27" xfId="0" applyFont="1" applyBorder="1" applyAlignment="1">
      <alignment horizontal="center" vertical="center"/>
    </xf>
    <xf numFmtId="0" fontId="38" fillId="0" borderId="26" xfId="0" applyFont="1" applyBorder="1" applyAlignment="1">
      <alignment horizontal="center"/>
    </xf>
    <xf numFmtId="0" fontId="38" fillId="0" borderId="0" xfId="0" applyFont="1" applyAlignment="1">
      <alignment horizontal="center"/>
    </xf>
    <xf numFmtId="0" fontId="38" fillId="0" borderId="27" xfId="0" applyFont="1" applyBorder="1" applyAlignment="1">
      <alignment horizontal="center"/>
    </xf>
    <xf numFmtId="0" fontId="33" fillId="0" borderId="0" xfId="0" applyFont="1" applyAlignment="1">
      <alignment horizontal="left" vertical="center" wrapText="1"/>
    </xf>
    <xf numFmtId="0" fontId="93" fillId="0" borderId="0" xfId="0" applyFont="1" applyAlignment="1">
      <alignment horizontal="center"/>
    </xf>
    <xf numFmtId="0" fontId="33" fillId="0" borderId="0" xfId="0" applyFont="1" applyAlignment="1">
      <alignment horizontal="left" wrapText="1"/>
    </xf>
    <xf numFmtId="0" fontId="35" fillId="0" borderId="0" xfId="0" applyFont="1" applyAlignment="1">
      <alignment horizontal="center" vertical="center" wrapText="1"/>
    </xf>
    <xf numFmtId="0" fontId="96" fillId="5" borderId="24" xfId="0" applyFont="1" applyFill="1" applyBorder="1" applyAlignment="1">
      <alignment horizontal="center"/>
    </xf>
    <xf numFmtId="0" fontId="96" fillId="5" borderId="30" xfId="0" applyFont="1" applyFill="1" applyBorder="1" applyAlignment="1">
      <alignment horizontal="center"/>
    </xf>
    <xf numFmtId="0" fontId="96" fillId="5" borderId="25" xfId="0" applyFont="1" applyFill="1" applyBorder="1" applyAlignment="1">
      <alignment horizontal="center"/>
    </xf>
    <xf numFmtId="0" fontId="96" fillId="5" borderId="26" xfId="0" applyFont="1" applyFill="1" applyBorder="1" applyAlignment="1">
      <alignment horizontal="center"/>
    </xf>
    <xf numFmtId="0" fontId="96" fillId="5" borderId="0" xfId="0" applyFont="1" applyFill="1" applyAlignment="1">
      <alignment horizontal="center"/>
    </xf>
    <xf numFmtId="0" fontId="96" fillId="5" borderId="27" xfId="0" applyFont="1" applyFill="1" applyBorder="1" applyAlignment="1">
      <alignment horizontal="center"/>
    </xf>
    <xf numFmtId="0" fontId="30" fillId="0" borderId="31" xfId="0" applyFont="1" applyBorder="1" applyAlignment="1">
      <alignment horizontal="center" vertical="center"/>
    </xf>
    <xf numFmtId="0" fontId="30" fillId="0" borderId="32" xfId="0" applyFont="1" applyBorder="1" applyAlignment="1">
      <alignment horizontal="center" vertical="center"/>
    </xf>
    <xf numFmtId="0" fontId="35" fillId="0" borderId="13" xfId="0" applyFont="1" applyBorder="1" applyAlignment="1">
      <alignment horizontal="center"/>
    </xf>
    <xf numFmtId="0" fontId="28" fillId="0" borderId="5" xfId="0" applyFont="1" applyBorder="1" applyAlignment="1">
      <alignment horizontal="center"/>
    </xf>
    <xf numFmtId="0" fontId="28" fillId="0" borderId="29" xfId="0" applyFont="1" applyBorder="1" applyAlignment="1">
      <alignment horizontal="center"/>
    </xf>
    <xf numFmtId="0" fontId="28" fillId="0" borderId="19" xfId="0" applyFont="1" applyBorder="1" applyAlignment="1">
      <alignment horizontal="center"/>
    </xf>
    <xf numFmtId="0" fontId="30" fillId="0" borderId="6" xfId="0" applyFont="1" applyBorder="1" applyAlignment="1">
      <alignment horizontal="center" vertical="center"/>
    </xf>
    <xf numFmtId="0" fontId="30" fillId="0" borderId="17" xfId="0" applyFont="1" applyBorder="1" applyAlignment="1">
      <alignment horizontal="center" vertical="center"/>
    </xf>
    <xf numFmtId="0" fontId="30" fillId="0" borderId="16" xfId="0" applyFont="1" applyBorder="1" applyAlignment="1">
      <alignment horizontal="center" vertical="center"/>
    </xf>
    <xf numFmtId="0" fontId="35" fillId="0" borderId="14" xfId="0" applyFont="1" applyBorder="1" applyAlignment="1">
      <alignment horizontal="center" wrapText="1"/>
    </xf>
    <xf numFmtId="0" fontId="35" fillId="0" borderId="12" xfId="0" applyFont="1" applyBorder="1" applyAlignment="1">
      <alignment horizontal="center" wrapText="1"/>
    </xf>
    <xf numFmtId="0" fontId="35" fillId="0" borderId="18" xfId="0" applyFont="1" applyBorder="1" applyAlignment="1">
      <alignment horizontal="center" wrapText="1"/>
    </xf>
    <xf numFmtId="0" fontId="35" fillId="0" borderId="14" xfId="0" applyFont="1" applyBorder="1" applyAlignment="1">
      <alignment horizontal="center" vertical="center"/>
    </xf>
    <xf numFmtId="0" fontId="35" fillId="0" borderId="12" xfId="0" applyFont="1" applyBorder="1" applyAlignment="1">
      <alignment horizontal="center" vertical="center"/>
    </xf>
    <xf numFmtId="0" fontId="35" fillId="0" borderId="18" xfId="0" applyFont="1" applyBorder="1" applyAlignment="1">
      <alignment horizontal="center" vertical="center"/>
    </xf>
    <xf numFmtId="0" fontId="35" fillId="0" borderId="16" xfId="0" applyFont="1" applyBorder="1" applyAlignment="1">
      <alignment horizontal="center" vertical="center"/>
    </xf>
    <xf numFmtId="0" fontId="35" fillId="0" borderId="6" xfId="0" applyFont="1" applyBorder="1" applyAlignment="1">
      <alignment horizontal="center" vertical="center"/>
    </xf>
    <xf numFmtId="0" fontId="35" fillId="0" borderId="17" xfId="0" applyFont="1" applyBorder="1" applyAlignment="1">
      <alignment horizontal="center" vertical="center"/>
    </xf>
    <xf numFmtId="0" fontId="30" fillId="0" borderId="29" xfId="0" applyFont="1" applyBorder="1" applyAlignment="1">
      <alignment horizontal="center" vertical="center"/>
    </xf>
    <xf numFmtId="0" fontId="30" fillId="0" borderId="19" xfId="0" applyFont="1" applyBorder="1" applyAlignment="1">
      <alignment horizontal="center" vertical="center"/>
    </xf>
    <xf numFmtId="0" fontId="30" fillId="0" borderId="12" xfId="0" applyFont="1" applyBorder="1" applyAlignment="1">
      <alignment horizontal="center" vertical="center"/>
    </xf>
    <xf numFmtId="0" fontId="30" fillId="0" borderId="18" xfId="0" applyFont="1" applyBorder="1" applyAlignment="1">
      <alignment horizontal="center" vertical="center"/>
    </xf>
    <xf numFmtId="0" fontId="32" fillId="0" borderId="16" xfId="0" applyFont="1" applyBorder="1" applyAlignment="1">
      <alignment horizontal="center"/>
    </xf>
    <xf numFmtId="0" fontId="32" fillId="0" borderId="6" xfId="0" applyFont="1" applyBorder="1" applyAlignment="1">
      <alignment horizontal="center"/>
    </xf>
    <xf numFmtId="0" fontId="32" fillId="3" borderId="2" xfId="0" applyFont="1" applyFill="1" applyBorder="1" applyAlignment="1">
      <alignment horizontal="center" vertical="center"/>
    </xf>
    <xf numFmtId="0" fontId="32" fillId="3" borderId="29" xfId="0" applyFont="1" applyFill="1" applyBorder="1" applyAlignment="1">
      <alignment horizontal="center" vertical="center"/>
    </xf>
    <xf numFmtId="0" fontId="32" fillId="3" borderId="19" xfId="0" applyFont="1" applyFill="1" applyBorder="1" applyAlignment="1">
      <alignment horizontal="center" vertical="center"/>
    </xf>
    <xf numFmtId="0" fontId="32" fillId="2" borderId="75" xfId="0" applyFont="1" applyFill="1" applyBorder="1" applyAlignment="1">
      <alignment horizontal="center" vertical="center"/>
    </xf>
    <xf numFmtId="0" fontId="32" fillId="2" borderId="76" xfId="0" applyFont="1" applyFill="1" applyBorder="1" applyAlignment="1">
      <alignment horizontal="center" vertical="center"/>
    </xf>
    <xf numFmtId="0" fontId="32" fillId="2" borderId="80" xfId="0" applyFont="1" applyFill="1" applyBorder="1" applyAlignment="1">
      <alignment horizontal="center" vertical="center"/>
    </xf>
    <xf numFmtId="0" fontId="32" fillId="2" borderId="81" xfId="0" applyFont="1" applyFill="1" applyBorder="1" applyAlignment="1">
      <alignment horizontal="center" vertical="center"/>
    </xf>
    <xf numFmtId="0" fontId="32" fillId="6" borderId="75" xfId="0" applyFont="1" applyFill="1" applyBorder="1" applyAlignment="1">
      <alignment horizontal="center" vertical="center"/>
    </xf>
    <xf numFmtId="0" fontId="32" fillId="6" borderId="76" xfId="0" applyFont="1" applyFill="1" applyBorder="1" applyAlignment="1">
      <alignment horizontal="center" vertical="center"/>
    </xf>
    <xf numFmtId="0" fontId="32" fillId="6" borderId="80" xfId="0" applyFont="1" applyFill="1" applyBorder="1" applyAlignment="1">
      <alignment horizontal="center" vertical="center"/>
    </xf>
    <xf numFmtId="0" fontId="32" fillId="6" borderId="81" xfId="0" applyFont="1" applyFill="1" applyBorder="1" applyAlignment="1">
      <alignment horizontal="center" vertical="center"/>
    </xf>
    <xf numFmtId="0" fontId="29" fillId="0" borderId="1" xfId="0" applyFont="1" applyBorder="1" applyAlignment="1">
      <alignment horizontal="center" vertical="center"/>
    </xf>
    <xf numFmtId="0" fontId="29" fillId="0" borderId="2" xfId="0" applyFont="1" applyBorder="1" applyAlignment="1">
      <alignment horizontal="center" vertical="center"/>
    </xf>
    <xf numFmtId="0" fontId="32" fillId="6" borderId="82" xfId="0" applyFont="1" applyFill="1" applyBorder="1" applyAlignment="1">
      <alignment horizontal="center" vertical="center"/>
    </xf>
    <xf numFmtId="0" fontId="32" fillId="6" borderId="83" xfId="0" applyFont="1" applyFill="1" applyBorder="1" applyAlignment="1">
      <alignment horizontal="center" vertical="center"/>
    </xf>
    <xf numFmtId="0" fontId="32" fillId="2" borderId="86" xfId="0" applyFont="1" applyFill="1" applyBorder="1" applyAlignment="1">
      <alignment horizontal="center" vertical="center"/>
    </xf>
    <xf numFmtId="0" fontId="32" fillId="2" borderId="87" xfId="0" applyFont="1" applyFill="1" applyBorder="1" applyAlignment="1">
      <alignment horizontal="center" vertical="center"/>
    </xf>
    <xf numFmtId="0" fontId="32" fillId="2" borderId="84" xfId="0" applyFont="1" applyFill="1" applyBorder="1" applyAlignment="1">
      <alignment horizontal="center"/>
    </xf>
    <xf numFmtId="0" fontId="32" fillId="2" borderId="85" xfId="0" applyFont="1" applyFill="1" applyBorder="1" applyAlignment="1">
      <alignment horizontal="center"/>
    </xf>
    <xf numFmtId="0" fontId="30" fillId="2" borderId="77" xfId="0" applyFont="1" applyFill="1" applyBorder="1" applyAlignment="1">
      <alignment horizontal="center"/>
    </xf>
    <xf numFmtId="0" fontId="30" fillId="2" borderId="78" xfId="0" applyFont="1" applyFill="1" applyBorder="1" applyAlignment="1">
      <alignment horizontal="center"/>
    </xf>
    <xf numFmtId="0" fontId="32" fillId="0" borderId="0" xfId="0" applyFont="1" applyAlignment="1">
      <alignment horizontal="center"/>
    </xf>
    <xf numFmtId="0" fontId="29" fillId="0" borderId="21" xfId="0" applyFont="1" applyBorder="1" applyAlignment="1">
      <alignment horizontal="center" vertical="center"/>
    </xf>
    <xf numFmtId="0" fontId="29" fillId="0" borderId="20" xfId="0" applyFont="1" applyBorder="1" applyAlignment="1">
      <alignment horizontal="center" vertical="center"/>
    </xf>
    <xf numFmtId="0" fontId="29" fillId="0" borderId="23" xfId="0" applyFont="1" applyBorder="1" applyAlignment="1">
      <alignment horizontal="center" vertical="center"/>
    </xf>
    <xf numFmtId="0" fontId="48" fillId="2" borderId="75" xfId="0" applyFont="1" applyFill="1" applyBorder="1" applyAlignment="1">
      <alignment horizontal="center" vertical="center"/>
    </xf>
    <xf numFmtId="0" fontId="48" fillId="2" borderId="76" xfId="0" applyFont="1" applyFill="1" applyBorder="1" applyAlignment="1">
      <alignment horizontal="center" vertical="center"/>
    </xf>
    <xf numFmtId="0" fontId="28" fillId="0" borderId="5" xfId="0" applyFont="1" applyBorder="1" applyAlignment="1">
      <alignment horizontal="center" vertical="center"/>
    </xf>
    <xf numFmtId="0" fontId="28" fillId="0" borderId="19" xfId="0" applyFont="1" applyBorder="1" applyAlignment="1">
      <alignment horizontal="center" vertical="center"/>
    </xf>
    <xf numFmtId="0" fontId="29" fillId="0" borderId="5" xfId="0" applyFont="1" applyBorder="1" applyAlignment="1">
      <alignment horizontal="center" vertical="center"/>
    </xf>
    <xf numFmtId="0" fontId="29" fillId="0" borderId="19" xfId="0" applyFont="1" applyBorder="1" applyAlignment="1">
      <alignment horizontal="center" vertical="center"/>
    </xf>
    <xf numFmtId="0" fontId="47" fillId="0" borderId="5" xfId="0" applyFont="1" applyBorder="1" applyAlignment="1">
      <alignment horizontal="center" vertical="center"/>
    </xf>
    <xf numFmtId="0" fontId="47" fillId="0" borderId="19" xfId="0" applyFont="1" applyBorder="1" applyAlignment="1">
      <alignment horizontal="center" vertical="center"/>
    </xf>
    <xf numFmtId="0" fontId="28" fillId="2" borderId="5" xfId="0" applyFont="1" applyFill="1" applyBorder="1" applyAlignment="1">
      <alignment horizontal="center" vertical="center"/>
    </xf>
    <xf numFmtId="0" fontId="28" fillId="2" borderId="19" xfId="0" applyFont="1" applyFill="1" applyBorder="1" applyAlignment="1">
      <alignment horizontal="center" vertical="center"/>
    </xf>
    <xf numFmtId="0" fontId="28" fillId="0" borderId="134" xfId="0" applyFont="1" applyBorder="1" applyAlignment="1">
      <alignment horizontal="center" vertical="center"/>
    </xf>
    <xf numFmtId="0" fontId="28" fillId="0" borderId="135" xfId="0" applyFont="1" applyBorder="1" applyAlignment="1">
      <alignment horizontal="center" vertical="center"/>
    </xf>
    <xf numFmtId="0" fontId="29" fillId="3" borderId="33" xfId="0" applyFont="1" applyFill="1" applyBorder="1" applyAlignment="1">
      <alignment horizontal="center" vertical="center" wrapText="1"/>
    </xf>
    <xf numFmtId="0" fontId="29" fillId="3" borderId="11" xfId="0" applyFont="1" applyFill="1" applyBorder="1" applyAlignment="1">
      <alignment horizontal="center" vertical="center" wrapText="1"/>
    </xf>
    <xf numFmtId="0" fontId="67" fillId="0" borderId="0" xfId="0" applyFont="1" applyAlignment="1">
      <alignment horizontal="center" vertical="center"/>
    </xf>
    <xf numFmtId="0" fontId="28" fillId="2" borderId="2" xfId="0" applyFont="1" applyFill="1" applyBorder="1" applyAlignment="1">
      <alignment horizontal="center" vertical="center"/>
    </xf>
    <xf numFmtId="0" fontId="28" fillId="0" borderId="79" xfId="0" applyFont="1" applyBorder="1" applyAlignment="1">
      <alignment horizontal="center" vertical="center"/>
    </xf>
    <xf numFmtId="0" fontId="28" fillId="0" borderId="107" xfId="0" applyFont="1" applyBorder="1" applyAlignment="1">
      <alignment horizontal="center" vertical="center"/>
    </xf>
    <xf numFmtId="0" fontId="28" fillId="0" borderId="2" xfId="0" applyFont="1" applyBorder="1" applyAlignment="1">
      <alignment horizontal="center" vertical="center"/>
    </xf>
    <xf numFmtId="0" fontId="47" fillId="0" borderId="21" xfId="0" applyFont="1" applyBorder="1" applyAlignment="1">
      <alignment horizontal="center" vertical="center"/>
    </xf>
    <xf numFmtId="0" fontId="47" fillId="0" borderId="23" xfId="0" applyFont="1" applyBorder="1" applyAlignment="1">
      <alignment horizontal="center" vertical="center"/>
    </xf>
    <xf numFmtId="0" fontId="47" fillId="0" borderId="1" xfId="0" applyFont="1" applyBorder="1" applyAlignment="1">
      <alignment horizontal="center" vertical="center"/>
    </xf>
    <xf numFmtId="0" fontId="28" fillId="2" borderId="21" xfId="0" applyFont="1" applyFill="1" applyBorder="1" applyAlignment="1">
      <alignment horizontal="center" vertical="center" wrapText="1"/>
    </xf>
    <xf numFmtId="0" fontId="28" fillId="2" borderId="1" xfId="0" applyFont="1" applyFill="1" applyBorder="1" applyAlignment="1">
      <alignment horizontal="center" vertical="center" wrapText="1"/>
    </xf>
    <xf numFmtId="0" fontId="28" fillId="0" borderId="21" xfId="0" applyFont="1" applyBorder="1" applyAlignment="1">
      <alignment horizontal="center" vertical="center"/>
    </xf>
    <xf numFmtId="0" fontId="28" fillId="0" borderId="23" xfId="0" applyFont="1" applyBorder="1" applyAlignment="1">
      <alignment horizontal="center" vertical="center"/>
    </xf>
    <xf numFmtId="0" fontId="28" fillId="0" borderId="1" xfId="0" applyFont="1" applyBorder="1" applyAlignment="1">
      <alignment horizontal="center" vertical="center"/>
    </xf>
    <xf numFmtId="0" fontId="31" fillId="0" borderId="2" xfId="0" applyFont="1" applyBorder="1" applyAlignment="1">
      <alignment horizontal="center" vertical="center"/>
    </xf>
    <xf numFmtId="15" fontId="31" fillId="0" borderId="2" xfId="0" quotePrefix="1" applyNumberFormat="1" applyFont="1" applyBorder="1" applyAlignment="1">
      <alignment horizontal="center" vertical="center"/>
    </xf>
    <xf numFmtId="15" fontId="31" fillId="0" borderId="2" xfId="0" applyNumberFormat="1" applyFont="1" applyBorder="1" applyAlignment="1">
      <alignment horizontal="center" vertical="center"/>
    </xf>
    <xf numFmtId="0" fontId="29" fillId="3" borderId="2" xfId="0" applyFont="1" applyFill="1" applyBorder="1" applyAlignment="1">
      <alignment horizontal="center" vertical="center"/>
    </xf>
    <xf numFmtId="0" fontId="29" fillId="3" borderId="21" xfId="0" applyFont="1" applyFill="1" applyBorder="1" applyAlignment="1">
      <alignment horizontal="center" vertical="center"/>
    </xf>
    <xf numFmtId="0" fontId="44" fillId="3" borderId="2" xfId="0" applyFont="1" applyFill="1" applyBorder="1" applyAlignment="1">
      <alignment horizontal="center" vertical="center"/>
    </xf>
    <xf numFmtId="0" fontId="44" fillId="3" borderId="2" xfId="0" applyFont="1" applyFill="1" applyBorder="1" applyAlignment="1">
      <alignment horizontal="center" vertical="center" wrapText="1"/>
    </xf>
    <xf numFmtId="0" fontId="44" fillId="3" borderId="21" xfId="0" applyFont="1" applyFill="1" applyBorder="1" applyAlignment="1">
      <alignment horizontal="center" vertical="center" wrapText="1"/>
    </xf>
    <xf numFmtId="0" fontId="44" fillId="3" borderId="23" xfId="0" applyFont="1" applyFill="1" applyBorder="1" applyAlignment="1">
      <alignment horizontal="center" vertical="center" wrapText="1"/>
    </xf>
    <xf numFmtId="0" fontId="26" fillId="8" borderId="21" xfId="0" applyFont="1" applyFill="1" applyBorder="1" applyAlignment="1">
      <alignment horizontal="center" vertical="center" wrapText="1"/>
    </xf>
    <xf numFmtId="0" fontId="26" fillId="8" borderId="1" xfId="0" applyFont="1" applyFill="1" applyBorder="1" applyAlignment="1">
      <alignment horizontal="center" vertical="center" wrapText="1"/>
    </xf>
    <xf numFmtId="0" fontId="28" fillId="0" borderId="2" xfId="0" applyFont="1" applyBorder="1" applyAlignment="1">
      <alignment horizontal="left" vertical="center" wrapText="1"/>
    </xf>
    <xf numFmtId="0" fontId="28" fillId="0" borderId="2" xfId="0" applyFont="1" applyBorder="1" applyAlignment="1">
      <alignment horizontal="center" vertical="center" wrapText="1"/>
    </xf>
    <xf numFmtId="0" fontId="30" fillId="0" borderId="2" xfId="0" applyFont="1" applyBorder="1" applyAlignment="1">
      <alignment horizontal="left" vertical="center" wrapText="1"/>
    </xf>
    <xf numFmtId="0" fontId="0" fillId="0" borderId="15" xfId="0" applyBorder="1" applyAlignment="1">
      <alignment horizontal="center"/>
    </xf>
    <xf numFmtId="0" fontId="58" fillId="0" borderId="2" xfId="0" applyFont="1" applyBorder="1" applyAlignment="1">
      <alignment horizontal="center" vertical="center" wrapText="1"/>
    </xf>
    <xf numFmtId="0" fontId="30" fillId="0" borderId="2" xfId="0" applyFont="1" applyBorder="1" applyAlignment="1">
      <alignment horizontal="justify" vertical="center" wrapText="1"/>
    </xf>
    <xf numFmtId="0" fontId="30" fillId="0" borderId="0" xfId="0" applyFont="1" applyAlignment="1">
      <alignment horizontal="left" vertical="center"/>
    </xf>
    <xf numFmtId="0" fontId="31" fillId="0" borderId="5" xfId="0" applyFont="1" applyBorder="1" applyAlignment="1">
      <alignment horizontal="center" vertical="center"/>
    </xf>
    <xf numFmtId="0" fontId="31" fillId="0" borderId="19" xfId="0" applyFont="1" applyBorder="1" applyAlignment="1">
      <alignment horizontal="center" vertical="center"/>
    </xf>
    <xf numFmtId="15" fontId="31" fillId="0" borderId="5" xfId="0" quotePrefix="1" applyNumberFormat="1" applyFont="1" applyBorder="1" applyAlignment="1">
      <alignment horizontal="center" vertical="center"/>
    </xf>
    <xf numFmtId="15" fontId="31" fillId="0" borderId="19" xfId="0" quotePrefix="1" applyNumberFormat="1" applyFont="1" applyBorder="1" applyAlignment="1">
      <alignment horizontal="center" vertical="center"/>
    </xf>
    <xf numFmtId="0" fontId="30" fillId="0" borderId="2" xfId="0" applyFont="1" applyBorder="1" applyAlignment="1">
      <alignment horizontal="center" vertical="center" wrapText="1"/>
    </xf>
    <xf numFmtId="0" fontId="26" fillId="8" borderId="2" xfId="0" applyFont="1" applyFill="1" applyBorder="1" applyAlignment="1">
      <alignment horizontal="left" vertical="center" wrapText="1"/>
    </xf>
    <xf numFmtId="0" fontId="30" fillId="0" borderId="21" xfId="0" applyFont="1" applyBorder="1" applyAlignment="1">
      <alignment horizontal="left" vertical="center" wrapText="1"/>
    </xf>
    <xf numFmtId="0" fontId="30" fillId="0" borderId="1" xfId="0" applyFont="1" applyBorder="1" applyAlignment="1">
      <alignment horizontal="left" vertical="center" wrapText="1"/>
    </xf>
    <xf numFmtId="0" fontId="30" fillId="0" borderId="21" xfId="0" applyFont="1" applyBorder="1" applyAlignment="1">
      <alignment horizontal="center" vertical="center" wrapText="1"/>
    </xf>
    <xf numFmtId="0" fontId="30" fillId="0" borderId="1" xfId="0" applyFont="1" applyBorder="1" applyAlignment="1">
      <alignment horizontal="center" vertical="center" wrapText="1"/>
    </xf>
    <xf numFmtId="0" fontId="28" fillId="0" borderId="2" xfId="0" applyFont="1" applyBorder="1" applyAlignment="1">
      <alignment horizontal="left" vertical="top" wrapText="1"/>
    </xf>
    <xf numFmtId="0" fontId="47" fillId="7" borderId="21" xfId="0" applyFont="1" applyFill="1" applyBorder="1" applyAlignment="1">
      <alignment horizontal="center" vertical="center" textRotation="90" wrapText="1"/>
    </xf>
    <xf numFmtId="0" fontId="47" fillId="7" borderId="23" xfId="0" applyFont="1" applyFill="1" applyBorder="1" applyAlignment="1">
      <alignment horizontal="center" vertical="center" textRotation="90" wrapText="1"/>
    </xf>
    <xf numFmtId="0" fontId="47" fillId="7" borderId="1" xfId="0" applyFont="1" applyFill="1" applyBorder="1" applyAlignment="1">
      <alignment horizontal="center" vertical="center" textRotation="90" wrapText="1"/>
    </xf>
    <xf numFmtId="0" fontId="29" fillId="2" borderId="5" xfId="0" applyFont="1" applyFill="1" applyBorder="1" applyAlignment="1">
      <alignment horizontal="center" vertical="center"/>
    </xf>
    <xf numFmtId="0" fontId="29" fillId="2" borderId="29" xfId="0" applyFont="1" applyFill="1" applyBorder="1" applyAlignment="1">
      <alignment horizontal="center" vertical="center"/>
    </xf>
    <xf numFmtId="0" fontId="29" fillId="2" borderId="19" xfId="0" applyFont="1" applyFill="1" applyBorder="1" applyAlignment="1">
      <alignment horizontal="center" vertical="center"/>
    </xf>
    <xf numFmtId="0" fontId="47" fillId="2" borderId="21" xfId="0" applyFont="1" applyFill="1" applyBorder="1" applyAlignment="1">
      <alignment horizontal="center" vertical="center" wrapText="1"/>
    </xf>
    <xf numFmtId="0" fontId="47" fillId="2" borderId="23" xfId="0" applyFont="1" applyFill="1" applyBorder="1" applyAlignment="1">
      <alignment horizontal="center" vertical="center" wrapText="1"/>
    </xf>
    <xf numFmtId="0" fontId="47" fillId="2" borderId="1" xfId="0" applyFont="1" applyFill="1" applyBorder="1" applyAlignment="1">
      <alignment horizontal="center" vertical="center" wrapText="1"/>
    </xf>
    <xf numFmtId="0" fontId="29" fillId="2" borderId="21" xfId="0" applyFont="1" applyFill="1" applyBorder="1" applyAlignment="1">
      <alignment horizontal="center" vertical="center" wrapText="1"/>
    </xf>
    <xf numFmtId="0" fontId="29" fillId="2" borderId="23" xfId="0" applyFont="1" applyFill="1" applyBorder="1" applyAlignment="1">
      <alignment horizontal="center" vertical="center" wrapText="1"/>
    </xf>
    <xf numFmtId="0" fontId="29" fillId="2" borderId="1" xfId="0" applyFont="1" applyFill="1" applyBorder="1" applyAlignment="1">
      <alignment horizontal="center" vertical="center" wrapText="1"/>
    </xf>
    <xf numFmtId="0" fontId="29" fillId="36" borderId="5" xfId="0" applyFont="1" applyFill="1" applyBorder="1" applyAlignment="1">
      <alignment horizontal="center" vertical="center"/>
    </xf>
    <xf numFmtId="0" fontId="29" fillId="36" borderId="29" xfId="0" applyFont="1" applyFill="1" applyBorder="1" applyAlignment="1">
      <alignment horizontal="center" vertical="center"/>
    </xf>
    <xf numFmtId="0" fontId="29" fillId="36" borderId="19" xfId="0" applyFont="1" applyFill="1" applyBorder="1" applyAlignment="1">
      <alignment horizontal="center" vertical="center"/>
    </xf>
    <xf numFmtId="0" fontId="29" fillId="38" borderId="5" xfId="0" applyFont="1" applyFill="1" applyBorder="1" applyAlignment="1">
      <alignment horizontal="center" vertical="center"/>
    </xf>
    <xf numFmtId="0" fontId="29" fillId="38" borderId="29" xfId="0" applyFont="1" applyFill="1" applyBorder="1" applyAlignment="1">
      <alignment horizontal="center" vertical="center"/>
    </xf>
    <xf numFmtId="0" fontId="29" fillId="38" borderId="19" xfId="0" applyFont="1" applyFill="1" applyBorder="1" applyAlignment="1">
      <alignment horizontal="center" vertical="center"/>
    </xf>
    <xf numFmtId="0" fontId="28" fillId="0" borderId="0" xfId="0" applyFont="1" applyAlignment="1">
      <alignment horizontal="center" vertical="center"/>
    </xf>
    <xf numFmtId="15" fontId="28" fillId="0" borderId="0" xfId="0" quotePrefix="1" applyNumberFormat="1" applyFont="1" applyAlignment="1">
      <alignment horizontal="center" vertical="center"/>
    </xf>
    <xf numFmtId="0" fontId="29" fillId="0" borderId="0" xfId="0" applyFont="1" applyAlignment="1">
      <alignment horizontal="center" vertical="center"/>
    </xf>
    <xf numFmtId="0" fontId="29" fillId="2" borderId="2" xfId="0" applyFont="1" applyFill="1" applyBorder="1" applyAlignment="1">
      <alignment horizontal="center" vertical="center"/>
    </xf>
    <xf numFmtId="0" fontId="29" fillId="2" borderId="21" xfId="0" applyFont="1" applyFill="1" applyBorder="1" applyAlignment="1">
      <alignment horizontal="center" vertical="center"/>
    </xf>
    <xf numFmtId="0" fontId="29" fillId="2" borderId="2" xfId="0" applyFont="1" applyFill="1" applyBorder="1" applyAlignment="1">
      <alignment horizontal="center" vertical="center" wrapText="1"/>
    </xf>
    <xf numFmtId="0" fontId="29" fillId="35" borderId="5" xfId="0" applyFont="1" applyFill="1" applyBorder="1" applyAlignment="1">
      <alignment horizontal="center" vertical="center"/>
    </xf>
    <xf numFmtId="0" fontId="29" fillId="35" borderId="29" xfId="0" applyFont="1" applyFill="1" applyBorder="1" applyAlignment="1">
      <alignment horizontal="center" vertical="center"/>
    </xf>
    <xf numFmtId="0" fontId="29" fillId="3" borderId="5" xfId="0" applyFont="1" applyFill="1" applyBorder="1" applyAlignment="1">
      <alignment horizontal="center" vertical="center"/>
    </xf>
    <xf numFmtId="0" fontId="29" fillId="3" borderId="29" xfId="0" applyFont="1" applyFill="1" applyBorder="1" applyAlignment="1">
      <alignment horizontal="center" vertical="center"/>
    </xf>
    <xf numFmtId="0" fontId="47" fillId="2" borderId="21" xfId="0" applyFont="1" applyFill="1" applyBorder="1" applyAlignment="1">
      <alignment horizontal="center" vertical="center" textRotation="90" wrapText="1"/>
    </xf>
    <xf numFmtId="0" fontId="47" fillId="2" borderId="23" xfId="0" applyFont="1" applyFill="1" applyBorder="1" applyAlignment="1">
      <alignment horizontal="center" vertical="center" textRotation="90" wrapText="1"/>
    </xf>
    <xf numFmtId="0" fontId="47" fillId="2" borderId="1" xfId="0" applyFont="1" applyFill="1" applyBorder="1" applyAlignment="1">
      <alignment horizontal="center" vertical="center" textRotation="90" wrapText="1"/>
    </xf>
    <xf numFmtId="0" fontId="50" fillId="7" borderId="23" xfId="0" applyFont="1" applyFill="1" applyBorder="1" applyAlignment="1">
      <alignment horizontal="center" vertical="center" textRotation="90" wrapText="1"/>
    </xf>
    <xf numFmtId="0" fontId="50" fillId="7" borderId="1" xfId="0" applyFont="1" applyFill="1" applyBorder="1" applyAlignment="1">
      <alignment horizontal="center" vertical="center" textRotation="90" wrapText="1"/>
    </xf>
    <xf numFmtId="0" fontId="28" fillId="2" borderId="21" xfId="0" applyFont="1" applyFill="1" applyBorder="1" applyAlignment="1">
      <alignment horizontal="center" vertical="center" textRotation="90" wrapText="1"/>
    </xf>
    <xf numFmtId="0" fontId="28" fillId="2" borderId="23" xfId="0" applyFont="1" applyFill="1" applyBorder="1" applyAlignment="1">
      <alignment horizontal="center" vertical="center" textRotation="90" wrapText="1"/>
    </xf>
    <xf numFmtId="0" fontId="28" fillId="2" borderId="1" xfId="0" applyFont="1" applyFill="1" applyBorder="1" applyAlignment="1">
      <alignment horizontal="center" vertical="center" textRotation="90" wrapText="1"/>
    </xf>
    <xf numFmtId="0" fontId="29" fillId="7" borderId="5" xfId="0" applyFont="1" applyFill="1" applyBorder="1" applyAlignment="1">
      <alignment horizontal="center" vertical="center"/>
    </xf>
    <xf numFmtId="0" fontId="29" fillId="7" borderId="29" xfId="0" applyFont="1" applyFill="1" applyBorder="1" applyAlignment="1">
      <alignment horizontal="center" vertical="center"/>
    </xf>
    <xf numFmtId="0" fontId="29" fillId="7" borderId="19" xfId="0" applyFont="1" applyFill="1" applyBorder="1" applyAlignment="1">
      <alignment horizontal="center" vertical="center"/>
    </xf>
    <xf numFmtId="0" fontId="29" fillId="10" borderId="2" xfId="0" applyFont="1" applyFill="1" applyBorder="1" applyAlignment="1">
      <alignment horizontal="center" vertical="center"/>
    </xf>
    <xf numFmtId="0" fontId="29" fillId="33" borderId="5" xfId="0" applyFont="1" applyFill="1" applyBorder="1" applyAlignment="1">
      <alignment horizontal="center" vertical="center"/>
    </xf>
    <xf numFmtId="0" fontId="29" fillId="33" borderId="29" xfId="0" applyFont="1" applyFill="1" applyBorder="1" applyAlignment="1">
      <alignment horizontal="center" vertical="center"/>
    </xf>
    <xf numFmtId="0" fontId="29" fillId="33" borderId="19" xfId="0" applyFont="1" applyFill="1" applyBorder="1" applyAlignment="1">
      <alignment horizontal="center" vertical="center"/>
    </xf>
    <xf numFmtId="0" fontId="29" fillId="37" borderId="5" xfId="0" applyFont="1" applyFill="1" applyBorder="1" applyAlignment="1">
      <alignment horizontal="center" vertical="center"/>
    </xf>
    <xf numFmtId="0" fontId="29" fillId="37" borderId="29" xfId="0" applyFont="1" applyFill="1" applyBorder="1" applyAlignment="1">
      <alignment horizontal="center" vertical="center"/>
    </xf>
    <xf numFmtId="0" fontId="29" fillId="37" borderId="19" xfId="0" applyFont="1" applyFill="1" applyBorder="1" applyAlignment="1">
      <alignment horizontal="center" vertical="center"/>
    </xf>
    <xf numFmtId="0" fontId="47" fillId="2" borderId="21" xfId="0" applyFont="1" applyFill="1" applyBorder="1" applyAlignment="1">
      <alignment horizontal="center" vertical="center"/>
    </xf>
    <xf numFmtId="0" fontId="47" fillId="2" borderId="1" xfId="0" applyFont="1" applyFill="1" applyBorder="1" applyAlignment="1">
      <alignment horizontal="center" vertical="center"/>
    </xf>
    <xf numFmtId="0" fontId="47" fillId="2" borderId="23" xfId="0" applyFont="1" applyFill="1" applyBorder="1" applyAlignment="1">
      <alignment horizontal="center" vertical="center"/>
    </xf>
    <xf numFmtId="0" fontId="29" fillId="28" borderId="5" xfId="0" applyFont="1" applyFill="1" applyBorder="1" applyAlignment="1">
      <alignment horizontal="center" vertical="center"/>
    </xf>
    <xf numFmtId="0" fontId="29" fillId="28" borderId="29" xfId="0" applyFont="1" applyFill="1" applyBorder="1" applyAlignment="1">
      <alignment horizontal="center" vertical="center"/>
    </xf>
    <xf numFmtId="0" fontId="29" fillId="28" borderId="19" xfId="0" applyFont="1" applyFill="1" applyBorder="1" applyAlignment="1">
      <alignment horizontal="center" vertical="center"/>
    </xf>
    <xf numFmtId="0" fontId="29" fillId="27" borderId="5" xfId="0" applyFont="1" applyFill="1" applyBorder="1" applyAlignment="1">
      <alignment horizontal="center" vertical="center"/>
    </xf>
    <xf numFmtId="0" fontId="29" fillId="27" borderId="29" xfId="0" applyFont="1" applyFill="1" applyBorder="1" applyAlignment="1">
      <alignment horizontal="center" vertical="center"/>
    </xf>
    <xf numFmtId="0" fontId="29" fillId="27" borderId="19" xfId="0" applyFont="1" applyFill="1" applyBorder="1" applyAlignment="1">
      <alignment horizontal="center" vertical="center"/>
    </xf>
    <xf numFmtId="0" fontId="29" fillId="29" borderId="2" xfId="0" applyFont="1" applyFill="1" applyBorder="1" applyAlignment="1">
      <alignment horizontal="center" vertical="center"/>
    </xf>
    <xf numFmtId="0" fontId="47" fillId="2" borderId="2" xfId="0" applyFont="1" applyFill="1" applyBorder="1" applyAlignment="1">
      <alignment horizontal="center" vertical="center"/>
    </xf>
    <xf numFmtId="0" fontId="27" fillId="2" borderId="2" xfId="0" applyFont="1" applyFill="1" applyBorder="1" applyAlignment="1">
      <alignment horizontal="center" vertical="center"/>
    </xf>
    <xf numFmtId="0" fontId="30" fillId="4" borderId="5" xfId="0" applyFont="1" applyFill="1" applyBorder="1" applyAlignment="1">
      <alignment horizontal="center"/>
    </xf>
    <xf numFmtId="0" fontId="30" fillId="4" borderId="29" xfId="0" applyFont="1" applyFill="1" applyBorder="1" applyAlignment="1">
      <alignment horizontal="center"/>
    </xf>
    <xf numFmtId="0" fontId="30" fillId="4" borderId="19" xfId="0" applyFont="1" applyFill="1" applyBorder="1" applyAlignment="1">
      <alignment horizontal="center"/>
    </xf>
    <xf numFmtId="0" fontId="35" fillId="0" borderId="0" xfId="0" applyFont="1" applyAlignment="1">
      <alignment horizontal="center" vertical="center"/>
    </xf>
    <xf numFmtId="0" fontId="29" fillId="3" borderId="19" xfId="0" applyFont="1" applyFill="1" applyBorder="1" applyAlignment="1">
      <alignment horizontal="center" vertical="center"/>
    </xf>
    <xf numFmtId="0" fontId="29" fillId="3" borderId="21" xfId="0" applyFont="1" applyFill="1" applyBorder="1" applyAlignment="1">
      <alignment horizontal="center" vertical="center" wrapText="1"/>
    </xf>
    <xf numFmtId="0" fontId="29" fillId="3" borderId="23" xfId="0" applyFont="1" applyFill="1" applyBorder="1" applyAlignment="1">
      <alignment horizontal="center" vertical="center" wrapText="1"/>
    </xf>
    <xf numFmtId="0" fontId="29" fillId="3" borderId="23" xfId="0" applyFont="1" applyFill="1" applyBorder="1" applyAlignment="1">
      <alignment horizontal="center" vertical="center"/>
    </xf>
    <xf numFmtId="0" fontId="32" fillId="0" borderId="0" xfId="0" applyFont="1" applyAlignment="1">
      <alignment horizontal="center" vertical="center"/>
    </xf>
    <xf numFmtId="0" fontId="30" fillId="0" borderId="0" xfId="0" applyFont="1" applyAlignment="1">
      <alignment horizontal="left"/>
    </xf>
    <xf numFmtId="0" fontId="30" fillId="0" borderId="0" xfId="0" applyFont="1" applyAlignment="1">
      <alignment horizontal="center" vertical="center"/>
    </xf>
    <xf numFmtId="0" fontId="30" fillId="0" borderId="0" xfId="0" applyFont="1" applyAlignment="1">
      <alignment horizontal="center" vertical="center" wrapText="1"/>
    </xf>
    <xf numFmtId="0" fontId="30" fillId="0" borderId="21" xfId="0" applyFont="1" applyBorder="1" applyAlignment="1">
      <alignment horizontal="center" vertical="center"/>
    </xf>
    <xf numFmtId="0" fontId="30" fillId="0" borderId="1" xfId="0" applyFont="1" applyBorder="1" applyAlignment="1">
      <alignment horizontal="center" vertical="center"/>
    </xf>
    <xf numFmtId="0" fontId="32" fillId="0" borderId="2" xfId="0" applyFont="1" applyBorder="1" applyAlignment="1">
      <alignment horizontal="center" vertical="center"/>
    </xf>
    <xf numFmtId="0" fontId="28" fillId="0" borderId="2" xfId="0" applyFont="1" applyBorder="1" applyAlignment="1">
      <alignment horizontal="left"/>
    </xf>
    <xf numFmtId="0" fontId="28" fillId="0" borderId="2" xfId="0" applyFont="1" applyBorder="1" applyAlignment="1">
      <alignment wrapText="1"/>
    </xf>
    <xf numFmtId="0" fontId="28" fillId="0" borderId="2" xfId="0" applyFont="1" applyBorder="1"/>
    <xf numFmtId="0" fontId="30" fillId="0" borderId="18" xfId="0" applyFont="1" applyBorder="1" applyAlignment="1">
      <alignment horizontal="center" vertical="center" wrapText="1"/>
    </xf>
    <xf numFmtId="0" fontId="30" fillId="0" borderId="17" xfId="0" applyFont="1" applyBorder="1" applyAlignment="1">
      <alignment horizontal="center" vertical="center" wrapText="1"/>
    </xf>
    <xf numFmtId="0" fontId="26" fillId="8" borderId="14" xfId="0" applyFont="1" applyFill="1" applyBorder="1" applyAlignment="1">
      <alignment horizontal="left" vertical="center" wrapText="1"/>
    </xf>
    <xf numFmtId="0" fontId="26" fillId="8" borderId="16" xfId="0" applyFont="1" applyFill="1" applyBorder="1" applyAlignment="1">
      <alignment horizontal="left" vertical="center" wrapText="1"/>
    </xf>
    <xf numFmtId="0" fontId="30" fillId="0" borderId="23" xfId="0" applyFont="1" applyBorder="1" applyAlignment="1">
      <alignment horizontal="center" vertical="center"/>
    </xf>
    <xf numFmtId="0" fontId="25" fillId="0" borderId="0" xfId="0" applyFont="1" applyAlignment="1">
      <alignment horizontal="left" vertical="center" wrapText="1"/>
    </xf>
    <xf numFmtId="0" fontId="30" fillId="0" borderId="23" xfId="0" applyFont="1" applyBorder="1" applyAlignment="1">
      <alignment horizontal="center" vertical="center" wrapText="1"/>
    </xf>
    <xf numFmtId="0" fontId="30" fillId="0" borderId="21" xfId="0" applyFont="1" applyBorder="1" applyAlignment="1">
      <alignment vertical="center" wrapText="1"/>
    </xf>
    <xf numFmtId="0" fontId="30" fillId="0" borderId="23" xfId="0" applyFont="1" applyBorder="1" applyAlignment="1">
      <alignment vertical="center" wrapText="1"/>
    </xf>
    <xf numFmtId="0" fontId="30" fillId="0" borderId="1" xfId="0" applyFont="1" applyBorder="1" applyAlignment="1">
      <alignment vertical="center" wrapText="1"/>
    </xf>
    <xf numFmtId="0" fontId="30" fillId="0" borderId="23" xfId="0" applyFont="1" applyBorder="1" applyAlignment="1">
      <alignment horizontal="left" vertical="center" wrapText="1"/>
    </xf>
    <xf numFmtId="0" fontId="32" fillId="0" borderId="21" xfId="0" applyFont="1" applyBorder="1" applyAlignment="1">
      <alignment horizontal="center" vertical="center" wrapText="1"/>
    </xf>
    <xf numFmtId="0" fontId="32" fillId="0" borderId="23" xfId="0" applyFont="1" applyBorder="1" applyAlignment="1">
      <alignment horizontal="center" vertical="center" wrapText="1"/>
    </xf>
    <xf numFmtId="0" fontId="32" fillId="0" borderId="1" xfId="0" applyFont="1" applyBorder="1" applyAlignment="1">
      <alignment horizontal="center" vertical="center" wrapText="1"/>
    </xf>
    <xf numFmtId="0" fontId="32" fillId="0" borderId="2" xfId="0" applyFont="1" applyBorder="1" applyAlignment="1">
      <alignment horizontal="center" vertical="center" wrapText="1"/>
    </xf>
    <xf numFmtId="0" fontId="32" fillId="0" borderId="5" xfId="0" applyFont="1" applyBorder="1" applyAlignment="1">
      <alignment horizontal="center" vertical="center" wrapText="1"/>
    </xf>
    <xf numFmtId="0" fontId="32" fillId="0" borderId="29" xfId="0" applyFont="1" applyBorder="1" applyAlignment="1">
      <alignment horizontal="center" vertical="center" wrapText="1"/>
    </xf>
    <xf numFmtId="0" fontId="32" fillId="0" borderId="19" xfId="0" applyFont="1" applyBorder="1" applyAlignment="1">
      <alignment horizontal="center" vertical="center" wrapText="1"/>
    </xf>
    <xf numFmtId="0" fontId="32" fillId="0" borderId="2" xfId="0" applyFont="1" applyBorder="1" applyAlignment="1">
      <alignment horizontal="left" vertical="center" wrapText="1"/>
    </xf>
    <xf numFmtId="0" fontId="30" fillId="0" borderId="2" xfId="0" applyFont="1" applyBorder="1" applyAlignment="1">
      <alignment wrapText="1"/>
    </xf>
    <xf numFmtId="0" fontId="30" fillId="0" borderId="2" xfId="0" applyFont="1" applyBorder="1"/>
    <xf numFmtId="0" fontId="30" fillId="32" borderId="2" xfId="0" applyFont="1" applyFill="1" applyBorder="1"/>
    <xf numFmtId="0" fontId="30" fillId="0" borderId="5" xfId="0" applyFont="1" applyBorder="1" applyAlignment="1">
      <alignment horizontal="center"/>
    </xf>
    <xf numFmtId="0" fontId="30" fillId="0" borderId="29" xfId="0" applyFont="1" applyBorder="1" applyAlignment="1">
      <alignment horizontal="center"/>
    </xf>
    <xf numFmtId="0" fontId="30" fillId="0" borderId="19" xfId="0" applyFont="1" applyBorder="1" applyAlignment="1">
      <alignment horizontal="center"/>
    </xf>
    <xf numFmtId="0" fontId="102" fillId="6" borderId="21" xfId="5" applyFont="1" applyFill="1" applyBorder="1" applyAlignment="1">
      <alignment horizontal="center" vertical="center"/>
    </xf>
    <xf numFmtId="0" fontId="102" fillId="6" borderId="23" xfId="5" applyFont="1" applyFill="1" applyBorder="1" applyAlignment="1">
      <alignment horizontal="center" vertical="center"/>
    </xf>
    <xf numFmtId="0" fontId="102" fillId="6" borderId="1" xfId="5" applyFont="1" applyFill="1" applyBorder="1" applyAlignment="1">
      <alignment horizontal="center" vertical="center"/>
    </xf>
    <xf numFmtId="0" fontId="30" fillId="0" borderId="5" xfId="0" applyFont="1" applyBorder="1"/>
    <xf numFmtId="0" fontId="30" fillId="0" borderId="29" xfId="0" applyFont="1" applyBorder="1"/>
    <xf numFmtId="0" fontId="30" fillId="0" borderId="19" xfId="0" applyFont="1" applyBorder="1"/>
    <xf numFmtId="0" fontId="30" fillId="0" borderId="2" xfId="0" applyFont="1" applyBorder="1" applyAlignment="1">
      <alignment horizontal="center"/>
    </xf>
    <xf numFmtId="0" fontId="30" fillId="6" borderId="5" xfId="0" applyFont="1" applyFill="1" applyBorder="1" applyAlignment="1">
      <alignment horizontal="center"/>
    </xf>
    <xf numFmtId="0" fontId="30" fillId="6" borderId="29" xfId="0" applyFont="1" applyFill="1" applyBorder="1" applyAlignment="1">
      <alignment horizontal="center"/>
    </xf>
    <xf numFmtId="0" fontId="30" fillId="6" borderId="19" xfId="0" applyFont="1" applyFill="1" applyBorder="1" applyAlignment="1">
      <alignment horizontal="center"/>
    </xf>
    <xf numFmtId="0" fontId="30" fillId="0" borderId="5" xfId="0" applyFont="1" applyBorder="1" applyAlignment="1">
      <alignment wrapText="1"/>
    </xf>
    <xf numFmtId="0" fontId="30" fillId="0" borderId="29" xfId="0" applyFont="1" applyBorder="1" applyAlignment="1">
      <alignment wrapText="1"/>
    </xf>
    <xf numFmtId="0" fontId="30" fillId="0" borderId="19" xfId="0" applyFont="1" applyBorder="1" applyAlignment="1">
      <alignment wrapText="1"/>
    </xf>
    <xf numFmtId="0" fontId="102" fillId="6" borderId="5" xfId="5" applyFont="1" applyFill="1" applyBorder="1" applyAlignment="1">
      <alignment horizontal="center" vertical="center"/>
    </xf>
    <xf numFmtId="0" fontId="102" fillId="6" borderId="29" xfId="5" applyFont="1" applyFill="1" applyBorder="1" applyAlignment="1">
      <alignment horizontal="center" vertical="center"/>
    </xf>
    <xf numFmtId="0" fontId="102" fillId="6" borderId="19" xfId="5" applyFont="1" applyFill="1" applyBorder="1" applyAlignment="1">
      <alignment horizontal="center" vertical="center"/>
    </xf>
    <xf numFmtId="0" fontId="32" fillId="0" borderId="2" xfId="0" applyFont="1" applyBorder="1" applyAlignment="1">
      <alignment horizontal="center"/>
    </xf>
    <xf numFmtId="20" fontId="26" fillId="0" borderId="0" xfId="0" applyNumberFormat="1" applyFont="1" applyAlignment="1">
      <alignment horizontal="left" vertical="top" wrapText="1"/>
    </xf>
    <xf numFmtId="0" fontId="26" fillId="0" borderId="0" xfId="0" applyFont="1" applyAlignment="1">
      <alignment horizontal="left" vertical="top" wrapText="1"/>
    </xf>
    <xf numFmtId="1" fontId="28" fillId="0" borderId="2" xfId="0" applyNumberFormat="1" applyFont="1" applyBorder="1" applyAlignment="1">
      <alignment horizontal="center" vertical="center"/>
    </xf>
    <xf numFmtId="1" fontId="28" fillId="0" borderId="18" xfId="0" applyNumberFormat="1" applyFont="1" applyBorder="1" applyAlignment="1">
      <alignment horizontal="center" vertical="center"/>
    </xf>
    <xf numFmtId="1" fontId="28" fillId="0" borderId="15" xfId="0" applyNumberFormat="1" applyFont="1" applyBorder="1" applyAlignment="1">
      <alignment horizontal="center" vertical="center"/>
    </xf>
    <xf numFmtId="1" fontId="28" fillId="0" borderId="17" xfId="0" applyNumberFormat="1" applyFont="1" applyBorder="1" applyAlignment="1">
      <alignment horizontal="center" vertical="center"/>
    </xf>
    <xf numFmtId="0" fontId="37" fillId="0" borderId="21" xfId="0" applyFont="1" applyBorder="1" applyAlignment="1">
      <alignment horizontal="left" vertical="center" wrapText="1"/>
    </xf>
    <xf numFmtId="0" fontId="37" fillId="0" borderId="23" xfId="0" applyFont="1" applyBorder="1" applyAlignment="1">
      <alignment horizontal="left" vertical="center" wrapText="1"/>
    </xf>
    <xf numFmtId="0" fontId="37" fillId="0" borderId="1" xfId="0" applyFont="1" applyBorder="1" applyAlignment="1">
      <alignment horizontal="left" vertical="center" wrapText="1"/>
    </xf>
    <xf numFmtId="0" fontId="37" fillId="0" borderId="21" xfId="0" applyFont="1" applyBorder="1" applyAlignment="1">
      <alignment horizontal="left" vertical="top" wrapText="1"/>
    </xf>
    <xf numFmtId="0" fontId="37" fillId="0" borderId="23" xfId="0" applyFont="1" applyBorder="1" applyAlignment="1">
      <alignment horizontal="left" vertical="top" wrapText="1"/>
    </xf>
    <xf numFmtId="0" fontId="37" fillId="0" borderId="1" xfId="0" applyFont="1" applyBorder="1" applyAlignment="1">
      <alignment horizontal="left" vertical="top" wrapText="1"/>
    </xf>
    <xf numFmtId="0" fontId="28" fillId="0" borderId="21" xfId="0" applyFont="1" applyBorder="1" applyAlignment="1">
      <alignment horizontal="center"/>
    </xf>
    <xf numFmtId="0" fontId="28" fillId="0" borderId="1" xfId="0" applyFont="1" applyBorder="1" applyAlignment="1">
      <alignment horizontal="center"/>
    </xf>
    <xf numFmtId="0" fontId="35" fillId="0" borderId="15" xfId="0" applyFont="1" applyBorder="1" applyAlignment="1">
      <alignment horizontal="center" vertical="center"/>
    </xf>
    <xf numFmtId="0" fontId="28" fillId="0" borderId="21" xfId="0" applyFont="1" applyBorder="1" applyAlignment="1">
      <alignment horizontal="left" wrapText="1"/>
    </xf>
    <xf numFmtId="0" fontId="28" fillId="0" borderId="1" xfId="0" applyFont="1" applyBorder="1" applyAlignment="1">
      <alignment horizontal="left" wrapText="1"/>
    </xf>
    <xf numFmtId="0" fontId="28" fillId="0" borderId="21" xfId="0" applyFont="1" applyBorder="1" applyAlignment="1">
      <alignment horizontal="left" vertical="center" wrapText="1"/>
    </xf>
    <xf numFmtId="0" fontId="28" fillId="0" borderId="1" xfId="0" applyFont="1" applyBorder="1" applyAlignment="1">
      <alignment horizontal="left" vertical="center" wrapText="1"/>
    </xf>
    <xf numFmtId="0" fontId="28" fillId="0" borderId="125" xfId="0" applyFont="1" applyBorder="1" applyAlignment="1">
      <alignment horizontal="left" vertical="center" wrapText="1" indent="11"/>
    </xf>
    <xf numFmtId="0" fontId="28" fillId="0" borderId="0" xfId="0" applyFont="1" applyAlignment="1">
      <alignment horizontal="left" vertical="center" wrapText="1" indent="11"/>
    </xf>
    <xf numFmtId="0" fontId="28" fillId="0" borderId="126" xfId="0" applyFont="1" applyBorder="1" applyAlignment="1">
      <alignment horizontal="left" vertical="center" wrapText="1" indent="11"/>
    </xf>
    <xf numFmtId="0" fontId="28" fillId="0" borderId="122" xfId="0" applyFont="1" applyBorder="1" applyAlignment="1">
      <alignment horizontal="left" vertical="center" wrapText="1" indent="11"/>
    </xf>
    <xf numFmtId="0" fontId="28" fillId="0" borderId="124" xfId="0" applyFont="1" applyBorder="1" applyAlignment="1">
      <alignment horizontal="left" vertical="center" wrapText="1" indent="11"/>
    </xf>
    <xf numFmtId="0" fontId="28" fillId="0" borderId="123" xfId="0" applyFont="1" applyBorder="1" applyAlignment="1">
      <alignment horizontal="left" vertical="center" wrapText="1" indent="11"/>
    </xf>
    <xf numFmtId="0" fontId="28" fillId="0" borderId="118" xfId="0" applyFont="1" applyBorder="1" applyAlignment="1">
      <alignment vertical="center" wrapText="1"/>
    </xf>
    <xf numFmtId="0" fontId="28" fillId="0" borderId="119" xfId="0" applyFont="1" applyBorder="1" applyAlignment="1">
      <alignment vertical="center" wrapText="1"/>
    </xf>
    <xf numFmtId="0" fontId="28" fillId="0" borderId="120" xfId="0" applyFont="1" applyBorder="1" applyAlignment="1">
      <alignment vertical="center" wrapText="1"/>
    </xf>
    <xf numFmtId="0" fontId="28" fillId="0" borderId="118" xfId="0" applyFont="1" applyBorder="1" applyAlignment="1">
      <alignment horizontal="left" vertical="top" wrapText="1"/>
    </xf>
    <xf numFmtId="0" fontId="28" fillId="0" borderId="119" xfId="0" applyFont="1" applyBorder="1" applyAlignment="1">
      <alignment horizontal="left" vertical="top" wrapText="1"/>
    </xf>
    <xf numFmtId="0" fontId="28" fillId="0" borderId="120" xfId="0" applyFont="1" applyBorder="1" applyAlignment="1">
      <alignment horizontal="left" vertical="top" wrapText="1"/>
    </xf>
    <xf numFmtId="0" fontId="28" fillId="26" borderId="118" xfId="0" applyFont="1" applyFill="1" applyBorder="1" applyAlignment="1">
      <alignment vertical="center" wrapText="1"/>
    </xf>
    <xf numFmtId="0" fontId="28" fillId="26" borderId="119" xfId="0" applyFont="1" applyFill="1" applyBorder="1" applyAlignment="1">
      <alignment vertical="center" wrapText="1"/>
    </xf>
    <xf numFmtId="0" fontId="28" fillId="26" borderId="120" xfId="0" applyFont="1" applyFill="1" applyBorder="1" applyAlignment="1">
      <alignment vertical="center" wrapText="1"/>
    </xf>
    <xf numFmtId="0" fontId="28" fillId="0" borderId="127" xfId="0" applyFont="1" applyBorder="1" applyAlignment="1">
      <alignment horizontal="left" vertical="center" wrapText="1" indent="11"/>
    </xf>
    <xf numFmtId="0" fontId="28" fillId="0" borderId="128" xfId="0" applyFont="1" applyBorder="1" applyAlignment="1">
      <alignment horizontal="left" vertical="center" wrapText="1" indent="11"/>
    </xf>
    <xf numFmtId="0" fontId="28" fillId="0" borderId="129" xfId="0" applyFont="1" applyBorder="1" applyAlignment="1">
      <alignment horizontal="left" vertical="center" wrapText="1" indent="11"/>
    </xf>
    <xf numFmtId="0" fontId="91" fillId="26" borderId="118" xfId="0" applyFont="1" applyFill="1" applyBorder="1" applyAlignment="1">
      <alignment horizontal="center" vertical="center" wrapText="1"/>
    </xf>
    <xf numFmtId="0" fontId="91" fillId="26" borderId="119" xfId="0" applyFont="1" applyFill="1" applyBorder="1" applyAlignment="1">
      <alignment horizontal="center" vertical="center" wrapText="1"/>
    </xf>
    <xf numFmtId="0" fontId="91" fillId="26" borderId="120" xfId="0" applyFont="1" applyFill="1" applyBorder="1" applyAlignment="1">
      <alignment horizontal="center" vertical="center" wrapText="1"/>
    </xf>
    <xf numFmtId="0" fontId="40" fillId="26" borderId="118" xfId="0" applyFont="1" applyFill="1" applyBorder="1" applyAlignment="1">
      <alignment vertical="center" wrapText="1"/>
    </xf>
    <xf numFmtId="0" fontId="40" fillId="26" borderId="119" xfId="0" applyFont="1" applyFill="1" applyBorder="1" applyAlignment="1">
      <alignment vertical="center" wrapText="1"/>
    </xf>
    <xf numFmtId="0" fontId="40" fillId="26" borderId="120" xfId="0" applyFont="1" applyFill="1" applyBorder="1" applyAlignment="1">
      <alignment vertical="center" wrapText="1"/>
    </xf>
    <xf numFmtId="0" fontId="105" fillId="0" borderId="118" xfId="0" applyFont="1" applyBorder="1" applyAlignment="1">
      <alignment vertical="center" wrapText="1"/>
    </xf>
    <xf numFmtId="0" fontId="105" fillId="0" borderId="119" xfId="0" applyFont="1" applyBorder="1" applyAlignment="1">
      <alignment vertical="center" wrapText="1"/>
    </xf>
    <xf numFmtId="0" fontId="105" fillId="0" borderId="120" xfId="0" applyFont="1" applyBorder="1" applyAlignment="1">
      <alignment vertical="center" wrapText="1"/>
    </xf>
    <xf numFmtId="0" fontId="29" fillId="0" borderId="118" xfId="0" applyFont="1" applyBorder="1" applyAlignment="1">
      <alignment horizontal="center" vertical="center" wrapText="1"/>
    </xf>
    <xf numFmtId="0" fontId="29" fillId="0" borderId="119" xfId="0" applyFont="1" applyBorder="1" applyAlignment="1">
      <alignment horizontal="center" vertical="center" wrapText="1"/>
    </xf>
    <xf numFmtId="0" fontId="29" fillId="0" borderId="120" xfId="0" applyFont="1" applyBorder="1" applyAlignment="1">
      <alignment horizontal="center" vertical="center" wrapText="1"/>
    </xf>
    <xf numFmtId="0" fontId="28" fillId="0" borderId="0" xfId="0" applyFont="1" applyAlignment="1">
      <alignment horizontal="justify" vertical="center" wrapText="1"/>
    </xf>
    <xf numFmtId="0" fontId="28" fillId="0" borderId="126" xfId="0" applyFont="1" applyBorder="1" applyAlignment="1">
      <alignment horizontal="justify" vertical="center" wrapText="1"/>
    </xf>
    <xf numFmtId="0" fontId="28" fillId="0" borderId="122" xfId="0" applyFont="1" applyBorder="1" applyAlignment="1">
      <alignment vertical="center" wrapText="1"/>
    </xf>
    <xf numFmtId="0" fontId="28" fillId="0" borderId="124" xfId="0" applyFont="1" applyBorder="1" applyAlignment="1">
      <alignment vertical="center" wrapText="1"/>
    </xf>
    <xf numFmtId="0" fontId="28" fillId="0" borderId="123" xfId="0" applyFont="1" applyBorder="1" applyAlignment="1">
      <alignment vertical="center" wrapText="1"/>
    </xf>
    <xf numFmtId="0" fontId="91" fillId="26" borderId="122" xfId="0" applyFont="1" applyFill="1" applyBorder="1" applyAlignment="1">
      <alignment horizontal="center" vertical="center" wrapText="1"/>
    </xf>
    <xf numFmtId="0" fontId="91" fillId="26" borderId="124" xfId="0" applyFont="1" applyFill="1" applyBorder="1" applyAlignment="1">
      <alignment horizontal="center" vertical="center" wrapText="1"/>
    </xf>
    <xf numFmtId="0" fontId="91" fillId="26" borderId="123" xfId="0" applyFont="1" applyFill="1" applyBorder="1" applyAlignment="1">
      <alignment horizontal="center" vertical="center" wrapText="1"/>
    </xf>
    <xf numFmtId="0" fontId="28" fillId="0" borderId="0" xfId="0" applyFont="1" applyAlignment="1">
      <alignment horizontal="left" vertical="center" wrapText="1"/>
    </xf>
    <xf numFmtId="0" fontId="28" fillId="0" borderId="126" xfId="0" applyFont="1" applyBorder="1" applyAlignment="1">
      <alignment horizontal="left" vertical="center" wrapText="1"/>
    </xf>
    <xf numFmtId="0" fontId="40" fillId="26" borderId="118" xfId="0" applyFont="1" applyFill="1" applyBorder="1" applyAlignment="1">
      <alignment horizontal="left" vertical="center" wrapText="1"/>
    </xf>
    <xf numFmtId="0" fontId="40" fillId="26" borderId="119" xfId="0" applyFont="1" applyFill="1" applyBorder="1" applyAlignment="1">
      <alignment horizontal="left" vertical="center" wrapText="1"/>
    </xf>
    <xf numFmtId="0" fontId="40" fillId="26" borderId="120" xfId="0" applyFont="1" applyFill="1" applyBorder="1" applyAlignment="1">
      <alignment horizontal="left" vertical="center" wrapText="1"/>
    </xf>
    <xf numFmtId="0" fontId="28" fillId="0" borderId="128" xfId="0" applyFont="1" applyBorder="1" applyAlignment="1">
      <alignment horizontal="justify" vertical="center" wrapText="1"/>
    </xf>
    <xf numFmtId="0" fontId="28" fillId="0" borderId="129" xfId="0" applyFont="1" applyBorder="1" applyAlignment="1">
      <alignment horizontal="justify" vertical="center" wrapText="1"/>
    </xf>
    <xf numFmtId="0" fontId="29" fillId="0" borderId="0" xfId="0" applyFont="1" applyAlignment="1">
      <alignment horizontal="left" vertical="center" wrapText="1"/>
    </xf>
    <xf numFmtId="0" fontId="29" fillId="0" borderId="126" xfId="0" applyFont="1" applyBorder="1" applyAlignment="1">
      <alignment horizontal="left" vertical="center" wrapText="1"/>
    </xf>
    <xf numFmtId="0" fontId="28" fillId="0" borderId="0" xfId="0" applyFont="1" applyAlignment="1">
      <alignment horizontal="center" vertical="center" wrapText="1"/>
    </xf>
    <xf numFmtId="0" fontId="28" fillId="0" borderId="126" xfId="0" applyFont="1" applyBorder="1" applyAlignment="1">
      <alignment horizontal="center" vertical="center" wrapText="1"/>
    </xf>
    <xf numFmtId="0" fontId="29" fillId="0" borderId="125" xfId="0" applyFont="1" applyBorder="1" applyAlignment="1">
      <alignment horizontal="left" vertical="center" wrapText="1"/>
    </xf>
    <xf numFmtId="0" fontId="29" fillId="0" borderId="127" xfId="0" applyFont="1" applyBorder="1" applyAlignment="1">
      <alignment vertical="center" wrapText="1"/>
    </xf>
    <xf numFmtId="0" fontId="29" fillId="0" borderId="128" xfId="0" applyFont="1" applyBorder="1" applyAlignment="1">
      <alignment vertical="center" wrapText="1"/>
    </xf>
    <xf numFmtId="0" fontId="29" fillId="0" borderId="129" xfId="0" applyFont="1" applyBorder="1" applyAlignment="1">
      <alignment vertical="center" wrapText="1"/>
    </xf>
    <xf numFmtId="0" fontId="28" fillId="0" borderId="125" xfId="0" applyFont="1" applyBorder="1" applyAlignment="1">
      <alignment horizontal="left" vertical="center" wrapText="1" indent="7"/>
    </xf>
    <xf numFmtId="0" fontId="28" fillId="0" borderId="0" xfId="0" applyFont="1" applyAlignment="1">
      <alignment horizontal="left" vertical="center" wrapText="1" indent="7"/>
    </xf>
    <xf numFmtId="0" fontId="28" fillId="0" borderId="126" xfId="0" applyFont="1" applyBorder="1" applyAlignment="1">
      <alignment horizontal="left" vertical="center" wrapText="1" indent="7"/>
    </xf>
    <xf numFmtId="0" fontId="28" fillId="0" borderId="118" xfId="0" applyFont="1" applyBorder="1" applyAlignment="1">
      <alignment horizontal="left" vertical="center" wrapText="1"/>
    </xf>
    <xf numFmtId="0" fontId="28" fillId="0" borderId="119" xfId="0" applyFont="1" applyBorder="1" applyAlignment="1">
      <alignment horizontal="left" vertical="center" wrapText="1"/>
    </xf>
    <xf numFmtId="0" fontId="28" fillId="0" borderId="120" xfId="0" applyFont="1" applyBorder="1" applyAlignment="1">
      <alignment horizontal="left" vertical="center" wrapText="1"/>
    </xf>
    <xf numFmtId="0" fontId="28" fillId="0" borderId="127" xfId="0" applyFont="1" applyBorder="1" applyAlignment="1">
      <alignment horizontal="left" vertical="center" wrapText="1" indent="2"/>
    </xf>
    <xf numFmtId="0" fontId="28" fillId="0" borderId="128" xfId="0" applyFont="1" applyBorder="1" applyAlignment="1">
      <alignment horizontal="left" vertical="center" wrapText="1" indent="2"/>
    </xf>
    <xf numFmtId="0" fontId="28" fillId="0" borderId="129" xfId="0" applyFont="1" applyBorder="1" applyAlignment="1">
      <alignment horizontal="left" vertical="center" wrapText="1" indent="2"/>
    </xf>
    <xf numFmtId="0" fontId="28" fillId="0" borderId="118" xfId="0" applyFont="1" applyBorder="1" applyAlignment="1">
      <alignment horizontal="justify" vertical="center" wrapText="1"/>
    </xf>
    <xf numFmtId="0" fontId="28" fillId="0" borderId="119" xfId="0" applyFont="1" applyBorder="1" applyAlignment="1">
      <alignment horizontal="justify" vertical="center" wrapText="1"/>
    </xf>
    <xf numFmtId="0" fontId="28" fillId="0" borderId="120" xfId="0" applyFont="1" applyBorder="1" applyAlignment="1">
      <alignment horizontal="justify" vertical="center" wrapText="1"/>
    </xf>
    <xf numFmtId="0" fontId="28" fillId="0" borderId="118" xfId="0" applyFont="1" applyBorder="1" applyAlignment="1">
      <alignment horizontal="justify" vertical="center"/>
    </xf>
    <xf numFmtId="0" fontId="92" fillId="0" borderId="119" xfId="0" applyFont="1" applyBorder="1" applyAlignment="1">
      <alignment horizontal="justify" vertical="center"/>
    </xf>
    <xf numFmtId="0" fontId="92" fillId="0" borderId="120" xfId="0" applyFont="1" applyBorder="1" applyAlignment="1">
      <alignment horizontal="justify" vertical="center"/>
    </xf>
    <xf numFmtId="0" fontId="92" fillId="0" borderId="118" xfId="0" applyFont="1" applyBorder="1" applyAlignment="1">
      <alignment horizontal="justify" vertical="center" wrapText="1"/>
    </xf>
    <xf numFmtId="0" fontId="92" fillId="0" borderId="119" xfId="0" applyFont="1" applyBorder="1" applyAlignment="1">
      <alignment horizontal="justify" vertical="center" wrapText="1"/>
    </xf>
    <xf numFmtId="0" fontId="92" fillId="0" borderId="120" xfId="0" applyFont="1" applyBorder="1" applyAlignment="1">
      <alignment horizontal="justify" vertical="center" wrapText="1"/>
    </xf>
    <xf numFmtId="0" fontId="40" fillId="26" borderId="127" xfId="0" applyFont="1" applyFill="1" applyBorder="1" applyAlignment="1">
      <alignment horizontal="left" vertical="center" wrapText="1"/>
    </xf>
    <xf numFmtId="0" fontId="40" fillId="26" borderId="128" xfId="0" applyFont="1" applyFill="1" applyBorder="1" applyAlignment="1">
      <alignment horizontal="left" vertical="center" wrapText="1"/>
    </xf>
    <xf numFmtId="0" fontId="40" fillId="26" borderId="129" xfId="0" applyFont="1" applyFill="1" applyBorder="1" applyAlignment="1">
      <alignment horizontal="left" vertical="center" wrapText="1"/>
    </xf>
    <xf numFmtId="0" fontId="40" fillId="26" borderId="125" xfId="0" applyFont="1" applyFill="1" applyBorder="1" applyAlignment="1">
      <alignment horizontal="left" vertical="center" wrapText="1"/>
    </xf>
    <xf numFmtId="0" fontId="40" fillId="26" borderId="0" xfId="0" applyFont="1" applyFill="1" applyAlignment="1">
      <alignment horizontal="left" vertical="center" wrapText="1"/>
    </xf>
    <xf numFmtId="0" fontId="40" fillId="26" borderId="126" xfId="0" applyFont="1" applyFill="1" applyBorder="1" applyAlignment="1">
      <alignment horizontal="left" vertical="center" wrapText="1"/>
    </xf>
    <xf numFmtId="0" fontId="40" fillId="26" borderId="122" xfId="0" applyFont="1" applyFill="1" applyBorder="1" applyAlignment="1">
      <alignment horizontal="left" vertical="center" wrapText="1"/>
    </xf>
    <xf numFmtId="0" fontId="40" fillId="26" borderId="124" xfId="0" applyFont="1" applyFill="1" applyBorder="1" applyAlignment="1">
      <alignment horizontal="left" vertical="center" wrapText="1"/>
    </xf>
    <xf numFmtId="0" fontId="40" fillId="26" borderId="123" xfId="0" applyFont="1" applyFill="1" applyBorder="1" applyAlignment="1">
      <alignment horizontal="left" vertical="center" wrapText="1"/>
    </xf>
    <xf numFmtId="0" fontId="28" fillId="0" borderId="127" xfId="0" applyFont="1" applyBorder="1" applyAlignment="1">
      <alignment horizontal="justify" vertical="center" wrapText="1"/>
    </xf>
    <xf numFmtId="0" fontId="28" fillId="0" borderId="0" xfId="0" applyFont="1" applyAlignment="1">
      <alignment horizontal="justify" vertical="top" wrapText="1"/>
    </xf>
    <xf numFmtId="0" fontId="28" fillId="0" borderId="126" xfId="0" applyFont="1" applyBorder="1" applyAlignment="1">
      <alignment horizontal="justify" vertical="top" wrapText="1"/>
    </xf>
    <xf numFmtId="0" fontId="28" fillId="0" borderId="125" xfId="0" applyFont="1" applyBorder="1" applyAlignment="1">
      <alignment horizontal="justify" vertical="center" wrapText="1"/>
    </xf>
    <xf numFmtId="0" fontId="28" fillId="0" borderId="124" xfId="0" applyFont="1" applyBorder="1" applyAlignment="1">
      <alignment horizontal="justify" vertical="center" wrapText="1"/>
    </xf>
    <xf numFmtId="0" fontId="28" fillId="0" borderId="123" xfId="0" applyFont="1" applyBorder="1" applyAlignment="1">
      <alignment horizontal="justify" vertical="center" wrapText="1"/>
    </xf>
    <xf numFmtId="0" fontId="40" fillId="26" borderId="127" xfId="0" applyFont="1" applyFill="1" applyBorder="1" applyAlignment="1">
      <alignment vertical="center" wrapText="1"/>
    </xf>
    <xf numFmtId="0" fontId="40" fillId="26" borderId="128" xfId="0" applyFont="1" applyFill="1" applyBorder="1" applyAlignment="1">
      <alignment vertical="center" wrapText="1"/>
    </xf>
    <xf numFmtId="0" fontId="40" fillId="26" borderId="129" xfId="0" applyFont="1" applyFill="1" applyBorder="1" applyAlignment="1">
      <alignment vertical="center" wrapText="1"/>
    </xf>
    <xf numFmtId="0" fontId="28" fillId="0" borderId="122" xfId="0" applyFont="1" applyBorder="1" applyAlignment="1">
      <alignment horizontal="justify" vertical="center" wrapText="1"/>
    </xf>
    <xf numFmtId="0" fontId="40" fillId="26" borderId="122" xfId="0" applyFont="1" applyFill="1" applyBorder="1" applyAlignment="1">
      <alignment vertical="center" wrapText="1"/>
    </xf>
    <xf numFmtId="0" fontId="40" fillId="26" borderId="124" xfId="0" applyFont="1" applyFill="1" applyBorder="1" applyAlignment="1">
      <alignment vertical="center" wrapText="1"/>
    </xf>
    <xf numFmtId="0" fontId="40" fillId="26" borderId="123" xfId="0" applyFont="1" applyFill="1" applyBorder="1" applyAlignment="1">
      <alignment vertical="center" wrapText="1"/>
    </xf>
    <xf numFmtId="16" fontId="28" fillId="0" borderId="118" xfId="0" quotePrefix="1" applyNumberFormat="1" applyFont="1" applyBorder="1" applyAlignment="1">
      <alignment vertical="center" wrapText="1"/>
    </xf>
    <xf numFmtId="16" fontId="28" fillId="0" borderId="119" xfId="0" applyNumberFormat="1" applyFont="1" applyBorder="1" applyAlignment="1">
      <alignment vertical="center" wrapText="1"/>
    </xf>
    <xf numFmtId="16" fontId="28" fillId="0" borderId="120" xfId="0" applyNumberFormat="1" applyFont="1" applyBorder="1" applyAlignment="1">
      <alignment vertical="center" wrapText="1"/>
    </xf>
    <xf numFmtId="0" fontId="105" fillId="0" borderId="118" xfId="0" applyFont="1" applyBorder="1" applyAlignment="1">
      <alignment horizontal="justify" vertical="center" wrapText="1"/>
    </xf>
    <xf numFmtId="0" fontId="105" fillId="0" borderId="119" xfId="0" applyFont="1" applyBorder="1" applyAlignment="1">
      <alignment horizontal="justify" vertical="center" wrapText="1"/>
    </xf>
    <xf numFmtId="0" fontId="105" fillId="0" borderId="120" xfId="0" applyFont="1" applyBorder="1" applyAlignment="1">
      <alignment horizontal="justify" vertical="center" wrapText="1"/>
    </xf>
    <xf numFmtId="0" fontId="40" fillId="26" borderId="127" xfId="0" applyFont="1" applyFill="1" applyBorder="1" applyAlignment="1">
      <alignment horizontal="center" vertical="center" wrapText="1"/>
    </xf>
    <xf numFmtId="0" fontId="40" fillId="26" borderId="128" xfId="0" applyFont="1" applyFill="1" applyBorder="1" applyAlignment="1">
      <alignment horizontal="center" vertical="center" wrapText="1"/>
    </xf>
    <xf numFmtId="0" fontId="40" fillId="26" borderId="129" xfId="0" applyFont="1" applyFill="1" applyBorder="1" applyAlignment="1">
      <alignment horizontal="center" vertical="center" wrapText="1"/>
    </xf>
    <xf numFmtId="0" fontId="40" fillId="26" borderId="125" xfId="0" applyFont="1" applyFill="1" applyBorder="1" applyAlignment="1">
      <alignment horizontal="center" vertical="center" wrapText="1"/>
    </xf>
    <xf numFmtId="0" fontId="40" fillId="26" borderId="0" xfId="0" applyFont="1" applyFill="1" applyAlignment="1">
      <alignment horizontal="center" vertical="center" wrapText="1"/>
    </xf>
    <xf numFmtId="0" fontId="40" fillId="26" borderId="126" xfId="0" applyFont="1" applyFill="1" applyBorder="1" applyAlignment="1">
      <alignment horizontal="center" vertical="center" wrapText="1"/>
    </xf>
    <xf numFmtId="0" fontId="40" fillId="26" borderId="122" xfId="0" applyFont="1" applyFill="1" applyBorder="1" applyAlignment="1">
      <alignment horizontal="center" vertical="center" wrapText="1"/>
    </xf>
    <xf numFmtId="0" fontId="40" fillId="26" borderId="124" xfId="0" applyFont="1" applyFill="1" applyBorder="1" applyAlignment="1">
      <alignment horizontal="center" vertical="center" wrapText="1"/>
    </xf>
    <xf numFmtId="0" fontId="40" fillId="26" borderId="123" xfId="0" applyFont="1" applyFill="1" applyBorder="1" applyAlignment="1">
      <alignment horizontal="center" vertical="center" wrapText="1"/>
    </xf>
    <xf numFmtId="16" fontId="28" fillId="0" borderId="119" xfId="0" quotePrefix="1" applyNumberFormat="1" applyFont="1" applyBorder="1" applyAlignment="1">
      <alignment vertical="center" wrapText="1"/>
    </xf>
    <xf numFmtId="16" fontId="28" fillId="0" borderId="120" xfId="0" quotePrefix="1" applyNumberFormat="1" applyFont="1" applyBorder="1" applyAlignment="1">
      <alignment vertical="center" wrapText="1"/>
    </xf>
    <xf numFmtId="0" fontId="18" fillId="0" borderId="2" xfId="0" applyFont="1" applyBorder="1" applyAlignment="1">
      <alignment horizontal="center" vertical="center"/>
    </xf>
    <xf numFmtId="15" fontId="18" fillId="0" borderId="2" xfId="0" applyNumberFormat="1" applyFont="1" applyBorder="1" applyAlignment="1">
      <alignment horizontal="center" vertical="center"/>
    </xf>
    <xf numFmtId="0" fontId="101" fillId="0" borderId="0" xfId="0" applyFont="1" applyAlignment="1">
      <alignment horizontal="center" vertical="center"/>
    </xf>
    <xf numFmtId="0" fontId="28" fillId="0" borderId="0" xfId="0" applyFont="1" applyAlignment="1">
      <alignment horizontal="left" vertical="top" wrapText="1"/>
    </xf>
    <xf numFmtId="0" fontId="28" fillId="0" borderId="126" xfId="0" applyFont="1" applyBorder="1" applyAlignment="1">
      <alignment horizontal="left" vertical="top" wrapText="1"/>
    </xf>
    <xf numFmtId="0" fontId="28" fillId="0" borderId="0" xfId="0" applyFont="1" applyAlignment="1">
      <alignment horizontal="left" vertical="top"/>
    </xf>
    <xf numFmtId="0" fontId="28" fillId="0" borderId="126" xfId="0" applyFont="1" applyBorder="1" applyAlignment="1">
      <alignment horizontal="left" vertical="top"/>
    </xf>
    <xf numFmtId="0" fontId="28" fillId="0" borderId="127" xfId="0" applyFont="1" applyBorder="1" applyAlignment="1">
      <alignment horizontal="left" vertical="center" wrapText="1"/>
    </xf>
    <xf numFmtId="0" fontId="28" fillId="0" borderId="128" xfId="0" applyFont="1" applyBorder="1" applyAlignment="1">
      <alignment horizontal="left" vertical="center" wrapText="1"/>
    </xf>
    <xf numFmtId="0" fontId="28" fillId="0" borderId="129" xfId="0" applyFont="1" applyBorder="1" applyAlignment="1">
      <alignment horizontal="left" vertical="center" wrapText="1"/>
    </xf>
    <xf numFmtId="0" fontId="40" fillId="26" borderId="118" xfId="0" applyFont="1" applyFill="1" applyBorder="1" applyAlignment="1">
      <alignment horizontal="center" vertical="center" wrapText="1"/>
    </xf>
    <xf numFmtId="0" fontId="40" fillId="26" borderId="119" xfId="0" applyFont="1" applyFill="1" applyBorder="1" applyAlignment="1">
      <alignment horizontal="center" vertical="center" wrapText="1"/>
    </xf>
    <xf numFmtId="0" fontId="40" fillId="26" borderId="120" xfId="0" applyFont="1" applyFill="1" applyBorder="1" applyAlignment="1">
      <alignment horizontal="center" vertical="center" wrapText="1"/>
    </xf>
    <xf numFmtId="0" fontId="28" fillId="0" borderId="118" xfId="0" applyFont="1" applyBorder="1" applyAlignment="1">
      <alignment horizontal="center" vertical="center" wrapText="1"/>
    </xf>
    <xf numFmtId="0" fontId="28" fillId="0" borderId="119" xfId="0" applyFont="1" applyBorder="1" applyAlignment="1">
      <alignment horizontal="center" vertical="center" wrapText="1"/>
    </xf>
    <xf numFmtId="0" fontId="28" fillId="0" borderId="120" xfId="0" applyFont="1" applyBorder="1" applyAlignment="1">
      <alignment horizontal="center" vertical="center" wrapText="1"/>
    </xf>
    <xf numFmtId="0" fontId="32" fillId="0" borderId="0" xfId="0" applyFont="1" applyAlignment="1">
      <alignment horizontal="left"/>
    </xf>
    <xf numFmtId="0" fontId="35" fillId="0" borderId="0" xfId="1" applyFont="1" applyAlignment="1">
      <alignment horizontal="center"/>
    </xf>
    <xf numFmtId="0" fontId="57" fillId="0" borderId="0" xfId="0" applyFont="1" applyAlignment="1">
      <alignment horizontal="center"/>
    </xf>
    <xf numFmtId="0" fontId="30" fillId="0" borderId="0" xfId="17" applyFont="1" applyAlignment="1">
      <alignment horizontal="left" vertical="center"/>
    </xf>
    <xf numFmtId="0" fontId="28" fillId="0" borderId="10" xfId="17" applyFont="1" applyBorder="1" applyAlignment="1">
      <alignment horizontal="center" vertical="center"/>
    </xf>
    <xf numFmtId="0" fontId="28" fillId="0" borderId="28" xfId="17" applyFont="1" applyBorder="1" applyAlignment="1">
      <alignment horizontal="center" vertical="center"/>
    </xf>
    <xf numFmtId="0" fontId="32" fillId="0" borderId="52" xfId="17" applyFont="1" applyBorder="1" applyAlignment="1">
      <alignment horizontal="center" vertical="center"/>
    </xf>
    <xf numFmtId="0" fontId="32" fillId="0" borderId="53" xfId="17" applyFont="1" applyBorder="1" applyAlignment="1">
      <alignment horizontal="center" vertical="center"/>
    </xf>
    <xf numFmtId="0" fontId="32" fillId="0" borderId="30" xfId="17" applyFont="1" applyBorder="1" applyAlignment="1">
      <alignment horizontal="center" vertical="center"/>
    </xf>
    <xf numFmtId="0" fontId="32" fillId="0" borderId="54" xfId="17" applyFont="1" applyBorder="1" applyAlignment="1">
      <alignment horizontal="center" vertical="center"/>
    </xf>
    <xf numFmtId="0" fontId="30" fillId="0" borderId="53" xfId="17" applyFont="1" applyBorder="1"/>
    <xf numFmtId="0" fontId="30" fillId="0" borderId="54" xfId="17" applyFont="1" applyBorder="1"/>
    <xf numFmtId="0" fontId="32" fillId="0" borderId="53" xfId="17" applyFont="1" applyBorder="1"/>
    <xf numFmtId="0" fontId="32" fillId="0" borderId="0" xfId="17" applyFont="1" applyAlignment="1">
      <alignment horizontal="left" vertical="center"/>
    </xf>
    <xf numFmtId="0" fontId="28" fillId="0" borderId="30" xfId="17" applyFont="1" applyBorder="1" applyAlignment="1">
      <alignment horizontal="center" vertical="center"/>
    </xf>
    <xf numFmtId="0" fontId="28" fillId="0" borderId="25" xfId="17" applyFont="1" applyBorder="1" applyAlignment="1">
      <alignment horizontal="center" vertical="center"/>
    </xf>
    <xf numFmtId="0" fontId="44" fillId="0" borderId="132" xfId="17" applyFont="1" applyBorder="1" applyAlignment="1">
      <alignment horizontal="center" vertical="center" wrapText="1"/>
    </xf>
    <xf numFmtId="0" fontId="44" fillId="0" borderId="133" xfId="17" applyFont="1" applyBorder="1" applyAlignment="1">
      <alignment horizontal="center" vertical="center" wrapText="1"/>
    </xf>
    <xf numFmtId="0" fontId="44" fillId="0" borderId="93" xfId="17" applyFont="1" applyBorder="1" applyAlignment="1">
      <alignment horizontal="center" vertical="center" wrapText="1"/>
    </xf>
    <xf numFmtId="0" fontId="44" fillId="0" borderId="25" xfId="17" applyFont="1" applyBorder="1" applyAlignment="1">
      <alignment horizontal="center" vertical="center" wrapText="1"/>
    </xf>
    <xf numFmtId="0" fontId="44" fillId="0" borderId="27" xfId="17" applyFont="1" applyBorder="1" applyAlignment="1">
      <alignment horizontal="center" vertical="center" wrapText="1"/>
    </xf>
    <xf numFmtId="0" fontId="44" fillId="0" borderId="28" xfId="17" applyFont="1" applyBorder="1" applyAlignment="1">
      <alignment horizontal="center" vertical="center" wrapText="1"/>
    </xf>
    <xf numFmtId="0" fontId="32" fillId="0" borderId="24" xfId="17" applyFont="1" applyBorder="1" applyAlignment="1">
      <alignment horizontal="center" vertical="center"/>
    </xf>
    <xf numFmtId="0" fontId="32" fillId="0" borderId="26" xfId="17" applyFont="1" applyBorder="1" applyAlignment="1">
      <alignment horizontal="center" vertical="center"/>
    </xf>
    <xf numFmtId="0" fontId="32" fillId="0" borderId="0" xfId="17" applyFont="1" applyAlignment="1">
      <alignment horizontal="center" vertical="center"/>
    </xf>
    <xf numFmtId="0" fontId="32" fillId="0" borderId="9" xfId="17" applyFont="1" applyBorder="1" applyAlignment="1">
      <alignment horizontal="center" vertical="center"/>
    </xf>
    <xf numFmtId="0" fontId="32" fillId="0" borderId="10" xfId="17" applyFont="1" applyBorder="1" applyAlignment="1">
      <alignment horizontal="center" vertical="center"/>
    </xf>
    <xf numFmtId="0" fontId="34" fillId="0" borderId="52" xfId="17" applyFont="1" applyBorder="1" applyAlignment="1">
      <alignment horizontal="center" vertical="center"/>
    </xf>
    <xf numFmtId="0" fontId="34" fillId="0" borderId="53" xfId="17" applyFont="1" applyBorder="1" applyAlignment="1">
      <alignment horizontal="center" vertical="center"/>
    </xf>
    <xf numFmtId="0" fontId="34" fillId="0" borderId="54" xfId="17" applyFont="1" applyBorder="1" applyAlignment="1">
      <alignment horizontal="center" vertical="center"/>
    </xf>
    <xf numFmtId="0" fontId="20" fillId="0" borderId="5" xfId="1" applyFont="1" applyBorder="1" applyAlignment="1">
      <alignment horizontal="center" vertical="center"/>
    </xf>
    <xf numFmtId="0" fontId="20" fillId="0" borderId="29" xfId="1" applyFont="1" applyBorder="1" applyAlignment="1">
      <alignment horizontal="center" vertical="center"/>
    </xf>
    <xf numFmtId="0" fontId="20" fillId="0" borderId="19" xfId="1" applyFont="1" applyBorder="1" applyAlignment="1">
      <alignment horizontal="center" vertical="center"/>
    </xf>
    <xf numFmtId="0" fontId="19" fillId="0" borderId="0" xfId="1" applyFont="1" applyAlignment="1">
      <alignment horizontal="center" vertical="center"/>
    </xf>
    <xf numFmtId="0" fontId="32" fillId="0" borderId="0" xfId="1" applyFont="1" applyAlignment="1">
      <alignment horizontal="center" vertical="center"/>
    </xf>
    <xf numFmtId="0" fontId="32" fillId="0" borderId="15" xfId="1" applyFont="1" applyBorder="1" applyAlignment="1">
      <alignment horizontal="center" vertical="center"/>
    </xf>
    <xf numFmtId="15" fontId="20" fillId="0" borderId="5" xfId="0" applyNumberFormat="1" applyFont="1" applyBorder="1" applyAlignment="1">
      <alignment horizontal="center" vertical="center"/>
    </xf>
    <xf numFmtId="15" fontId="20" fillId="0" borderId="29" xfId="0" applyNumberFormat="1" applyFont="1" applyBorder="1" applyAlignment="1">
      <alignment horizontal="center" vertical="center"/>
    </xf>
    <xf numFmtId="15" fontId="20" fillId="0" borderId="19" xfId="0" applyNumberFormat="1" applyFont="1" applyBorder="1" applyAlignment="1">
      <alignment horizontal="center" vertical="center"/>
    </xf>
    <xf numFmtId="15" fontId="18" fillId="0" borderId="0" xfId="0" applyNumberFormat="1" applyFont="1" applyAlignment="1">
      <alignment horizontal="center" vertical="center"/>
    </xf>
    <xf numFmtId="0" fontId="34" fillId="0" borderId="37" xfId="17" applyFont="1" applyBorder="1" applyAlignment="1">
      <alignment horizontal="center" vertical="center"/>
    </xf>
    <xf numFmtId="0" fontId="34" fillId="0" borderId="66" xfId="17" applyFont="1" applyBorder="1" applyAlignment="1">
      <alignment horizontal="center" vertical="center"/>
    </xf>
    <xf numFmtId="0" fontId="34" fillId="0" borderId="38" xfId="17" applyFont="1" applyBorder="1" applyAlignment="1">
      <alignment horizontal="center" vertical="center"/>
    </xf>
    <xf numFmtId="0" fontId="29" fillId="0" borderId="37" xfId="17" applyFont="1" applyBorder="1" applyAlignment="1">
      <alignment horizontal="center" vertical="center"/>
    </xf>
    <xf numFmtId="0" fontId="29" fillId="0" borderId="66" xfId="17" applyFont="1" applyBorder="1" applyAlignment="1">
      <alignment horizontal="center" vertical="center"/>
    </xf>
    <xf numFmtId="0" fontId="29" fillId="0" borderId="38" xfId="17" applyFont="1" applyBorder="1" applyAlignment="1">
      <alignment horizontal="center" vertical="center"/>
    </xf>
    <xf numFmtId="0" fontId="28" fillId="0" borderId="30" xfId="1" applyFont="1" applyBorder="1" applyAlignment="1">
      <alignment horizontal="center" vertical="center"/>
    </xf>
    <xf numFmtId="0" fontId="28" fillId="0" borderId="25" xfId="1" applyFont="1" applyBorder="1" applyAlignment="1">
      <alignment horizontal="center" vertical="center"/>
    </xf>
    <xf numFmtId="0" fontId="34" fillId="0" borderId="0" xfId="1" applyFont="1" applyAlignment="1">
      <alignment horizontal="center" vertical="center"/>
    </xf>
    <xf numFmtId="0" fontId="28" fillId="0" borderId="10" xfId="1" applyFont="1" applyBorder="1" applyAlignment="1">
      <alignment horizontal="center" vertical="center"/>
    </xf>
    <xf numFmtId="0" fontId="44" fillId="0" borderId="25" xfId="1" applyFont="1" applyBorder="1" applyAlignment="1">
      <alignment horizontal="center" vertical="center" wrapText="1"/>
    </xf>
    <xf numFmtId="0" fontId="44" fillId="0" borderId="27" xfId="1" applyFont="1" applyBorder="1" applyAlignment="1">
      <alignment horizontal="center" vertical="center" wrapText="1"/>
    </xf>
    <xf numFmtId="0" fontId="34" fillId="0" borderId="52" xfId="1" applyFont="1" applyBorder="1" applyAlignment="1">
      <alignment horizontal="center" vertical="center"/>
    </xf>
    <xf numFmtId="0" fontId="34" fillId="0" borderId="53" xfId="1" applyFont="1" applyBorder="1" applyAlignment="1">
      <alignment horizontal="center" vertical="center"/>
    </xf>
    <xf numFmtId="0" fontId="34" fillId="0" borderId="54" xfId="1" applyFont="1" applyBorder="1" applyAlignment="1">
      <alignment horizontal="center" vertical="center"/>
    </xf>
    <xf numFmtId="0" fontId="34" fillId="0" borderId="9" xfId="1" applyFont="1" applyBorder="1" applyAlignment="1">
      <alignment horizontal="center" vertical="center"/>
    </xf>
    <xf numFmtId="0" fontId="34" fillId="0" borderId="10" xfId="1" applyFont="1" applyBorder="1" applyAlignment="1">
      <alignment horizontal="center" vertical="center"/>
    </xf>
    <xf numFmtId="0" fontId="34" fillId="0" borderId="67" xfId="1" applyFont="1" applyBorder="1" applyAlignment="1">
      <alignment horizontal="center" vertical="center"/>
    </xf>
    <xf numFmtId="0" fontId="32" fillId="0" borderId="24" xfId="1" applyFont="1" applyBorder="1" applyAlignment="1">
      <alignment horizontal="center" vertical="center"/>
    </xf>
    <xf numFmtId="0" fontId="32" fillId="0" borderId="30" xfId="1" applyFont="1" applyBorder="1" applyAlignment="1">
      <alignment horizontal="center" vertical="center"/>
    </xf>
    <xf numFmtId="0" fontId="32" fillId="0" borderId="25" xfId="1" applyFont="1" applyBorder="1" applyAlignment="1">
      <alignment horizontal="center" vertical="center"/>
    </xf>
    <xf numFmtId="0" fontId="32" fillId="0" borderId="26" xfId="1" applyFont="1" applyBorder="1" applyAlignment="1">
      <alignment horizontal="center" vertical="center"/>
    </xf>
    <xf numFmtId="0" fontId="32" fillId="0" borderId="27" xfId="1" applyFont="1" applyBorder="1" applyAlignment="1">
      <alignment horizontal="center" vertical="center"/>
    </xf>
    <xf numFmtId="0" fontId="46" fillId="0" borderId="5" xfId="1" applyFont="1" applyBorder="1" applyAlignment="1">
      <alignment horizontal="center" vertical="center"/>
    </xf>
    <xf numFmtId="0" fontId="46" fillId="0" borderId="19" xfId="1" applyFont="1" applyBorder="1" applyAlignment="1">
      <alignment horizontal="center" vertical="center"/>
    </xf>
    <xf numFmtId="0" fontId="46" fillId="0" borderId="0" xfId="1" applyFont="1" applyAlignment="1">
      <alignment horizontal="center" vertical="center"/>
    </xf>
    <xf numFmtId="15" fontId="31" fillId="0" borderId="0" xfId="0" applyNumberFormat="1" applyFont="1" applyAlignment="1">
      <alignment horizontal="center" vertical="center"/>
    </xf>
    <xf numFmtId="0" fontId="34" fillId="0" borderId="37" xfId="1" applyFont="1" applyBorder="1" applyAlignment="1">
      <alignment horizontal="center" vertical="center"/>
    </xf>
    <xf numFmtId="0" fontId="34" fillId="0" borderId="66" xfId="1" applyFont="1" applyBorder="1" applyAlignment="1">
      <alignment horizontal="center" vertical="center"/>
    </xf>
    <xf numFmtId="0" fontId="34" fillId="0" borderId="38" xfId="1" applyFont="1" applyBorder="1" applyAlignment="1">
      <alignment horizontal="center" vertical="center"/>
    </xf>
    <xf numFmtId="0" fontId="29" fillId="0" borderId="37" xfId="1" applyFont="1" applyBorder="1" applyAlignment="1">
      <alignment horizontal="center" vertical="center"/>
    </xf>
    <xf numFmtId="0" fontId="29" fillId="0" borderId="66" xfId="1" applyFont="1" applyBorder="1" applyAlignment="1">
      <alignment horizontal="center" vertical="center"/>
    </xf>
    <xf numFmtId="0" fontId="29" fillId="0" borderId="38" xfId="1" applyFont="1" applyBorder="1" applyAlignment="1">
      <alignment horizontal="center" vertical="center"/>
    </xf>
    <xf numFmtId="0" fontId="29" fillId="0" borderId="52" xfId="1" applyFont="1" applyBorder="1" applyAlignment="1">
      <alignment horizontal="center" vertical="center"/>
    </xf>
    <xf numFmtId="0" fontId="29" fillId="0" borderId="53" xfId="1" applyFont="1" applyBorder="1" applyAlignment="1">
      <alignment horizontal="center" vertical="center"/>
    </xf>
    <xf numFmtId="0" fontId="29" fillId="0" borderId="54" xfId="1" applyFont="1" applyBorder="1" applyAlignment="1">
      <alignment horizontal="center" vertical="center"/>
    </xf>
    <xf numFmtId="0" fontId="44" fillId="0" borderId="28" xfId="1" applyFont="1" applyBorder="1" applyAlignment="1">
      <alignment horizontal="center" vertical="center" wrapText="1"/>
    </xf>
    <xf numFmtId="0" fontId="70" fillId="0" borderId="21" xfId="0" applyFont="1" applyBorder="1" applyAlignment="1">
      <alignment horizontal="center" vertical="center" wrapText="1"/>
    </xf>
    <xf numFmtId="0" fontId="70" fillId="0" borderId="23" xfId="0" applyFont="1" applyBorder="1" applyAlignment="1">
      <alignment horizontal="center" vertical="center" wrapText="1"/>
    </xf>
    <xf numFmtId="0" fontId="70" fillId="0" borderId="20" xfId="0" applyFont="1" applyBorder="1" applyAlignment="1">
      <alignment horizontal="center" vertical="center" wrapText="1"/>
    </xf>
    <xf numFmtId="0" fontId="70" fillId="0" borderId="21" xfId="0" applyFont="1" applyBorder="1" applyAlignment="1">
      <alignment horizontal="center" vertical="center"/>
    </xf>
    <xf numFmtId="0" fontId="70" fillId="0" borderId="23" xfId="0" applyFont="1" applyBorder="1" applyAlignment="1">
      <alignment horizontal="center" vertical="center"/>
    </xf>
    <xf numFmtId="0" fontId="70" fillId="0" borderId="20" xfId="0" applyFont="1" applyBorder="1" applyAlignment="1">
      <alignment horizontal="center" vertical="center"/>
    </xf>
    <xf numFmtId="0" fontId="46" fillId="0" borderId="5" xfId="0" applyFont="1" applyBorder="1" applyAlignment="1">
      <alignment horizontal="center" vertical="center"/>
    </xf>
    <xf numFmtId="0" fontId="46" fillId="0" borderId="19" xfId="0" applyFont="1" applyBorder="1" applyAlignment="1">
      <alignment horizontal="center" vertical="center"/>
    </xf>
    <xf numFmtId="15" fontId="31" fillId="0" borderId="5" xfId="0" applyNumberFormat="1" applyFont="1" applyBorder="1" applyAlignment="1">
      <alignment horizontal="center" vertical="center"/>
    </xf>
    <xf numFmtId="15" fontId="31" fillId="0" borderId="19" xfId="0" applyNumberFormat="1" applyFont="1" applyBorder="1" applyAlignment="1">
      <alignment horizontal="center" vertical="center"/>
    </xf>
    <xf numFmtId="0" fontId="70" fillId="0" borderId="2" xfId="0" applyFont="1" applyBorder="1" applyAlignment="1">
      <alignment horizontal="center" vertical="center"/>
    </xf>
    <xf numFmtId="0" fontId="70" fillId="0" borderId="8" xfId="0" applyFont="1" applyBorder="1" applyAlignment="1">
      <alignment horizontal="center" vertical="center"/>
    </xf>
    <xf numFmtId="0" fontId="70" fillId="0" borderId="5" xfId="0" applyFont="1" applyBorder="1" applyAlignment="1">
      <alignment horizontal="center" vertical="center"/>
    </xf>
    <xf numFmtId="0" fontId="70" fillId="0" borderId="29" xfId="0" applyFont="1" applyBorder="1" applyAlignment="1">
      <alignment horizontal="center" vertical="center"/>
    </xf>
    <xf numFmtId="0" fontId="70" fillId="0" borderId="19" xfId="0" applyFont="1" applyBorder="1" applyAlignment="1">
      <alignment horizontal="center" vertical="center"/>
    </xf>
    <xf numFmtId="0" fontId="70" fillId="0" borderId="14" xfId="0" applyFont="1" applyBorder="1" applyAlignment="1">
      <alignment horizontal="center" vertical="center" wrapText="1"/>
    </xf>
    <xf numFmtId="0" fontId="70" fillId="0" borderId="13" xfId="0" applyFont="1" applyBorder="1" applyAlignment="1">
      <alignment horizontal="center" vertical="center" wrapText="1"/>
    </xf>
    <xf numFmtId="0" fontId="70" fillId="0" borderId="36" xfId="0" applyFont="1" applyBorder="1" applyAlignment="1">
      <alignment horizontal="center" vertical="center" wrapText="1"/>
    </xf>
    <xf numFmtId="0" fontId="65" fillId="0" borderId="0" xfId="0" applyFont="1" applyAlignment="1">
      <alignment horizontal="center" vertical="center"/>
    </xf>
    <xf numFmtId="0" fontId="34" fillId="0" borderId="21" xfId="0" applyFont="1" applyBorder="1" applyAlignment="1">
      <alignment horizontal="center" vertical="center"/>
    </xf>
    <xf numFmtId="0" fontId="34" fillId="0" borderId="23" xfId="0" applyFont="1" applyBorder="1" applyAlignment="1">
      <alignment horizontal="center" vertical="center"/>
    </xf>
    <xf numFmtId="0" fontId="34" fillId="0" borderId="20" xfId="0" applyFont="1" applyBorder="1" applyAlignment="1">
      <alignment horizontal="center" vertical="center"/>
    </xf>
    <xf numFmtId="0" fontId="52" fillId="0" borderId="0" xfId="0" applyFont="1" applyAlignment="1">
      <alignment horizontal="left" wrapText="1"/>
    </xf>
    <xf numFmtId="0" fontId="31" fillId="0" borderId="29" xfId="0" applyFont="1" applyBorder="1" applyAlignment="1">
      <alignment horizontal="center" vertical="center"/>
    </xf>
    <xf numFmtId="15" fontId="31" fillId="0" borderId="29" xfId="0" applyNumberFormat="1" applyFont="1" applyBorder="1" applyAlignment="1">
      <alignment horizontal="center" vertical="center"/>
    </xf>
    <xf numFmtId="0" fontId="34" fillId="0" borderId="5" xfId="0" applyFont="1" applyBorder="1" applyAlignment="1">
      <alignment horizontal="center" vertical="center"/>
    </xf>
    <xf numFmtId="0" fontId="34" fillId="0" borderId="29" xfId="0" applyFont="1" applyBorder="1" applyAlignment="1">
      <alignment horizontal="center" vertical="center"/>
    </xf>
    <xf numFmtId="0" fontId="34" fillId="0" borderId="19" xfId="0" applyFont="1" applyBorder="1" applyAlignment="1">
      <alignment horizontal="center" vertical="center"/>
    </xf>
    <xf numFmtId="0" fontId="49" fillId="0" borderId="21" xfId="0" applyFont="1" applyBorder="1" applyAlignment="1">
      <alignment horizontal="center" vertical="center" wrapText="1"/>
    </xf>
    <xf numFmtId="0" fontId="49" fillId="0" borderId="23" xfId="0" applyFont="1" applyBorder="1" applyAlignment="1">
      <alignment horizontal="center" vertical="center" wrapText="1"/>
    </xf>
    <xf numFmtId="0" fontId="49" fillId="0" borderId="20" xfId="0" applyFont="1" applyBorder="1" applyAlignment="1">
      <alignment horizontal="center" vertical="center" wrapText="1"/>
    </xf>
    <xf numFmtId="0" fontId="54" fillId="0" borderId="21" xfId="0" applyFont="1" applyBorder="1" applyAlignment="1">
      <alignment horizontal="center" vertical="center" wrapText="1"/>
    </xf>
    <xf numFmtId="0" fontId="54" fillId="0" borderId="23" xfId="0" applyFont="1" applyBorder="1" applyAlignment="1">
      <alignment horizontal="center" vertical="center" wrapText="1"/>
    </xf>
    <xf numFmtId="0" fontId="54" fillId="0" borderId="20" xfId="0" applyFont="1" applyBorder="1" applyAlignment="1">
      <alignment horizontal="center" vertical="center" wrapText="1"/>
    </xf>
    <xf numFmtId="0" fontId="79" fillId="0" borderId="0" xfId="0" applyFont="1" applyAlignment="1">
      <alignment horizontal="center"/>
    </xf>
    <xf numFmtId="0" fontId="32" fillId="0" borderId="40" xfId="0" applyFont="1" applyBorder="1" applyAlignment="1">
      <alignment horizontal="center"/>
    </xf>
    <xf numFmtId="0" fontId="32" fillId="0" borderId="46" xfId="0" applyFont="1" applyBorder="1" applyAlignment="1">
      <alignment horizontal="center" vertical="center"/>
    </xf>
    <xf numFmtId="0" fontId="32" fillId="0" borderId="49" xfId="0" applyFont="1" applyBorder="1" applyAlignment="1">
      <alignment horizontal="center" vertical="center"/>
    </xf>
    <xf numFmtId="0" fontId="32" fillId="0" borderId="44" xfId="0" applyFont="1" applyBorder="1" applyAlignment="1">
      <alignment horizontal="center" vertical="center"/>
    </xf>
    <xf numFmtId="0" fontId="32" fillId="0" borderId="47" xfId="0" applyFont="1" applyBorder="1" applyAlignment="1">
      <alignment horizontal="center" vertical="center" wrapText="1"/>
    </xf>
    <xf numFmtId="0" fontId="32" fillId="0" borderId="48" xfId="0" applyFont="1" applyBorder="1" applyAlignment="1">
      <alignment horizontal="center" vertical="center" wrapText="1"/>
    </xf>
    <xf numFmtId="0" fontId="32" fillId="0" borderId="13" xfId="0" applyFont="1" applyBorder="1" applyAlignment="1">
      <alignment horizontal="center" vertical="center" wrapText="1"/>
    </xf>
    <xf numFmtId="0" fontId="32" fillId="0" borderId="15" xfId="0" applyFont="1" applyBorder="1" applyAlignment="1">
      <alignment horizontal="center" vertical="center" wrapText="1"/>
    </xf>
    <xf numFmtId="0" fontId="32" fillId="0" borderId="16" xfId="0" applyFont="1" applyBorder="1" applyAlignment="1">
      <alignment horizontal="center" vertical="center" wrapText="1"/>
    </xf>
    <xf numFmtId="0" fontId="32" fillId="0" borderId="17" xfId="0" applyFont="1" applyBorder="1" applyAlignment="1">
      <alignment horizontal="center" vertical="center" wrapText="1"/>
    </xf>
    <xf numFmtId="0" fontId="32" fillId="0" borderId="39" xfId="0" applyFont="1" applyBorder="1" applyAlignment="1">
      <alignment horizontal="center"/>
    </xf>
    <xf numFmtId="0" fontId="32" fillId="0" borderId="21" xfId="0" applyFont="1" applyBorder="1" applyAlignment="1">
      <alignment horizontal="center" wrapText="1"/>
    </xf>
    <xf numFmtId="0" fontId="32" fillId="0" borderId="1" xfId="0" applyFont="1" applyBorder="1" applyAlignment="1">
      <alignment horizontal="center" wrapText="1"/>
    </xf>
    <xf numFmtId="0" fontId="30" fillId="0" borderId="5" xfId="0" applyFont="1" applyBorder="1" applyAlignment="1">
      <alignment horizontal="left"/>
    </xf>
    <xf numFmtId="0" fontId="30" fillId="0" borderId="19" xfId="0" applyFont="1" applyBorder="1" applyAlignment="1">
      <alignment horizontal="left"/>
    </xf>
    <xf numFmtId="0" fontId="32" fillId="0" borderId="72" xfId="0" applyFont="1" applyBorder="1" applyAlignment="1">
      <alignment horizontal="center"/>
    </xf>
    <xf numFmtId="0" fontId="32" fillId="0" borderId="89" xfId="0" applyFont="1" applyBorder="1" applyAlignment="1">
      <alignment horizontal="center"/>
    </xf>
    <xf numFmtId="0" fontId="32" fillId="0" borderId="58" xfId="0" applyFont="1" applyBorder="1" applyAlignment="1">
      <alignment horizontal="center"/>
    </xf>
    <xf numFmtId="0" fontId="30" fillId="0" borderId="42" xfId="0" applyFont="1" applyBorder="1" applyAlignment="1">
      <alignment horizontal="center" wrapText="1"/>
    </xf>
    <xf numFmtId="0" fontId="30" fillId="0" borderId="22" xfId="0" applyFont="1" applyBorder="1" applyAlignment="1">
      <alignment horizontal="center" wrapText="1"/>
    </xf>
    <xf numFmtId="0" fontId="30" fillId="0" borderId="22" xfId="0" applyFont="1" applyBorder="1" applyAlignment="1">
      <alignment horizontal="center"/>
    </xf>
    <xf numFmtId="0" fontId="30" fillId="0" borderId="5" xfId="0" applyFont="1" applyBorder="1" applyAlignment="1">
      <alignment horizontal="center" vertical="center"/>
    </xf>
    <xf numFmtId="15" fontId="30" fillId="0" borderId="5" xfId="0" applyNumberFormat="1" applyFont="1" applyBorder="1" applyAlignment="1">
      <alignment horizontal="center" vertical="center"/>
    </xf>
    <xf numFmtId="15" fontId="30" fillId="0" borderId="19" xfId="0" applyNumberFormat="1" applyFont="1" applyBorder="1" applyAlignment="1">
      <alignment horizontal="center" vertical="center"/>
    </xf>
    <xf numFmtId="0" fontId="30" fillId="0" borderId="62" xfId="0" applyFont="1" applyBorder="1" applyAlignment="1">
      <alignment horizontal="center"/>
    </xf>
    <xf numFmtId="0" fontId="30" fillId="0" borderId="2" xfId="0" applyFont="1" applyBorder="1" applyAlignment="1">
      <alignment horizontal="left"/>
    </xf>
    <xf numFmtId="0" fontId="32" fillId="0" borderId="25" xfId="0" applyFont="1" applyBorder="1" applyAlignment="1">
      <alignment horizontal="center" vertical="center" wrapText="1"/>
    </xf>
    <xf numFmtId="0" fontId="32" fillId="0" borderId="27" xfId="0" applyFont="1" applyBorder="1" applyAlignment="1">
      <alignment horizontal="center" vertical="center" wrapText="1"/>
    </xf>
    <xf numFmtId="0" fontId="32" fillId="0" borderId="50" xfId="0" applyFont="1" applyBorder="1" applyAlignment="1">
      <alignment horizontal="center" vertical="center" wrapText="1"/>
    </xf>
    <xf numFmtId="0" fontId="30" fillId="0" borderId="40" xfId="0" applyFont="1" applyBorder="1" applyAlignment="1">
      <alignment horizontal="center"/>
    </xf>
    <xf numFmtId="0" fontId="30" fillId="0" borderId="0" xfId="0" applyFont="1" applyAlignment="1">
      <alignment horizontal="left" wrapText="1"/>
    </xf>
    <xf numFmtId="0" fontId="30" fillId="0" borderId="0" xfId="0" applyFont="1" applyAlignment="1">
      <alignment horizontal="center"/>
    </xf>
    <xf numFmtId="0" fontId="32" fillId="0" borderId="0" xfId="0" applyFont="1" applyAlignment="1">
      <alignment horizontal="center" vertical="center" wrapText="1"/>
    </xf>
    <xf numFmtId="0" fontId="32" fillId="0" borderId="0" xfId="0" applyFont="1" applyAlignment="1">
      <alignment horizontal="center" wrapText="1"/>
    </xf>
    <xf numFmtId="0" fontId="30" fillId="0" borderId="2" xfId="0" applyFont="1" applyBorder="1" applyAlignment="1">
      <alignment horizontal="center" vertical="center"/>
    </xf>
    <xf numFmtId="15" fontId="30" fillId="0" borderId="2" xfId="0" applyNumberFormat="1" applyFont="1" applyBorder="1" applyAlignment="1">
      <alignment horizontal="center" vertical="center"/>
    </xf>
    <xf numFmtId="0" fontId="53" fillId="0" borderId="0" xfId="0" applyFont="1" applyAlignment="1">
      <alignment horizontal="center"/>
    </xf>
    <xf numFmtId="0" fontId="32" fillId="0" borderId="89" xfId="0" applyFont="1" applyBorder="1" applyAlignment="1">
      <alignment horizontal="center" vertical="center"/>
    </xf>
    <xf numFmtId="0" fontId="32" fillId="0" borderId="88" xfId="0" applyFont="1" applyBorder="1" applyAlignment="1">
      <alignment horizontal="center" vertical="center"/>
    </xf>
    <xf numFmtId="0" fontId="32" fillId="0" borderId="58" xfId="0" applyFont="1" applyBorder="1" applyAlignment="1">
      <alignment horizontal="center" vertical="center"/>
    </xf>
    <xf numFmtId="0" fontId="32" fillId="0" borderId="2" xfId="0" applyFont="1" applyBorder="1" applyAlignment="1">
      <alignment horizontal="center" wrapText="1"/>
    </xf>
    <xf numFmtId="0" fontId="30" fillId="0" borderId="41" xfId="0" applyFont="1" applyBorder="1" applyAlignment="1">
      <alignment horizontal="center"/>
    </xf>
    <xf numFmtId="0" fontId="28" fillId="0" borderId="34" xfId="0" applyFont="1" applyBorder="1" applyAlignment="1">
      <alignment horizontal="center"/>
    </xf>
    <xf numFmtId="0" fontId="28" fillId="0" borderId="35" xfId="0" applyFont="1" applyBorder="1" applyAlignment="1">
      <alignment horizontal="center"/>
    </xf>
    <xf numFmtId="9" fontId="28" fillId="0" borderId="30" xfId="0" applyNumberFormat="1" applyFont="1" applyBorder="1" applyAlignment="1">
      <alignment horizontal="center" vertical="center"/>
    </xf>
    <xf numFmtId="9" fontId="28" fillId="0" borderId="10" xfId="0" applyNumberFormat="1" applyFont="1" applyBorder="1" applyAlignment="1">
      <alignment horizontal="center" vertical="center"/>
    </xf>
    <xf numFmtId="9" fontId="28" fillId="0" borderId="25" xfId="0" applyNumberFormat="1" applyFont="1" applyBorder="1" applyAlignment="1">
      <alignment horizontal="center" vertical="center"/>
    </xf>
    <xf numFmtId="9" fontId="28" fillId="0" borderId="28" xfId="0" applyNumberFormat="1" applyFont="1" applyBorder="1" applyAlignment="1">
      <alignment horizontal="center" vertical="center"/>
    </xf>
    <xf numFmtId="0" fontId="50" fillId="0" borderId="0" xfId="0" applyFont="1" applyAlignment="1">
      <alignment horizontal="center" wrapText="1"/>
    </xf>
    <xf numFmtId="0" fontId="31" fillId="0" borderId="68" xfId="0" applyFont="1" applyBorder="1" applyAlignment="1">
      <alignment horizontal="center"/>
    </xf>
    <xf numFmtId="0" fontId="31" fillId="0" borderId="31" xfId="0" applyFont="1" applyBorder="1" applyAlignment="1">
      <alignment horizontal="center"/>
    </xf>
    <xf numFmtId="0" fontId="34" fillId="6" borderId="0" xfId="0" applyFont="1" applyFill="1" applyAlignment="1">
      <alignment horizontal="center" vertical="center"/>
    </xf>
    <xf numFmtId="0" fontId="28" fillId="0" borderId="0" xfId="0" applyFont="1" applyAlignment="1">
      <alignment horizontal="left" vertical="center"/>
    </xf>
    <xf numFmtId="0" fontId="28" fillId="0" borderId="0" xfId="0" applyFont="1" applyAlignment="1">
      <alignment horizontal="left"/>
    </xf>
    <xf numFmtId="0" fontId="34" fillId="3" borderId="2" xfId="0" applyFont="1" applyFill="1" applyBorder="1" applyAlignment="1">
      <alignment horizontal="center" vertical="center"/>
    </xf>
    <xf numFmtId="0" fontId="34" fillId="3" borderId="8" xfId="0" applyFont="1" applyFill="1" applyBorder="1" applyAlignment="1">
      <alignment horizontal="center" vertical="center"/>
    </xf>
    <xf numFmtId="0" fontId="44" fillId="3" borderId="8" xfId="0" applyFont="1" applyFill="1" applyBorder="1" applyAlignment="1">
      <alignment horizontal="center" vertical="center"/>
    </xf>
    <xf numFmtId="0" fontId="49" fillId="3" borderId="2" xfId="0" applyFont="1" applyFill="1" applyBorder="1" applyAlignment="1">
      <alignment horizontal="center" vertical="center" wrapText="1"/>
    </xf>
    <xf numFmtId="0" fontId="49" fillId="3" borderId="21" xfId="0" applyFont="1" applyFill="1" applyBorder="1" applyAlignment="1">
      <alignment horizontal="center" vertical="center" wrapText="1"/>
    </xf>
    <xf numFmtId="0" fontId="49" fillId="3" borderId="2" xfId="0" applyFont="1" applyFill="1" applyBorder="1" applyAlignment="1">
      <alignment horizontal="center" vertical="center"/>
    </xf>
    <xf numFmtId="0" fontId="28" fillId="0" borderId="74" xfId="0" applyFont="1" applyBorder="1" applyAlignment="1">
      <alignment horizontal="center" vertical="top"/>
    </xf>
    <xf numFmtId="0" fontId="28" fillId="0" borderId="23" xfId="0" applyFont="1" applyBorder="1" applyAlignment="1">
      <alignment horizontal="center" vertical="top"/>
    </xf>
    <xf numFmtId="0" fontId="28" fillId="0" borderId="21" xfId="0" applyFont="1" applyBorder="1" applyAlignment="1">
      <alignment horizontal="center" vertical="top"/>
    </xf>
    <xf numFmtId="0" fontId="28" fillId="0" borderId="1" xfId="0" applyFont="1" applyBorder="1" applyAlignment="1">
      <alignment horizontal="center" vertical="top"/>
    </xf>
    <xf numFmtId="0" fontId="46" fillId="0" borderId="2" xfId="0" applyFont="1" applyBorder="1" applyAlignment="1">
      <alignment horizontal="center" vertical="center"/>
    </xf>
    <xf numFmtId="15" fontId="51" fillId="0" borderId="2" xfId="0" applyNumberFormat="1" applyFont="1" applyBorder="1" applyAlignment="1">
      <alignment horizontal="center" vertical="center"/>
    </xf>
    <xf numFmtId="0" fontId="69" fillId="0" borderId="0" xfId="0" applyFont="1" applyAlignment="1">
      <alignment horizontal="center" vertical="center"/>
    </xf>
    <xf numFmtId="0" fontId="69" fillId="0" borderId="10" xfId="0" applyFont="1" applyBorder="1" applyAlignment="1">
      <alignment horizontal="center" vertical="center"/>
    </xf>
    <xf numFmtId="0" fontId="63" fillId="0" borderId="46" xfId="0" applyFont="1" applyBorder="1" applyAlignment="1">
      <alignment horizontal="center" vertical="center"/>
    </xf>
    <xf numFmtId="0" fontId="63" fillId="0" borderId="91" xfId="0" applyFont="1" applyBorder="1" applyAlignment="1">
      <alignment horizontal="center" vertical="center"/>
    </xf>
    <xf numFmtId="0" fontId="63" fillId="0" borderId="72" xfId="0" applyFont="1" applyBorder="1" applyAlignment="1">
      <alignment horizontal="center" vertical="center" wrapText="1"/>
    </xf>
    <xf numFmtId="0" fontId="63" fillId="0" borderId="92" xfId="0" applyFont="1" applyBorder="1" applyAlignment="1">
      <alignment horizontal="center" vertical="center" wrapText="1"/>
    </xf>
    <xf numFmtId="0" fontId="63" fillId="0" borderId="72" xfId="0" applyFont="1" applyBorder="1" applyAlignment="1">
      <alignment horizontal="center" vertical="center"/>
    </xf>
    <xf numFmtId="0" fontId="63" fillId="0" borderId="92" xfId="0" applyFont="1" applyBorder="1" applyAlignment="1">
      <alignment horizontal="center" vertical="center"/>
    </xf>
    <xf numFmtId="0" fontId="63" fillId="0" borderId="61" xfId="0" applyFont="1" applyBorder="1" applyAlignment="1">
      <alignment horizontal="center" vertical="center"/>
    </xf>
    <xf numFmtId="0" fontId="63" fillId="0" borderId="53" xfId="0" applyFont="1" applyBorder="1" applyAlignment="1">
      <alignment horizontal="center" vertical="center"/>
    </xf>
    <xf numFmtId="0" fontId="63" fillId="0" borderId="90" xfId="0" applyFont="1" applyBorder="1" applyAlignment="1">
      <alignment horizontal="center" vertical="center"/>
    </xf>
    <xf numFmtId="0" fontId="63" fillId="0" borderId="73" xfId="0" applyFont="1" applyBorder="1" applyAlignment="1">
      <alignment horizontal="center" vertical="center"/>
    </xf>
    <xf numFmtId="0" fontId="63" fillId="0" borderId="93" xfId="0" applyFont="1" applyBorder="1" applyAlignment="1">
      <alignment horizontal="center" vertical="center"/>
    </xf>
    <xf numFmtId="0" fontId="22" fillId="0" borderId="0" xfId="0" applyFont="1" applyAlignment="1">
      <alignment horizontal="left"/>
    </xf>
    <xf numFmtId="0" fontId="0" fillId="0" borderId="2" xfId="0" applyBorder="1" applyAlignment="1">
      <alignment horizontal="center" vertical="center"/>
    </xf>
    <xf numFmtId="0" fontId="0" fillId="0" borderId="2" xfId="0" applyBorder="1" applyAlignment="1">
      <alignment horizontal="center" vertical="center" wrapText="1"/>
    </xf>
    <xf numFmtId="0" fontId="6" fillId="0" borderId="0" xfId="0" applyFont="1" applyAlignment="1">
      <alignment horizontal="left" vertical="center"/>
    </xf>
    <xf numFmtId="0" fontId="0" fillId="0" borderId="0" xfId="0" applyAlignment="1">
      <alignment horizontal="center"/>
    </xf>
    <xf numFmtId="0" fontId="22" fillId="0" borderId="0" xfId="0" applyFont="1" applyAlignment="1">
      <alignment horizontal="left" vertical="center"/>
    </xf>
    <xf numFmtId="0" fontId="6" fillId="0" borderId="21" xfId="0" applyFont="1" applyBorder="1" applyAlignment="1">
      <alignment horizontal="left" vertical="center" wrapText="1"/>
    </xf>
    <xf numFmtId="0" fontId="6" fillId="0" borderId="1" xfId="0" applyFont="1" applyBorder="1" applyAlignment="1">
      <alignment horizontal="left" vertical="center" wrapText="1"/>
    </xf>
    <xf numFmtId="0" fontId="6" fillId="0" borderId="21" xfId="0" applyFont="1" applyBorder="1" applyAlignment="1">
      <alignment vertical="center" wrapText="1"/>
    </xf>
    <xf numFmtId="0" fontId="6" fillId="0" borderId="1" xfId="0" applyFont="1" applyBorder="1" applyAlignment="1">
      <alignment vertical="center" wrapText="1"/>
    </xf>
    <xf numFmtId="0" fontId="0" fillId="0" borderId="21" xfId="0" applyBorder="1" applyAlignment="1">
      <alignment horizontal="left" wrapText="1"/>
    </xf>
    <xf numFmtId="0" fontId="0" fillId="0" borderId="1" xfId="0" applyBorder="1" applyAlignment="1">
      <alignment horizontal="left" wrapText="1"/>
    </xf>
    <xf numFmtId="0" fontId="72" fillId="0" borderId="102" xfId="0" applyFont="1" applyBorder="1" applyAlignment="1">
      <alignment horizontal="center" vertical="center" wrapText="1"/>
    </xf>
    <xf numFmtId="0" fontId="72" fillId="0" borderId="100" xfId="0" applyFont="1" applyBorder="1" applyAlignment="1">
      <alignment horizontal="center" vertical="center" wrapText="1"/>
    </xf>
    <xf numFmtId="0" fontId="72" fillId="0" borderId="97" xfId="0" applyFont="1" applyBorder="1" applyAlignment="1">
      <alignment horizontal="center" vertical="center" wrapText="1"/>
    </xf>
    <xf numFmtId="0" fontId="72" fillId="0" borderId="103" xfId="0" applyFont="1" applyBorder="1" applyAlignment="1">
      <alignment horizontal="center" vertical="center" wrapText="1"/>
    </xf>
    <xf numFmtId="0" fontId="72" fillId="0" borderId="101" xfId="0" applyFont="1" applyBorder="1" applyAlignment="1">
      <alignment horizontal="center" vertical="center" wrapText="1"/>
    </xf>
    <xf numFmtId="0" fontId="72" fillId="0" borderId="99" xfId="0" applyFont="1" applyBorder="1" applyAlignment="1">
      <alignment horizontal="center" vertical="center" wrapText="1"/>
    </xf>
    <xf numFmtId="0" fontId="71" fillId="0" borderId="94" xfId="0" applyFont="1" applyBorder="1" applyAlignment="1">
      <alignment horizontal="center" vertical="center" wrapText="1"/>
    </xf>
    <xf numFmtId="0" fontId="71" fillId="0" borderId="95" xfId="0" applyFont="1" applyBorder="1" applyAlignment="1">
      <alignment horizontal="center" vertical="center" wrapText="1"/>
    </xf>
    <xf numFmtId="0" fontId="71" fillId="0" borderId="96" xfId="0" applyFont="1" applyBorder="1" applyAlignment="1">
      <alignment horizontal="center" vertical="center" wrapText="1"/>
    </xf>
    <xf numFmtId="0" fontId="46" fillId="0" borderId="29" xfId="0" applyFont="1" applyBorder="1" applyAlignment="1">
      <alignment horizontal="center" vertical="center"/>
    </xf>
    <xf numFmtId="0" fontId="70" fillId="0" borderId="0" xfId="0" applyFont="1" applyAlignment="1">
      <alignment horizontal="center"/>
    </xf>
    <xf numFmtId="0" fontId="22" fillId="0" borderId="102" xfId="0" applyFont="1" applyBorder="1" applyAlignment="1">
      <alignment horizontal="center" vertical="center" wrapText="1"/>
    </xf>
    <xf numFmtId="0" fontId="22" fillId="0" borderId="100" xfId="0" applyFont="1" applyBorder="1" applyAlignment="1">
      <alignment horizontal="center" vertical="center" wrapText="1"/>
    </xf>
    <xf numFmtId="0" fontId="22" fillId="0" borderId="97" xfId="0" applyFont="1" applyBorder="1" applyAlignment="1">
      <alignment horizontal="center" vertical="center" wrapText="1"/>
    </xf>
    <xf numFmtId="0" fontId="22" fillId="0" borderId="103" xfId="0" applyFont="1" applyBorder="1" applyAlignment="1">
      <alignment horizontal="center" vertical="center" wrapText="1"/>
    </xf>
    <xf numFmtId="0" fontId="22" fillId="0" borderId="101" xfId="0" applyFont="1" applyBorder="1" applyAlignment="1">
      <alignment horizontal="center" vertical="center" wrapText="1"/>
    </xf>
    <xf numFmtId="0" fontId="22" fillId="0" borderId="99" xfId="0" applyFont="1" applyBorder="1" applyAlignment="1">
      <alignment horizontal="center" vertical="center" wrapText="1"/>
    </xf>
    <xf numFmtId="0" fontId="73" fillId="0" borderId="102" xfId="0" applyFont="1" applyBorder="1" applyAlignment="1">
      <alignment horizontal="center" vertical="center" wrapText="1"/>
    </xf>
    <xf numFmtId="0" fontId="73" fillId="0" borderId="100" xfId="0" applyFont="1" applyBorder="1" applyAlignment="1">
      <alignment horizontal="center" vertical="center" wrapText="1"/>
    </xf>
    <xf numFmtId="0" fontId="73" fillId="0" borderId="97" xfId="0" applyFont="1" applyBorder="1" applyAlignment="1">
      <alignment horizontal="center" vertical="center" wrapText="1"/>
    </xf>
    <xf numFmtId="0" fontId="73" fillId="0" borderId="103" xfId="0" applyFont="1" applyBorder="1" applyAlignment="1">
      <alignment horizontal="center" vertical="center" wrapText="1"/>
    </xf>
    <xf numFmtId="0" fontId="73" fillId="0" borderId="101" xfId="0" applyFont="1" applyBorder="1" applyAlignment="1">
      <alignment horizontal="center" vertical="center" wrapText="1"/>
    </xf>
    <xf numFmtId="0" fontId="73" fillId="0" borderId="99" xfId="0" applyFont="1" applyBorder="1" applyAlignment="1">
      <alignment horizontal="center" vertical="center" wrapText="1"/>
    </xf>
    <xf numFmtId="0" fontId="70" fillId="0" borderId="0" xfId="0" applyFont="1" applyAlignment="1">
      <alignment horizontal="center" vertical="center"/>
    </xf>
    <xf numFmtId="0" fontId="22" fillId="0" borderId="2" xfId="0" applyFont="1" applyBorder="1" applyAlignment="1">
      <alignment horizontal="center" vertical="center" wrapText="1"/>
    </xf>
    <xf numFmtId="0" fontId="22" fillId="0" borderId="2" xfId="0" applyFont="1" applyBorder="1" applyAlignment="1">
      <alignment horizontal="justify" vertical="center" wrapText="1"/>
    </xf>
    <xf numFmtId="0" fontId="75" fillId="0" borderId="2" xfId="0" applyFont="1" applyBorder="1" applyAlignment="1">
      <alignment horizontal="justify" vertical="center" wrapText="1"/>
    </xf>
    <xf numFmtId="0" fontId="22" fillId="0" borderId="5" xfId="0" applyFont="1" applyBorder="1" applyAlignment="1">
      <alignment horizontal="center" vertical="center" wrapText="1"/>
    </xf>
    <xf numFmtId="0" fontId="22" fillId="0" borderId="29" xfId="0" applyFont="1" applyBorder="1" applyAlignment="1">
      <alignment horizontal="center" vertical="center" wrapText="1"/>
    </xf>
    <xf numFmtId="0" fontId="22" fillId="0" borderId="19" xfId="0" applyFont="1" applyBorder="1" applyAlignment="1">
      <alignment horizontal="center" vertical="center" wrapText="1"/>
    </xf>
    <xf numFmtId="0" fontId="22" fillId="0" borderId="2" xfId="0" applyFont="1" applyBorder="1" applyAlignment="1">
      <alignment horizontal="left" vertical="center" wrapText="1"/>
    </xf>
    <xf numFmtId="0" fontId="22" fillId="0" borderId="2" xfId="0" applyFont="1" applyBorder="1" applyAlignment="1">
      <alignment horizontal="left" vertical="center" wrapText="1" indent="2"/>
    </xf>
    <xf numFmtId="0" fontId="75" fillId="0" borderId="2" xfId="0" applyFont="1" applyBorder="1" applyAlignment="1">
      <alignment horizontal="left" vertical="center" wrapText="1" indent="2"/>
    </xf>
    <xf numFmtId="0" fontId="70" fillId="0" borderId="106" xfId="0" applyFont="1" applyBorder="1" applyAlignment="1">
      <alignment horizontal="center" vertical="center" wrapText="1"/>
    </xf>
    <xf numFmtId="0" fontId="70" fillId="0" borderId="53" xfId="0" applyFont="1" applyBorder="1" applyAlignment="1">
      <alignment horizontal="center" vertical="center" wrapText="1"/>
    </xf>
    <xf numFmtId="0" fontId="70" fillId="0" borderId="54" xfId="0" applyFont="1" applyBorder="1" applyAlignment="1">
      <alignment horizontal="center" vertical="center" wrapText="1"/>
    </xf>
    <xf numFmtId="0" fontId="70" fillId="3" borderId="2" xfId="0" applyFont="1" applyFill="1" applyBorder="1" applyAlignment="1">
      <alignment horizontal="center" vertical="center"/>
    </xf>
    <xf numFmtId="0" fontId="70" fillId="3" borderId="14" xfId="0" applyFont="1" applyFill="1" applyBorder="1" applyAlignment="1">
      <alignment horizontal="center" vertical="center"/>
    </xf>
    <xf numFmtId="0" fontId="70" fillId="3" borderId="18" xfId="0" applyFont="1" applyFill="1" applyBorder="1" applyAlignment="1">
      <alignment horizontal="center" vertical="center"/>
    </xf>
    <xf numFmtId="0" fontId="70" fillId="3" borderId="13" xfId="0" applyFont="1" applyFill="1" applyBorder="1" applyAlignment="1">
      <alignment horizontal="center" vertical="center"/>
    </xf>
    <xf numFmtId="0" fontId="70" fillId="3" borderId="15" xfId="0" applyFont="1" applyFill="1" applyBorder="1" applyAlignment="1">
      <alignment horizontal="center" vertical="center"/>
    </xf>
    <xf numFmtId="0" fontId="70" fillId="3" borderId="16" xfId="0" applyFont="1" applyFill="1" applyBorder="1" applyAlignment="1">
      <alignment horizontal="center" vertical="center"/>
    </xf>
    <xf numFmtId="0" fontId="70" fillId="3" borderId="17" xfId="0" applyFont="1" applyFill="1" applyBorder="1" applyAlignment="1">
      <alignment horizontal="center" vertical="center"/>
    </xf>
    <xf numFmtId="0" fontId="21" fillId="0" borderId="0" xfId="0" applyFont="1" applyAlignment="1">
      <alignment horizontal="center"/>
    </xf>
    <xf numFmtId="0" fontId="70" fillId="0" borderId="0" xfId="0" applyFont="1" applyAlignment="1">
      <alignment horizontal="left" vertical="center"/>
    </xf>
    <xf numFmtId="0" fontId="70" fillId="0" borderId="0" xfId="0" applyFont="1" applyAlignment="1">
      <alignment horizontal="left"/>
    </xf>
    <xf numFmtId="0" fontId="28" fillId="0" borderId="0" xfId="0" applyFont="1" applyAlignment="1">
      <alignment horizontal="right" vertical="center"/>
    </xf>
    <xf numFmtId="0" fontId="26" fillId="8" borderId="2" xfId="0" applyFont="1" applyFill="1" applyBorder="1" applyAlignment="1">
      <alignment horizontal="left" vertical="top" wrapText="1"/>
    </xf>
    <xf numFmtId="0" fontId="26" fillId="8" borderId="2" xfId="0" applyFont="1" applyFill="1" applyBorder="1" applyAlignment="1">
      <alignment horizontal="center" vertical="center" wrapText="1"/>
    </xf>
    <xf numFmtId="15" fontId="28" fillId="0" borderId="2" xfId="0" quotePrefix="1" applyNumberFormat="1" applyFont="1" applyBorder="1" applyAlignment="1">
      <alignment horizontal="center" vertical="center"/>
    </xf>
  </cellXfs>
  <cellStyles count="32">
    <cellStyle name="Currency [0] 2" xfId="9" xr:uid="{00000000-0005-0000-0000-000000000000}"/>
    <cellStyle name="Currency [0] 2 2" xfId="13" xr:uid="{F9F655BF-FEFF-4F45-908B-EC5AB1A1D3A3}"/>
    <cellStyle name="Currency [0] 2 2 2" xfId="25" xr:uid="{1A1D332E-3317-4772-8271-9108A8B1A5A7}"/>
    <cellStyle name="Currency [0] 2 3" xfId="14" xr:uid="{28ABE6D3-BDC4-40E9-848E-5AD6305C6E9D}"/>
    <cellStyle name="Currency [0] 2 3 2" xfId="26" xr:uid="{69B87103-AB04-4DE9-8AFD-25F9940A58E9}"/>
    <cellStyle name="Currency [0] 2 4" xfId="15" xr:uid="{6025F7CB-4ECD-4E11-B0D6-5EB9D0583F92}"/>
    <cellStyle name="Currency [0] 2 4 2" xfId="27" xr:uid="{7159D592-B093-49A0-8735-2A9E0EDF8D86}"/>
    <cellStyle name="Currency [0] 2 5" xfId="12" xr:uid="{FCD31609-A58D-47D0-8DD8-9F949066021C}"/>
    <cellStyle name="Currency [0] 2 5 2" xfId="24" xr:uid="{91700719-C272-402F-A664-8AFA36049EF0}"/>
    <cellStyle name="Currency [0] 2 6" xfId="21" xr:uid="{F326A81C-06A5-4266-BF6A-9AA5C74DEA18}"/>
    <cellStyle name="Normal" xfId="0" builtinId="0"/>
    <cellStyle name="Normal 2" xfId="1" xr:uid="{00000000-0005-0000-0000-000002000000}"/>
    <cellStyle name="Normal 2 2" xfId="17" xr:uid="{5849C6B6-D963-4417-8C19-84FF46179F6E}"/>
    <cellStyle name="Normal 2 2 2" xfId="29" xr:uid="{4D5C37C7-354A-4616-B313-29A0DA801327}"/>
    <cellStyle name="Normal 2 3" xfId="18" xr:uid="{E9DABD78-20D1-4624-99AE-9AEB71E4F001}"/>
    <cellStyle name="Normal 2 3 2" xfId="30" xr:uid="{CFF59009-40E3-45BA-A2E6-B12D80129646}"/>
    <cellStyle name="Normal 2 4" xfId="19" xr:uid="{E42587B0-F639-4637-A065-CFF2C56A2236}"/>
    <cellStyle name="Normal 2 4 2" xfId="31" xr:uid="{8BB6CB27-6ADB-4B1A-8968-7C5E32C30432}"/>
    <cellStyle name="Normal 2 5" xfId="2" xr:uid="{00000000-0005-0000-0000-000003000000}"/>
    <cellStyle name="Normal 2 6" xfId="3" xr:uid="{00000000-0005-0000-0000-000004000000}"/>
    <cellStyle name="Normal 2 7" xfId="16" xr:uid="{B81A9C62-C913-47D1-A511-A14DA461F8FB}"/>
    <cellStyle name="Normal 2 7 2" xfId="28" xr:uid="{18B30F99-4565-4A24-B197-F839C1BCE650}"/>
    <cellStyle name="Normal 2 8" xfId="20" xr:uid="{D1A36A14-6313-4625-B0B2-DF4FABD40C57}"/>
    <cellStyle name="Normal 2_SISWA BARU 1011 2" xfId="4" xr:uid="{00000000-0005-0000-0000-000005000000}"/>
    <cellStyle name="Normal 3" xfId="5" xr:uid="{00000000-0005-0000-0000-000006000000}"/>
    <cellStyle name="Normal 4" xfId="6" xr:uid="{00000000-0005-0000-0000-000007000000}"/>
    <cellStyle name="Normal 5" xfId="7" xr:uid="{00000000-0005-0000-0000-000008000000}"/>
    <cellStyle name="Normal 6" xfId="8" xr:uid="{00000000-0005-0000-0000-000009000000}"/>
    <cellStyle name="Normal 7" xfId="11" xr:uid="{EE3BEA67-0AAD-436B-8369-EBB4FCEB339C}"/>
    <cellStyle name="Normal 7 2" xfId="23" xr:uid="{9A63CCBB-F070-4036-8B13-2D1A07F8974A}"/>
    <cellStyle name="Normal 9" xfId="10" xr:uid="{91D5F359-714D-4523-B315-29F89732786B}"/>
    <cellStyle name="Normal 9 2" xfId="22" xr:uid="{C6AE0415-64F0-484A-A566-5475B819A29E}"/>
  </cellStyles>
  <dxfs count="0"/>
  <tableStyles count="0" defaultTableStyle="TableStyleMedium9" defaultPivotStyle="PivotStyleLight16"/>
  <colors>
    <mruColors>
      <color rgb="FF00FF99"/>
      <color rgb="FF00FFFF"/>
      <color rgb="FFFF7C80"/>
      <color rgb="FFCCFF66"/>
      <color rgb="FF6699FF"/>
      <color rgb="FF0066FF"/>
      <color rgb="FFFF99FF"/>
      <color rgb="FFCC99FF"/>
      <color rgb="FFB1B5BA"/>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219076</xdr:colOff>
      <xdr:row>9</xdr:row>
      <xdr:rowOff>38102</xdr:rowOff>
    </xdr:from>
    <xdr:to>
      <xdr:col>7</xdr:col>
      <xdr:colOff>19051</xdr:colOff>
      <xdr:row>19</xdr:row>
      <xdr:rowOff>190500</xdr:rowOff>
    </xdr:to>
    <xdr:pic>
      <xdr:nvPicPr>
        <xdr:cNvPr id="3" name="Picture 1" descr="tut-wuri">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838326" y="2352677"/>
          <a:ext cx="2209800" cy="2152648"/>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190500</xdr:colOff>
      <xdr:row>56</xdr:row>
      <xdr:rowOff>95250</xdr:rowOff>
    </xdr:from>
    <xdr:to>
      <xdr:col>2</xdr:col>
      <xdr:colOff>190500</xdr:colOff>
      <xdr:row>56</xdr:row>
      <xdr:rowOff>95250</xdr:rowOff>
    </xdr:to>
    <xdr:sp macro="" textlink="">
      <xdr:nvSpPr>
        <xdr:cNvPr id="158" name="Line 766">
          <a:extLst>
            <a:ext uri="{FF2B5EF4-FFF2-40B4-BE49-F238E27FC236}">
              <a16:creationId xmlns:a16="http://schemas.microsoft.com/office/drawing/2014/main" id="{00000000-0008-0000-0300-00009E00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159" name="Line 1009">
          <a:extLst>
            <a:ext uri="{FF2B5EF4-FFF2-40B4-BE49-F238E27FC236}">
              <a16:creationId xmlns:a16="http://schemas.microsoft.com/office/drawing/2014/main" id="{00000000-0008-0000-0300-00009F00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160" name="Line 132">
          <a:extLst>
            <a:ext uri="{FF2B5EF4-FFF2-40B4-BE49-F238E27FC236}">
              <a16:creationId xmlns:a16="http://schemas.microsoft.com/office/drawing/2014/main" id="{00000000-0008-0000-0300-0000A000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161" name="Line 151">
          <a:extLst>
            <a:ext uri="{FF2B5EF4-FFF2-40B4-BE49-F238E27FC236}">
              <a16:creationId xmlns:a16="http://schemas.microsoft.com/office/drawing/2014/main" id="{00000000-0008-0000-0300-0000A100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162" name="Line 132">
          <a:extLst>
            <a:ext uri="{FF2B5EF4-FFF2-40B4-BE49-F238E27FC236}">
              <a16:creationId xmlns:a16="http://schemas.microsoft.com/office/drawing/2014/main" id="{00000000-0008-0000-0300-0000A200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163" name="Line 151">
          <a:extLst>
            <a:ext uri="{FF2B5EF4-FFF2-40B4-BE49-F238E27FC236}">
              <a16:creationId xmlns:a16="http://schemas.microsoft.com/office/drawing/2014/main" id="{00000000-0008-0000-0300-0000A300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64" name="Line 132">
          <a:extLst>
            <a:ext uri="{FF2B5EF4-FFF2-40B4-BE49-F238E27FC236}">
              <a16:creationId xmlns:a16="http://schemas.microsoft.com/office/drawing/2014/main" id="{00000000-0008-0000-0300-0000A400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65" name="Line 151">
          <a:extLst>
            <a:ext uri="{FF2B5EF4-FFF2-40B4-BE49-F238E27FC236}">
              <a16:creationId xmlns:a16="http://schemas.microsoft.com/office/drawing/2014/main" id="{00000000-0008-0000-0300-0000A500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166" name="Line 132">
          <a:extLst>
            <a:ext uri="{FF2B5EF4-FFF2-40B4-BE49-F238E27FC236}">
              <a16:creationId xmlns:a16="http://schemas.microsoft.com/office/drawing/2014/main" id="{00000000-0008-0000-0300-0000A600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167" name="Line 151">
          <a:extLst>
            <a:ext uri="{FF2B5EF4-FFF2-40B4-BE49-F238E27FC236}">
              <a16:creationId xmlns:a16="http://schemas.microsoft.com/office/drawing/2014/main" id="{00000000-0008-0000-0300-0000A700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68" name="Line 132">
          <a:extLst>
            <a:ext uri="{FF2B5EF4-FFF2-40B4-BE49-F238E27FC236}">
              <a16:creationId xmlns:a16="http://schemas.microsoft.com/office/drawing/2014/main" id="{00000000-0008-0000-0300-0000A800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69" name="Line 151">
          <a:extLst>
            <a:ext uri="{FF2B5EF4-FFF2-40B4-BE49-F238E27FC236}">
              <a16:creationId xmlns:a16="http://schemas.microsoft.com/office/drawing/2014/main" id="{00000000-0008-0000-0300-0000A900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70" name="Line 132">
          <a:extLst>
            <a:ext uri="{FF2B5EF4-FFF2-40B4-BE49-F238E27FC236}">
              <a16:creationId xmlns:a16="http://schemas.microsoft.com/office/drawing/2014/main" id="{00000000-0008-0000-0300-0000AA00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71" name="Line 151">
          <a:extLst>
            <a:ext uri="{FF2B5EF4-FFF2-40B4-BE49-F238E27FC236}">
              <a16:creationId xmlns:a16="http://schemas.microsoft.com/office/drawing/2014/main" id="{00000000-0008-0000-0300-0000AB00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72" name="Line 132">
          <a:extLst>
            <a:ext uri="{FF2B5EF4-FFF2-40B4-BE49-F238E27FC236}">
              <a16:creationId xmlns:a16="http://schemas.microsoft.com/office/drawing/2014/main" id="{00000000-0008-0000-0300-0000AC00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73" name="Line 151">
          <a:extLst>
            <a:ext uri="{FF2B5EF4-FFF2-40B4-BE49-F238E27FC236}">
              <a16:creationId xmlns:a16="http://schemas.microsoft.com/office/drawing/2014/main" id="{00000000-0008-0000-0300-0000AD00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74" name="Line 132">
          <a:extLst>
            <a:ext uri="{FF2B5EF4-FFF2-40B4-BE49-F238E27FC236}">
              <a16:creationId xmlns:a16="http://schemas.microsoft.com/office/drawing/2014/main" id="{00000000-0008-0000-0300-0000AE00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75" name="Line 151">
          <a:extLst>
            <a:ext uri="{FF2B5EF4-FFF2-40B4-BE49-F238E27FC236}">
              <a16:creationId xmlns:a16="http://schemas.microsoft.com/office/drawing/2014/main" id="{00000000-0008-0000-0300-0000AF00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76" name="Line 132">
          <a:extLst>
            <a:ext uri="{FF2B5EF4-FFF2-40B4-BE49-F238E27FC236}">
              <a16:creationId xmlns:a16="http://schemas.microsoft.com/office/drawing/2014/main" id="{00000000-0008-0000-0300-0000B000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77" name="Line 151">
          <a:extLst>
            <a:ext uri="{FF2B5EF4-FFF2-40B4-BE49-F238E27FC236}">
              <a16:creationId xmlns:a16="http://schemas.microsoft.com/office/drawing/2014/main" id="{00000000-0008-0000-0300-0000B100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78" name="Line 132">
          <a:extLst>
            <a:ext uri="{FF2B5EF4-FFF2-40B4-BE49-F238E27FC236}">
              <a16:creationId xmlns:a16="http://schemas.microsoft.com/office/drawing/2014/main" id="{00000000-0008-0000-0300-0000B200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79" name="Line 151">
          <a:extLst>
            <a:ext uri="{FF2B5EF4-FFF2-40B4-BE49-F238E27FC236}">
              <a16:creationId xmlns:a16="http://schemas.microsoft.com/office/drawing/2014/main" id="{00000000-0008-0000-0300-0000B300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80" name="Line 132">
          <a:extLst>
            <a:ext uri="{FF2B5EF4-FFF2-40B4-BE49-F238E27FC236}">
              <a16:creationId xmlns:a16="http://schemas.microsoft.com/office/drawing/2014/main" id="{00000000-0008-0000-0300-0000B400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81" name="Line 151">
          <a:extLst>
            <a:ext uri="{FF2B5EF4-FFF2-40B4-BE49-F238E27FC236}">
              <a16:creationId xmlns:a16="http://schemas.microsoft.com/office/drawing/2014/main" id="{00000000-0008-0000-0300-0000B500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82" name="Line 132">
          <a:extLst>
            <a:ext uri="{FF2B5EF4-FFF2-40B4-BE49-F238E27FC236}">
              <a16:creationId xmlns:a16="http://schemas.microsoft.com/office/drawing/2014/main" id="{00000000-0008-0000-0300-0000B600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83" name="Line 151">
          <a:extLst>
            <a:ext uri="{FF2B5EF4-FFF2-40B4-BE49-F238E27FC236}">
              <a16:creationId xmlns:a16="http://schemas.microsoft.com/office/drawing/2014/main" id="{00000000-0008-0000-0300-0000B700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84" name="Line 132">
          <a:extLst>
            <a:ext uri="{FF2B5EF4-FFF2-40B4-BE49-F238E27FC236}">
              <a16:creationId xmlns:a16="http://schemas.microsoft.com/office/drawing/2014/main" id="{00000000-0008-0000-0300-0000B800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85" name="Line 151">
          <a:extLst>
            <a:ext uri="{FF2B5EF4-FFF2-40B4-BE49-F238E27FC236}">
              <a16:creationId xmlns:a16="http://schemas.microsoft.com/office/drawing/2014/main" id="{00000000-0008-0000-0300-0000B900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86" name="Line 132">
          <a:extLst>
            <a:ext uri="{FF2B5EF4-FFF2-40B4-BE49-F238E27FC236}">
              <a16:creationId xmlns:a16="http://schemas.microsoft.com/office/drawing/2014/main" id="{00000000-0008-0000-0300-0000BA00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87" name="Line 151">
          <a:extLst>
            <a:ext uri="{FF2B5EF4-FFF2-40B4-BE49-F238E27FC236}">
              <a16:creationId xmlns:a16="http://schemas.microsoft.com/office/drawing/2014/main" id="{00000000-0008-0000-0300-0000BB00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88" name="Line 132">
          <a:extLst>
            <a:ext uri="{FF2B5EF4-FFF2-40B4-BE49-F238E27FC236}">
              <a16:creationId xmlns:a16="http://schemas.microsoft.com/office/drawing/2014/main" id="{00000000-0008-0000-0300-0000BC00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89" name="Line 151">
          <a:extLst>
            <a:ext uri="{FF2B5EF4-FFF2-40B4-BE49-F238E27FC236}">
              <a16:creationId xmlns:a16="http://schemas.microsoft.com/office/drawing/2014/main" id="{00000000-0008-0000-0300-0000BD00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90" name="Line 132">
          <a:extLst>
            <a:ext uri="{FF2B5EF4-FFF2-40B4-BE49-F238E27FC236}">
              <a16:creationId xmlns:a16="http://schemas.microsoft.com/office/drawing/2014/main" id="{00000000-0008-0000-0300-0000BE00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91" name="Line 151">
          <a:extLst>
            <a:ext uri="{FF2B5EF4-FFF2-40B4-BE49-F238E27FC236}">
              <a16:creationId xmlns:a16="http://schemas.microsoft.com/office/drawing/2014/main" id="{00000000-0008-0000-0300-0000BF00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92" name="Line 132">
          <a:extLst>
            <a:ext uri="{FF2B5EF4-FFF2-40B4-BE49-F238E27FC236}">
              <a16:creationId xmlns:a16="http://schemas.microsoft.com/office/drawing/2014/main" id="{00000000-0008-0000-0300-0000C000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93" name="Line 151">
          <a:extLst>
            <a:ext uri="{FF2B5EF4-FFF2-40B4-BE49-F238E27FC236}">
              <a16:creationId xmlns:a16="http://schemas.microsoft.com/office/drawing/2014/main" id="{00000000-0008-0000-0300-0000C100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194" name="Line 132">
          <a:extLst>
            <a:ext uri="{FF2B5EF4-FFF2-40B4-BE49-F238E27FC236}">
              <a16:creationId xmlns:a16="http://schemas.microsoft.com/office/drawing/2014/main" id="{00000000-0008-0000-0300-0000C200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195" name="Line 151">
          <a:extLst>
            <a:ext uri="{FF2B5EF4-FFF2-40B4-BE49-F238E27FC236}">
              <a16:creationId xmlns:a16="http://schemas.microsoft.com/office/drawing/2014/main" id="{00000000-0008-0000-0300-0000C300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96" name="Line 132">
          <a:extLst>
            <a:ext uri="{FF2B5EF4-FFF2-40B4-BE49-F238E27FC236}">
              <a16:creationId xmlns:a16="http://schemas.microsoft.com/office/drawing/2014/main" id="{00000000-0008-0000-0300-0000C400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97" name="Line 151">
          <a:extLst>
            <a:ext uri="{FF2B5EF4-FFF2-40B4-BE49-F238E27FC236}">
              <a16:creationId xmlns:a16="http://schemas.microsoft.com/office/drawing/2014/main" id="{00000000-0008-0000-0300-0000C500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98" name="Line 132">
          <a:extLst>
            <a:ext uri="{FF2B5EF4-FFF2-40B4-BE49-F238E27FC236}">
              <a16:creationId xmlns:a16="http://schemas.microsoft.com/office/drawing/2014/main" id="{00000000-0008-0000-0300-0000C600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99" name="Line 151">
          <a:extLst>
            <a:ext uri="{FF2B5EF4-FFF2-40B4-BE49-F238E27FC236}">
              <a16:creationId xmlns:a16="http://schemas.microsoft.com/office/drawing/2014/main" id="{00000000-0008-0000-0300-0000C700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200" name="Line 132">
          <a:extLst>
            <a:ext uri="{FF2B5EF4-FFF2-40B4-BE49-F238E27FC236}">
              <a16:creationId xmlns:a16="http://schemas.microsoft.com/office/drawing/2014/main" id="{00000000-0008-0000-0300-0000C800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201" name="Line 151">
          <a:extLst>
            <a:ext uri="{FF2B5EF4-FFF2-40B4-BE49-F238E27FC236}">
              <a16:creationId xmlns:a16="http://schemas.microsoft.com/office/drawing/2014/main" id="{00000000-0008-0000-0300-0000C900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202" name="Line 132">
          <a:extLst>
            <a:ext uri="{FF2B5EF4-FFF2-40B4-BE49-F238E27FC236}">
              <a16:creationId xmlns:a16="http://schemas.microsoft.com/office/drawing/2014/main" id="{00000000-0008-0000-0300-0000CA00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203" name="Line 151">
          <a:extLst>
            <a:ext uri="{FF2B5EF4-FFF2-40B4-BE49-F238E27FC236}">
              <a16:creationId xmlns:a16="http://schemas.microsoft.com/office/drawing/2014/main" id="{00000000-0008-0000-0300-0000CB00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204" name="Line 132">
          <a:extLst>
            <a:ext uri="{FF2B5EF4-FFF2-40B4-BE49-F238E27FC236}">
              <a16:creationId xmlns:a16="http://schemas.microsoft.com/office/drawing/2014/main" id="{00000000-0008-0000-0300-0000CC00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205" name="Line 151">
          <a:extLst>
            <a:ext uri="{FF2B5EF4-FFF2-40B4-BE49-F238E27FC236}">
              <a16:creationId xmlns:a16="http://schemas.microsoft.com/office/drawing/2014/main" id="{00000000-0008-0000-0300-0000CD00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206" name="Line 766">
          <a:extLst>
            <a:ext uri="{FF2B5EF4-FFF2-40B4-BE49-F238E27FC236}">
              <a16:creationId xmlns:a16="http://schemas.microsoft.com/office/drawing/2014/main" id="{00000000-0008-0000-0300-0000CE00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207" name="Line 1009">
          <a:extLst>
            <a:ext uri="{FF2B5EF4-FFF2-40B4-BE49-F238E27FC236}">
              <a16:creationId xmlns:a16="http://schemas.microsoft.com/office/drawing/2014/main" id="{00000000-0008-0000-0300-0000CF00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208" name="Line 132">
          <a:extLst>
            <a:ext uri="{FF2B5EF4-FFF2-40B4-BE49-F238E27FC236}">
              <a16:creationId xmlns:a16="http://schemas.microsoft.com/office/drawing/2014/main" id="{00000000-0008-0000-0300-0000D000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209" name="Line 151">
          <a:extLst>
            <a:ext uri="{FF2B5EF4-FFF2-40B4-BE49-F238E27FC236}">
              <a16:creationId xmlns:a16="http://schemas.microsoft.com/office/drawing/2014/main" id="{00000000-0008-0000-0300-0000D100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210" name="Line 132">
          <a:extLst>
            <a:ext uri="{FF2B5EF4-FFF2-40B4-BE49-F238E27FC236}">
              <a16:creationId xmlns:a16="http://schemas.microsoft.com/office/drawing/2014/main" id="{00000000-0008-0000-0300-0000D200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211" name="Line 151">
          <a:extLst>
            <a:ext uri="{FF2B5EF4-FFF2-40B4-BE49-F238E27FC236}">
              <a16:creationId xmlns:a16="http://schemas.microsoft.com/office/drawing/2014/main" id="{00000000-0008-0000-0300-0000D300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212" name="Line 132">
          <a:extLst>
            <a:ext uri="{FF2B5EF4-FFF2-40B4-BE49-F238E27FC236}">
              <a16:creationId xmlns:a16="http://schemas.microsoft.com/office/drawing/2014/main" id="{00000000-0008-0000-0300-0000D400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213" name="Line 151">
          <a:extLst>
            <a:ext uri="{FF2B5EF4-FFF2-40B4-BE49-F238E27FC236}">
              <a16:creationId xmlns:a16="http://schemas.microsoft.com/office/drawing/2014/main" id="{00000000-0008-0000-0300-0000D500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214" name="Line 132">
          <a:extLst>
            <a:ext uri="{FF2B5EF4-FFF2-40B4-BE49-F238E27FC236}">
              <a16:creationId xmlns:a16="http://schemas.microsoft.com/office/drawing/2014/main" id="{00000000-0008-0000-0300-0000D600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215" name="Line 151">
          <a:extLst>
            <a:ext uri="{FF2B5EF4-FFF2-40B4-BE49-F238E27FC236}">
              <a16:creationId xmlns:a16="http://schemas.microsoft.com/office/drawing/2014/main" id="{00000000-0008-0000-0300-0000D700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216" name="Line 132">
          <a:extLst>
            <a:ext uri="{FF2B5EF4-FFF2-40B4-BE49-F238E27FC236}">
              <a16:creationId xmlns:a16="http://schemas.microsoft.com/office/drawing/2014/main" id="{00000000-0008-0000-0300-0000D800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217" name="Line 151">
          <a:extLst>
            <a:ext uri="{FF2B5EF4-FFF2-40B4-BE49-F238E27FC236}">
              <a16:creationId xmlns:a16="http://schemas.microsoft.com/office/drawing/2014/main" id="{00000000-0008-0000-0300-0000D900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218" name="Line 132">
          <a:extLst>
            <a:ext uri="{FF2B5EF4-FFF2-40B4-BE49-F238E27FC236}">
              <a16:creationId xmlns:a16="http://schemas.microsoft.com/office/drawing/2014/main" id="{00000000-0008-0000-0300-0000DA00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219" name="Line 151">
          <a:extLst>
            <a:ext uri="{FF2B5EF4-FFF2-40B4-BE49-F238E27FC236}">
              <a16:creationId xmlns:a16="http://schemas.microsoft.com/office/drawing/2014/main" id="{00000000-0008-0000-0300-0000DB00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220" name="Line 132">
          <a:extLst>
            <a:ext uri="{FF2B5EF4-FFF2-40B4-BE49-F238E27FC236}">
              <a16:creationId xmlns:a16="http://schemas.microsoft.com/office/drawing/2014/main" id="{00000000-0008-0000-0300-0000DC00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221" name="Line 151">
          <a:extLst>
            <a:ext uri="{FF2B5EF4-FFF2-40B4-BE49-F238E27FC236}">
              <a16:creationId xmlns:a16="http://schemas.microsoft.com/office/drawing/2014/main" id="{00000000-0008-0000-0300-0000DD00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222" name="Line 132">
          <a:extLst>
            <a:ext uri="{FF2B5EF4-FFF2-40B4-BE49-F238E27FC236}">
              <a16:creationId xmlns:a16="http://schemas.microsoft.com/office/drawing/2014/main" id="{00000000-0008-0000-0300-0000DE00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223" name="Line 151">
          <a:extLst>
            <a:ext uri="{FF2B5EF4-FFF2-40B4-BE49-F238E27FC236}">
              <a16:creationId xmlns:a16="http://schemas.microsoft.com/office/drawing/2014/main" id="{00000000-0008-0000-0300-0000DF00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224" name="Line 132">
          <a:extLst>
            <a:ext uri="{FF2B5EF4-FFF2-40B4-BE49-F238E27FC236}">
              <a16:creationId xmlns:a16="http://schemas.microsoft.com/office/drawing/2014/main" id="{00000000-0008-0000-0300-0000E000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225" name="Line 151">
          <a:extLst>
            <a:ext uri="{FF2B5EF4-FFF2-40B4-BE49-F238E27FC236}">
              <a16:creationId xmlns:a16="http://schemas.microsoft.com/office/drawing/2014/main" id="{00000000-0008-0000-0300-0000E100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226" name="Line 132">
          <a:extLst>
            <a:ext uri="{FF2B5EF4-FFF2-40B4-BE49-F238E27FC236}">
              <a16:creationId xmlns:a16="http://schemas.microsoft.com/office/drawing/2014/main" id="{00000000-0008-0000-0300-0000E200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227" name="Line 151">
          <a:extLst>
            <a:ext uri="{FF2B5EF4-FFF2-40B4-BE49-F238E27FC236}">
              <a16:creationId xmlns:a16="http://schemas.microsoft.com/office/drawing/2014/main" id="{00000000-0008-0000-0300-0000E300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228" name="Line 132">
          <a:extLst>
            <a:ext uri="{FF2B5EF4-FFF2-40B4-BE49-F238E27FC236}">
              <a16:creationId xmlns:a16="http://schemas.microsoft.com/office/drawing/2014/main" id="{00000000-0008-0000-0300-0000E400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229" name="Line 151">
          <a:extLst>
            <a:ext uri="{FF2B5EF4-FFF2-40B4-BE49-F238E27FC236}">
              <a16:creationId xmlns:a16="http://schemas.microsoft.com/office/drawing/2014/main" id="{00000000-0008-0000-0300-0000E500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230" name="Line 132">
          <a:extLst>
            <a:ext uri="{FF2B5EF4-FFF2-40B4-BE49-F238E27FC236}">
              <a16:creationId xmlns:a16="http://schemas.microsoft.com/office/drawing/2014/main" id="{00000000-0008-0000-0300-0000E600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231" name="Line 151">
          <a:extLst>
            <a:ext uri="{FF2B5EF4-FFF2-40B4-BE49-F238E27FC236}">
              <a16:creationId xmlns:a16="http://schemas.microsoft.com/office/drawing/2014/main" id="{00000000-0008-0000-0300-0000E700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232" name="Line 132">
          <a:extLst>
            <a:ext uri="{FF2B5EF4-FFF2-40B4-BE49-F238E27FC236}">
              <a16:creationId xmlns:a16="http://schemas.microsoft.com/office/drawing/2014/main" id="{00000000-0008-0000-0300-0000E800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233" name="Line 151">
          <a:extLst>
            <a:ext uri="{FF2B5EF4-FFF2-40B4-BE49-F238E27FC236}">
              <a16:creationId xmlns:a16="http://schemas.microsoft.com/office/drawing/2014/main" id="{00000000-0008-0000-0300-0000E900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234" name="Line 132">
          <a:extLst>
            <a:ext uri="{FF2B5EF4-FFF2-40B4-BE49-F238E27FC236}">
              <a16:creationId xmlns:a16="http://schemas.microsoft.com/office/drawing/2014/main" id="{00000000-0008-0000-0300-0000EA00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235" name="Line 151">
          <a:extLst>
            <a:ext uri="{FF2B5EF4-FFF2-40B4-BE49-F238E27FC236}">
              <a16:creationId xmlns:a16="http://schemas.microsoft.com/office/drawing/2014/main" id="{00000000-0008-0000-0300-0000EB00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236" name="Line 132">
          <a:extLst>
            <a:ext uri="{FF2B5EF4-FFF2-40B4-BE49-F238E27FC236}">
              <a16:creationId xmlns:a16="http://schemas.microsoft.com/office/drawing/2014/main" id="{00000000-0008-0000-0300-0000EC00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237" name="Line 151">
          <a:extLst>
            <a:ext uri="{FF2B5EF4-FFF2-40B4-BE49-F238E27FC236}">
              <a16:creationId xmlns:a16="http://schemas.microsoft.com/office/drawing/2014/main" id="{00000000-0008-0000-0300-0000ED00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238" name="Line 132">
          <a:extLst>
            <a:ext uri="{FF2B5EF4-FFF2-40B4-BE49-F238E27FC236}">
              <a16:creationId xmlns:a16="http://schemas.microsoft.com/office/drawing/2014/main" id="{00000000-0008-0000-0300-0000EE00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239" name="Line 151">
          <a:extLst>
            <a:ext uri="{FF2B5EF4-FFF2-40B4-BE49-F238E27FC236}">
              <a16:creationId xmlns:a16="http://schemas.microsoft.com/office/drawing/2014/main" id="{00000000-0008-0000-0300-0000EF00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240" name="Line 132">
          <a:extLst>
            <a:ext uri="{FF2B5EF4-FFF2-40B4-BE49-F238E27FC236}">
              <a16:creationId xmlns:a16="http://schemas.microsoft.com/office/drawing/2014/main" id="{00000000-0008-0000-0300-0000F000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241" name="Line 151">
          <a:extLst>
            <a:ext uri="{FF2B5EF4-FFF2-40B4-BE49-F238E27FC236}">
              <a16:creationId xmlns:a16="http://schemas.microsoft.com/office/drawing/2014/main" id="{00000000-0008-0000-0300-0000F100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242" name="Line 132">
          <a:extLst>
            <a:ext uri="{FF2B5EF4-FFF2-40B4-BE49-F238E27FC236}">
              <a16:creationId xmlns:a16="http://schemas.microsoft.com/office/drawing/2014/main" id="{00000000-0008-0000-0300-0000F200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243" name="Line 151">
          <a:extLst>
            <a:ext uri="{FF2B5EF4-FFF2-40B4-BE49-F238E27FC236}">
              <a16:creationId xmlns:a16="http://schemas.microsoft.com/office/drawing/2014/main" id="{00000000-0008-0000-0300-0000F300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244" name="Line 132">
          <a:extLst>
            <a:ext uri="{FF2B5EF4-FFF2-40B4-BE49-F238E27FC236}">
              <a16:creationId xmlns:a16="http://schemas.microsoft.com/office/drawing/2014/main" id="{00000000-0008-0000-0300-0000F400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245" name="Line 151">
          <a:extLst>
            <a:ext uri="{FF2B5EF4-FFF2-40B4-BE49-F238E27FC236}">
              <a16:creationId xmlns:a16="http://schemas.microsoft.com/office/drawing/2014/main" id="{00000000-0008-0000-0300-0000F500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246" name="Line 132">
          <a:extLst>
            <a:ext uri="{FF2B5EF4-FFF2-40B4-BE49-F238E27FC236}">
              <a16:creationId xmlns:a16="http://schemas.microsoft.com/office/drawing/2014/main" id="{00000000-0008-0000-0300-0000F600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247" name="Line 151">
          <a:extLst>
            <a:ext uri="{FF2B5EF4-FFF2-40B4-BE49-F238E27FC236}">
              <a16:creationId xmlns:a16="http://schemas.microsoft.com/office/drawing/2014/main" id="{00000000-0008-0000-0300-0000F700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248" name="Line 766">
          <a:extLst>
            <a:ext uri="{FF2B5EF4-FFF2-40B4-BE49-F238E27FC236}">
              <a16:creationId xmlns:a16="http://schemas.microsoft.com/office/drawing/2014/main" id="{00000000-0008-0000-0300-0000F800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249" name="Line 1009">
          <a:extLst>
            <a:ext uri="{FF2B5EF4-FFF2-40B4-BE49-F238E27FC236}">
              <a16:creationId xmlns:a16="http://schemas.microsoft.com/office/drawing/2014/main" id="{00000000-0008-0000-0300-0000F900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250" name="Line 132">
          <a:extLst>
            <a:ext uri="{FF2B5EF4-FFF2-40B4-BE49-F238E27FC236}">
              <a16:creationId xmlns:a16="http://schemas.microsoft.com/office/drawing/2014/main" id="{00000000-0008-0000-0300-0000FA00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251" name="Line 151">
          <a:extLst>
            <a:ext uri="{FF2B5EF4-FFF2-40B4-BE49-F238E27FC236}">
              <a16:creationId xmlns:a16="http://schemas.microsoft.com/office/drawing/2014/main" id="{00000000-0008-0000-0300-0000FB00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252" name="Line 132">
          <a:extLst>
            <a:ext uri="{FF2B5EF4-FFF2-40B4-BE49-F238E27FC236}">
              <a16:creationId xmlns:a16="http://schemas.microsoft.com/office/drawing/2014/main" id="{00000000-0008-0000-0300-0000FC00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253" name="Line 151">
          <a:extLst>
            <a:ext uri="{FF2B5EF4-FFF2-40B4-BE49-F238E27FC236}">
              <a16:creationId xmlns:a16="http://schemas.microsoft.com/office/drawing/2014/main" id="{00000000-0008-0000-0300-0000FD00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254" name="Line 132">
          <a:extLst>
            <a:ext uri="{FF2B5EF4-FFF2-40B4-BE49-F238E27FC236}">
              <a16:creationId xmlns:a16="http://schemas.microsoft.com/office/drawing/2014/main" id="{00000000-0008-0000-0300-0000FE00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255" name="Line 151">
          <a:extLst>
            <a:ext uri="{FF2B5EF4-FFF2-40B4-BE49-F238E27FC236}">
              <a16:creationId xmlns:a16="http://schemas.microsoft.com/office/drawing/2014/main" id="{00000000-0008-0000-0300-0000FF00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256" name="Line 132">
          <a:extLst>
            <a:ext uri="{FF2B5EF4-FFF2-40B4-BE49-F238E27FC236}">
              <a16:creationId xmlns:a16="http://schemas.microsoft.com/office/drawing/2014/main" id="{00000000-0008-0000-0300-00000001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257" name="Line 151">
          <a:extLst>
            <a:ext uri="{FF2B5EF4-FFF2-40B4-BE49-F238E27FC236}">
              <a16:creationId xmlns:a16="http://schemas.microsoft.com/office/drawing/2014/main" id="{00000000-0008-0000-0300-00000101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258" name="Line 132">
          <a:extLst>
            <a:ext uri="{FF2B5EF4-FFF2-40B4-BE49-F238E27FC236}">
              <a16:creationId xmlns:a16="http://schemas.microsoft.com/office/drawing/2014/main" id="{00000000-0008-0000-0300-000002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259" name="Line 151">
          <a:extLst>
            <a:ext uri="{FF2B5EF4-FFF2-40B4-BE49-F238E27FC236}">
              <a16:creationId xmlns:a16="http://schemas.microsoft.com/office/drawing/2014/main" id="{00000000-0008-0000-0300-000003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260" name="Line 132">
          <a:extLst>
            <a:ext uri="{FF2B5EF4-FFF2-40B4-BE49-F238E27FC236}">
              <a16:creationId xmlns:a16="http://schemas.microsoft.com/office/drawing/2014/main" id="{00000000-0008-0000-0300-000004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261" name="Line 151">
          <a:extLst>
            <a:ext uri="{FF2B5EF4-FFF2-40B4-BE49-F238E27FC236}">
              <a16:creationId xmlns:a16="http://schemas.microsoft.com/office/drawing/2014/main" id="{00000000-0008-0000-0300-000005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262" name="Line 132">
          <a:extLst>
            <a:ext uri="{FF2B5EF4-FFF2-40B4-BE49-F238E27FC236}">
              <a16:creationId xmlns:a16="http://schemas.microsoft.com/office/drawing/2014/main" id="{00000000-0008-0000-0300-000006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263" name="Line 151">
          <a:extLst>
            <a:ext uri="{FF2B5EF4-FFF2-40B4-BE49-F238E27FC236}">
              <a16:creationId xmlns:a16="http://schemas.microsoft.com/office/drawing/2014/main" id="{00000000-0008-0000-0300-000007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264" name="Line 132">
          <a:extLst>
            <a:ext uri="{FF2B5EF4-FFF2-40B4-BE49-F238E27FC236}">
              <a16:creationId xmlns:a16="http://schemas.microsoft.com/office/drawing/2014/main" id="{00000000-0008-0000-0300-000008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265" name="Line 151">
          <a:extLst>
            <a:ext uri="{FF2B5EF4-FFF2-40B4-BE49-F238E27FC236}">
              <a16:creationId xmlns:a16="http://schemas.microsoft.com/office/drawing/2014/main" id="{00000000-0008-0000-0300-000009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266" name="Line 132">
          <a:extLst>
            <a:ext uri="{FF2B5EF4-FFF2-40B4-BE49-F238E27FC236}">
              <a16:creationId xmlns:a16="http://schemas.microsoft.com/office/drawing/2014/main" id="{00000000-0008-0000-0300-00000A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267" name="Line 151">
          <a:extLst>
            <a:ext uri="{FF2B5EF4-FFF2-40B4-BE49-F238E27FC236}">
              <a16:creationId xmlns:a16="http://schemas.microsoft.com/office/drawing/2014/main" id="{00000000-0008-0000-0300-00000B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268" name="Line 132">
          <a:extLst>
            <a:ext uri="{FF2B5EF4-FFF2-40B4-BE49-F238E27FC236}">
              <a16:creationId xmlns:a16="http://schemas.microsoft.com/office/drawing/2014/main" id="{00000000-0008-0000-0300-00000C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269" name="Line 151">
          <a:extLst>
            <a:ext uri="{FF2B5EF4-FFF2-40B4-BE49-F238E27FC236}">
              <a16:creationId xmlns:a16="http://schemas.microsoft.com/office/drawing/2014/main" id="{00000000-0008-0000-0300-00000D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270" name="Line 132">
          <a:extLst>
            <a:ext uri="{FF2B5EF4-FFF2-40B4-BE49-F238E27FC236}">
              <a16:creationId xmlns:a16="http://schemas.microsoft.com/office/drawing/2014/main" id="{00000000-0008-0000-0300-00000E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271" name="Line 151">
          <a:extLst>
            <a:ext uri="{FF2B5EF4-FFF2-40B4-BE49-F238E27FC236}">
              <a16:creationId xmlns:a16="http://schemas.microsoft.com/office/drawing/2014/main" id="{00000000-0008-0000-0300-00000F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272" name="Line 132">
          <a:extLst>
            <a:ext uri="{FF2B5EF4-FFF2-40B4-BE49-F238E27FC236}">
              <a16:creationId xmlns:a16="http://schemas.microsoft.com/office/drawing/2014/main" id="{00000000-0008-0000-0300-000010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273" name="Line 151">
          <a:extLst>
            <a:ext uri="{FF2B5EF4-FFF2-40B4-BE49-F238E27FC236}">
              <a16:creationId xmlns:a16="http://schemas.microsoft.com/office/drawing/2014/main" id="{00000000-0008-0000-0300-000011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274" name="Line 132">
          <a:extLst>
            <a:ext uri="{FF2B5EF4-FFF2-40B4-BE49-F238E27FC236}">
              <a16:creationId xmlns:a16="http://schemas.microsoft.com/office/drawing/2014/main" id="{00000000-0008-0000-0300-000012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275" name="Line 151">
          <a:extLst>
            <a:ext uri="{FF2B5EF4-FFF2-40B4-BE49-F238E27FC236}">
              <a16:creationId xmlns:a16="http://schemas.microsoft.com/office/drawing/2014/main" id="{00000000-0008-0000-0300-000013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276" name="Line 766">
          <a:extLst>
            <a:ext uri="{FF2B5EF4-FFF2-40B4-BE49-F238E27FC236}">
              <a16:creationId xmlns:a16="http://schemas.microsoft.com/office/drawing/2014/main" id="{00000000-0008-0000-0300-000014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277" name="Line 1009">
          <a:extLst>
            <a:ext uri="{FF2B5EF4-FFF2-40B4-BE49-F238E27FC236}">
              <a16:creationId xmlns:a16="http://schemas.microsoft.com/office/drawing/2014/main" id="{00000000-0008-0000-0300-000015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278" name="Line 132">
          <a:extLst>
            <a:ext uri="{FF2B5EF4-FFF2-40B4-BE49-F238E27FC236}">
              <a16:creationId xmlns:a16="http://schemas.microsoft.com/office/drawing/2014/main" id="{00000000-0008-0000-0300-000016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279" name="Line 151">
          <a:extLst>
            <a:ext uri="{FF2B5EF4-FFF2-40B4-BE49-F238E27FC236}">
              <a16:creationId xmlns:a16="http://schemas.microsoft.com/office/drawing/2014/main" id="{00000000-0008-0000-0300-000017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280" name="Line 132">
          <a:extLst>
            <a:ext uri="{FF2B5EF4-FFF2-40B4-BE49-F238E27FC236}">
              <a16:creationId xmlns:a16="http://schemas.microsoft.com/office/drawing/2014/main" id="{00000000-0008-0000-0300-000018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281" name="Line 151">
          <a:extLst>
            <a:ext uri="{FF2B5EF4-FFF2-40B4-BE49-F238E27FC236}">
              <a16:creationId xmlns:a16="http://schemas.microsoft.com/office/drawing/2014/main" id="{00000000-0008-0000-0300-000019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282" name="Line 132">
          <a:extLst>
            <a:ext uri="{FF2B5EF4-FFF2-40B4-BE49-F238E27FC236}">
              <a16:creationId xmlns:a16="http://schemas.microsoft.com/office/drawing/2014/main" id="{00000000-0008-0000-0300-00001A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283" name="Line 151">
          <a:extLst>
            <a:ext uri="{FF2B5EF4-FFF2-40B4-BE49-F238E27FC236}">
              <a16:creationId xmlns:a16="http://schemas.microsoft.com/office/drawing/2014/main" id="{00000000-0008-0000-0300-00001B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284" name="Line 132">
          <a:extLst>
            <a:ext uri="{FF2B5EF4-FFF2-40B4-BE49-F238E27FC236}">
              <a16:creationId xmlns:a16="http://schemas.microsoft.com/office/drawing/2014/main" id="{00000000-0008-0000-0300-00001C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285" name="Line 151">
          <a:extLst>
            <a:ext uri="{FF2B5EF4-FFF2-40B4-BE49-F238E27FC236}">
              <a16:creationId xmlns:a16="http://schemas.microsoft.com/office/drawing/2014/main" id="{00000000-0008-0000-0300-00001D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286" name="Line 132">
          <a:extLst>
            <a:ext uri="{FF2B5EF4-FFF2-40B4-BE49-F238E27FC236}">
              <a16:creationId xmlns:a16="http://schemas.microsoft.com/office/drawing/2014/main" id="{00000000-0008-0000-0300-00001E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287" name="Line 151">
          <a:extLst>
            <a:ext uri="{FF2B5EF4-FFF2-40B4-BE49-F238E27FC236}">
              <a16:creationId xmlns:a16="http://schemas.microsoft.com/office/drawing/2014/main" id="{00000000-0008-0000-0300-00001F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288" name="Line 132">
          <a:extLst>
            <a:ext uri="{FF2B5EF4-FFF2-40B4-BE49-F238E27FC236}">
              <a16:creationId xmlns:a16="http://schemas.microsoft.com/office/drawing/2014/main" id="{00000000-0008-0000-0300-000020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289" name="Line 151">
          <a:extLst>
            <a:ext uri="{FF2B5EF4-FFF2-40B4-BE49-F238E27FC236}">
              <a16:creationId xmlns:a16="http://schemas.microsoft.com/office/drawing/2014/main" id="{00000000-0008-0000-0300-000021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290" name="Line 132">
          <a:extLst>
            <a:ext uri="{FF2B5EF4-FFF2-40B4-BE49-F238E27FC236}">
              <a16:creationId xmlns:a16="http://schemas.microsoft.com/office/drawing/2014/main" id="{00000000-0008-0000-0300-000022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291" name="Line 151">
          <a:extLst>
            <a:ext uri="{FF2B5EF4-FFF2-40B4-BE49-F238E27FC236}">
              <a16:creationId xmlns:a16="http://schemas.microsoft.com/office/drawing/2014/main" id="{00000000-0008-0000-0300-000023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292" name="Line 132">
          <a:extLst>
            <a:ext uri="{FF2B5EF4-FFF2-40B4-BE49-F238E27FC236}">
              <a16:creationId xmlns:a16="http://schemas.microsoft.com/office/drawing/2014/main" id="{00000000-0008-0000-0300-000024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293" name="Line 151">
          <a:extLst>
            <a:ext uri="{FF2B5EF4-FFF2-40B4-BE49-F238E27FC236}">
              <a16:creationId xmlns:a16="http://schemas.microsoft.com/office/drawing/2014/main" id="{00000000-0008-0000-0300-000025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294" name="Line 132">
          <a:extLst>
            <a:ext uri="{FF2B5EF4-FFF2-40B4-BE49-F238E27FC236}">
              <a16:creationId xmlns:a16="http://schemas.microsoft.com/office/drawing/2014/main" id="{00000000-0008-0000-0300-000026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295" name="Line 151">
          <a:extLst>
            <a:ext uri="{FF2B5EF4-FFF2-40B4-BE49-F238E27FC236}">
              <a16:creationId xmlns:a16="http://schemas.microsoft.com/office/drawing/2014/main" id="{00000000-0008-0000-0300-000027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296" name="Line 132">
          <a:extLst>
            <a:ext uri="{FF2B5EF4-FFF2-40B4-BE49-F238E27FC236}">
              <a16:creationId xmlns:a16="http://schemas.microsoft.com/office/drawing/2014/main" id="{00000000-0008-0000-0300-000028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297" name="Line 151">
          <a:extLst>
            <a:ext uri="{FF2B5EF4-FFF2-40B4-BE49-F238E27FC236}">
              <a16:creationId xmlns:a16="http://schemas.microsoft.com/office/drawing/2014/main" id="{00000000-0008-0000-0300-000029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298" name="Line 132">
          <a:extLst>
            <a:ext uri="{FF2B5EF4-FFF2-40B4-BE49-F238E27FC236}">
              <a16:creationId xmlns:a16="http://schemas.microsoft.com/office/drawing/2014/main" id="{00000000-0008-0000-0300-00002A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299" name="Line 151">
          <a:extLst>
            <a:ext uri="{FF2B5EF4-FFF2-40B4-BE49-F238E27FC236}">
              <a16:creationId xmlns:a16="http://schemas.microsoft.com/office/drawing/2014/main" id="{00000000-0008-0000-0300-00002B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0" name="Line 132">
          <a:extLst>
            <a:ext uri="{FF2B5EF4-FFF2-40B4-BE49-F238E27FC236}">
              <a16:creationId xmlns:a16="http://schemas.microsoft.com/office/drawing/2014/main" id="{00000000-0008-0000-0300-00002C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1" name="Line 151">
          <a:extLst>
            <a:ext uri="{FF2B5EF4-FFF2-40B4-BE49-F238E27FC236}">
              <a16:creationId xmlns:a16="http://schemas.microsoft.com/office/drawing/2014/main" id="{00000000-0008-0000-0300-00002D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2" name="Line 132">
          <a:extLst>
            <a:ext uri="{FF2B5EF4-FFF2-40B4-BE49-F238E27FC236}">
              <a16:creationId xmlns:a16="http://schemas.microsoft.com/office/drawing/2014/main" id="{00000000-0008-0000-0300-00002E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3" name="Line 151">
          <a:extLst>
            <a:ext uri="{FF2B5EF4-FFF2-40B4-BE49-F238E27FC236}">
              <a16:creationId xmlns:a16="http://schemas.microsoft.com/office/drawing/2014/main" id="{00000000-0008-0000-0300-00002F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4" name="Line 132">
          <a:extLst>
            <a:ext uri="{FF2B5EF4-FFF2-40B4-BE49-F238E27FC236}">
              <a16:creationId xmlns:a16="http://schemas.microsoft.com/office/drawing/2014/main" id="{00000000-0008-0000-0300-000030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5" name="Line 151">
          <a:extLst>
            <a:ext uri="{FF2B5EF4-FFF2-40B4-BE49-F238E27FC236}">
              <a16:creationId xmlns:a16="http://schemas.microsoft.com/office/drawing/2014/main" id="{00000000-0008-0000-0300-000031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6" name="Line 132">
          <a:extLst>
            <a:ext uri="{FF2B5EF4-FFF2-40B4-BE49-F238E27FC236}">
              <a16:creationId xmlns:a16="http://schemas.microsoft.com/office/drawing/2014/main" id="{00000000-0008-0000-0300-000032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7" name="Line 151">
          <a:extLst>
            <a:ext uri="{FF2B5EF4-FFF2-40B4-BE49-F238E27FC236}">
              <a16:creationId xmlns:a16="http://schemas.microsoft.com/office/drawing/2014/main" id="{00000000-0008-0000-0300-000033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308" name="Line 132">
          <a:extLst>
            <a:ext uri="{FF2B5EF4-FFF2-40B4-BE49-F238E27FC236}">
              <a16:creationId xmlns:a16="http://schemas.microsoft.com/office/drawing/2014/main" id="{00000000-0008-0000-0300-00003401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309" name="Line 151">
          <a:extLst>
            <a:ext uri="{FF2B5EF4-FFF2-40B4-BE49-F238E27FC236}">
              <a16:creationId xmlns:a16="http://schemas.microsoft.com/office/drawing/2014/main" id="{00000000-0008-0000-0300-00003501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310" name="Line 132">
          <a:extLst>
            <a:ext uri="{FF2B5EF4-FFF2-40B4-BE49-F238E27FC236}">
              <a16:creationId xmlns:a16="http://schemas.microsoft.com/office/drawing/2014/main" id="{00000000-0008-0000-0300-000036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311" name="Line 151">
          <a:extLst>
            <a:ext uri="{FF2B5EF4-FFF2-40B4-BE49-F238E27FC236}">
              <a16:creationId xmlns:a16="http://schemas.microsoft.com/office/drawing/2014/main" id="{00000000-0008-0000-0300-000037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312" name="Line 132">
          <a:extLst>
            <a:ext uri="{FF2B5EF4-FFF2-40B4-BE49-F238E27FC236}">
              <a16:creationId xmlns:a16="http://schemas.microsoft.com/office/drawing/2014/main" id="{00000000-0008-0000-0300-000038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313" name="Line 151">
          <a:extLst>
            <a:ext uri="{FF2B5EF4-FFF2-40B4-BE49-F238E27FC236}">
              <a16:creationId xmlns:a16="http://schemas.microsoft.com/office/drawing/2014/main" id="{00000000-0008-0000-0300-000039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314" name="Line 132">
          <a:extLst>
            <a:ext uri="{FF2B5EF4-FFF2-40B4-BE49-F238E27FC236}">
              <a16:creationId xmlns:a16="http://schemas.microsoft.com/office/drawing/2014/main" id="{00000000-0008-0000-0300-00003A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315" name="Line 151">
          <a:extLst>
            <a:ext uri="{FF2B5EF4-FFF2-40B4-BE49-F238E27FC236}">
              <a16:creationId xmlns:a16="http://schemas.microsoft.com/office/drawing/2014/main" id="{00000000-0008-0000-0300-00003B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316" name="Line 132">
          <a:extLst>
            <a:ext uri="{FF2B5EF4-FFF2-40B4-BE49-F238E27FC236}">
              <a16:creationId xmlns:a16="http://schemas.microsoft.com/office/drawing/2014/main" id="{00000000-0008-0000-0300-00003C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317" name="Line 151">
          <a:extLst>
            <a:ext uri="{FF2B5EF4-FFF2-40B4-BE49-F238E27FC236}">
              <a16:creationId xmlns:a16="http://schemas.microsoft.com/office/drawing/2014/main" id="{00000000-0008-0000-0300-00003D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318" name="Line 132">
          <a:extLst>
            <a:ext uri="{FF2B5EF4-FFF2-40B4-BE49-F238E27FC236}">
              <a16:creationId xmlns:a16="http://schemas.microsoft.com/office/drawing/2014/main" id="{00000000-0008-0000-0300-00003E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319" name="Line 151">
          <a:extLst>
            <a:ext uri="{FF2B5EF4-FFF2-40B4-BE49-F238E27FC236}">
              <a16:creationId xmlns:a16="http://schemas.microsoft.com/office/drawing/2014/main" id="{00000000-0008-0000-0300-00003F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320" name="Line 766">
          <a:extLst>
            <a:ext uri="{FF2B5EF4-FFF2-40B4-BE49-F238E27FC236}">
              <a16:creationId xmlns:a16="http://schemas.microsoft.com/office/drawing/2014/main" id="{00000000-0008-0000-0300-00004001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321" name="Line 1009">
          <a:extLst>
            <a:ext uri="{FF2B5EF4-FFF2-40B4-BE49-F238E27FC236}">
              <a16:creationId xmlns:a16="http://schemas.microsoft.com/office/drawing/2014/main" id="{00000000-0008-0000-0300-00004101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322" name="Line 132">
          <a:extLst>
            <a:ext uri="{FF2B5EF4-FFF2-40B4-BE49-F238E27FC236}">
              <a16:creationId xmlns:a16="http://schemas.microsoft.com/office/drawing/2014/main" id="{00000000-0008-0000-0300-00004201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323" name="Line 151">
          <a:extLst>
            <a:ext uri="{FF2B5EF4-FFF2-40B4-BE49-F238E27FC236}">
              <a16:creationId xmlns:a16="http://schemas.microsoft.com/office/drawing/2014/main" id="{00000000-0008-0000-0300-00004301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324" name="Line 132">
          <a:extLst>
            <a:ext uri="{FF2B5EF4-FFF2-40B4-BE49-F238E27FC236}">
              <a16:creationId xmlns:a16="http://schemas.microsoft.com/office/drawing/2014/main" id="{00000000-0008-0000-0300-00004401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325" name="Line 151">
          <a:extLst>
            <a:ext uri="{FF2B5EF4-FFF2-40B4-BE49-F238E27FC236}">
              <a16:creationId xmlns:a16="http://schemas.microsoft.com/office/drawing/2014/main" id="{00000000-0008-0000-0300-00004501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26" name="Line 132">
          <a:extLst>
            <a:ext uri="{FF2B5EF4-FFF2-40B4-BE49-F238E27FC236}">
              <a16:creationId xmlns:a16="http://schemas.microsoft.com/office/drawing/2014/main" id="{00000000-0008-0000-0300-000046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27" name="Line 151">
          <a:extLst>
            <a:ext uri="{FF2B5EF4-FFF2-40B4-BE49-F238E27FC236}">
              <a16:creationId xmlns:a16="http://schemas.microsoft.com/office/drawing/2014/main" id="{00000000-0008-0000-0300-000047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328" name="Line 132">
          <a:extLst>
            <a:ext uri="{FF2B5EF4-FFF2-40B4-BE49-F238E27FC236}">
              <a16:creationId xmlns:a16="http://schemas.microsoft.com/office/drawing/2014/main" id="{00000000-0008-0000-0300-00004801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329" name="Line 151">
          <a:extLst>
            <a:ext uri="{FF2B5EF4-FFF2-40B4-BE49-F238E27FC236}">
              <a16:creationId xmlns:a16="http://schemas.microsoft.com/office/drawing/2014/main" id="{00000000-0008-0000-0300-00004901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330" name="Line 132">
          <a:extLst>
            <a:ext uri="{FF2B5EF4-FFF2-40B4-BE49-F238E27FC236}">
              <a16:creationId xmlns:a16="http://schemas.microsoft.com/office/drawing/2014/main" id="{00000000-0008-0000-0300-00004A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331" name="Line 151">
          <a:extLst>
            <a:ext uri="{FF2B5EF4-FFF2-40B4-BE49-F238E27FC236}">
              <a16:creationId xmlns:a16="http://schemas.microsoft.com/office/drawing/2014/main" id="{00000000-0008-0000-0300-00004B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332" name="Line 132">
          <a:extLst>
            <a:ext uri="{FF2B5EF4-FFF2-40B4-BE49-F238E27FC236}">
              <a16:creationId xmlns:a16="http://schemas.microsoft.com/office/drawing/2014/main" id="{00000000-0008-0000-0300-00004C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333" name="Line 151">
          <a:extLst>
            <a:ext uri="{FF2B5EF4-FFF2-40B4-BE49-F238E27FC236}">
              <a16:creationId xmlns:a16="http://schemas.microsoft.com/office/drawing/2014/main" id="{00000000-0008-0000-0300-00004D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334" name="Line 132">
          <a:extLst>
            <a:ext uri="{FF2B5EF4-FFF2-40B4-BE49-F238E27FC236}">
              <a16:creationId xmlns:a16="http://schemas.microsoft.com/office/drawing/2014/main" id="{00000000-0008-0000-0300-00004E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335" name="Line 151">
          <a:extLst>
            <a:ext uri="{FF2B5EF4-FFF2-40B4-BE49-F238E27FC236}">
              <a16:creationId xmlns:a16="http://schemas.microsoft.com/office/drawing/2014/main" id="{00000000-0008-0000-0300-00004F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336" name="Line 132">
          <a:extLst>
            <a:ext uri="{FF2B5EF4-FFF2-40B4-BE49-F238E27FC236}">
              <a16:creationId xmlns:a16="http://schemas.microsoft.com/office/drawing/2014/main" id="{00000000-0008-0000-0300-000050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337" name="Line 151">
          <a:extLst>
            <a:ext uri="{FF2B5EF4-FFF2-40B4-BE49-F238E27FC236}">
              <a16:creationId xmlns:a16="http://schemas.microsoft.com/office/drawing/2014/main" id="{00000000-0008-0000-0300-000051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338" name="Line 132">
          <a:extLst>
            <a:ext uri="{FF2B5EF4-FFF2-40B4-BE49-F238E27FC236}">
              <a16:creationId xmlns:a16="http://schemas.microsoft.com/office/drawing/2014/main" id="{00000000-0008-0000-0300-000052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339" name="Line 151">
          <a:extLst>
            <a:ext uri="{FF2B5EF4-FFF2-40B4-BE49-F238E27FC236}">
              <a16:creationId xmlns:a16="http://schemas.microsoft.com/office/drawing/2014/main" id="{00000000-0008-0000-0300-000053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340" name="Line 132">
          <a:extLst>
            <a:ext uri="{FF2B5EF4-FFF2-40B4-BE49-F238E27FC236}">
              <a16:creationId xmlns:a16="http://schemas.microsoft.com/office/drawing/2014/main" id="{00000000-0008-0000-0300-000054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341" name="Line 151">
          <a:extLst>
            <a:ext uri="{FF2B5EF4-FFF2-40B4-BE49-F238E27FC236}">
              <a16:creationId xmlns:a16="http://schemas.microsoft.com/office/drawing/2014/main" id="{00000000-0008-0000-0300-000055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342" name="Line 132">
          <a:extLst>
            <a:ext uri="{FF2B5EF4-FFF2-40B4-BE49-F238E27FC236}">
              <a16:creationId xmlns:a16="http://schemas.microsoft.com/office/drawing/2014/main" id="{00000000-0008-0000-0300-000056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343" name="Line 151">
          <a:extLst>
            <a:ext uri="{FF2B5EF4-FFF2-40B4-BE49-F238E27FC236}">
              <a16:creationId xmlns:a16="http://schemas.microsoft.com/office/drawing/2014/main" id="{00000000-0008-0000-0300-000057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344" name="Line 132">
          <a:extLst>
            <a:ext uri="{FF2B5EF4-FFF2-40B4-BE49-F238E27FC236}">
              <a16:creationId xmlns:a16="http://schemas.microsoft.com/office/drawing/2014/main" id="{00000000-0008-0000-0300-000058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345" name="Line 151">
          <a:extLst>
            <a:ext uri="{FF2B5EF4-FFF2-40B4-BE49-F238E27FC236}">
              <a16:creationId xmlns:a16="http://schemas.microsoft.com/office/drawing/2014/main" id="{00000000-0008-0000-0300-000059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346" name="Line 132">
          <a:extLst>
            <a:ext uri="{FF2B5EF4-FFF2-40B4-BE49-F238E27FC236}">
              <a16:creationId xmlns:a16="http://schemas.microsoft.com/office/drawing/2014/main" id="{00000000-0008-0000-0300-00005A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347" name="Line 151">
          <a:extLst>
            <a:ext uri="{FF2B5EF4-FFF2-40B4-BE49-F238E27FC236}">
              <a16:creationId xmlns:a16="http://schemas.microsoft.com/office/drawing/2014/main" id="{00000000-0008-0000-0300-00005B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48" name="Line 132">
          <a:extLst>
            <a:ext uri="{FF2B5EF4-FFF2-40B4-BE49-F238E27FC236}">
              <a16:creationId xmlns:a16="http://schemas.microsoft.com/office/drawing/2014/main" id="{00000000-0008-0000-0300-00005C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49" name="Line 151">
          <a:extLst>
            <a:ext uri="{FF2B5EF4-FFF2-40B4-BE49-F238E27FC236}">
              <a16:creationId xmlns:a16="http://schemas.microsoft.com/office/drawing/2014/main" id="{00000000-0008-0000-0300-00005D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350" name="Line 132">
          <a:extLst>
            <a:ext uri="{FF2B5EF4-FFF2-40B4-BE49-F238E27FC236}">
              <a16:creationId xmlns:a16="http://schemas.microsoft.com/office/drawing/2014/main" id="{00000000-0008-0000-0300-00005E01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351" name="Line 151">
          <a:extLst>
            <a:ext uri="{FF2B5EF4-FFF2-40B4-BE49-F238E27FC236}">
              <a16:creationId xmlns:a16="http://schemas.microsoft.com/office/drawing/2014/main" id="{00000000-0008-0000-0300-00005F01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352" name="Line 132">
          <a:extLst>
            <a:ext uri="{FF2B5EF4-FFF2-40B4-BE49-F238E27FC236}">
              <a16:creationId xmlns:a16="http://schemas.microsoft.com/office/drawing/2014/main" id="{00000000-0008-0000-0300-000060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353" name="Line 151">
          <a:extLst>
            <a:ext uri="{FF2B5EF4-FFF2-40B4-BE49-F238E27FC236}">
              <a16:creationId xmlns:a16="http://schemas.microsoft.com/office/drawing/2014/main" id="{00000000-0008-0000-0300-000061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354" name="Line 132">
          <a:extLst>
            <a:ext uri="{FF2B5EF4-FFF2-40B4-BE49-F238E27FC236}">
              <a16:creationId xmlns:a16="http://schemas.microsoft.com/office/drawing/2014/main" id="{00000000-0008-0000-0300-000062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355" name="Line 151">
          <a:extLst>
            <a:ext uri="{FF2B5EF4-FFF2-40B4-BE49-F238E27FC236}">
              <a16:creationId xmlns:a16="http://schemas.microsoft.com/office/drawing/2014/main" id="{00000000-0008-0000-0300-000063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356" name="Line 132">
          <a:extLst>
            <a:ext uri="{FF2B5EF4-FFF2-40B4-BE49-F238E27FC236}">
              <a16:creationId xmlns:a16="http://schemas.microsoft.com/office/drawing/2014/main" id="{00000000-0008-0000-0300-000064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357" name="Line 151">
          <a:extLst>
            <a:ext uri="{FF2B5EF4-FFF2-40B4-BE49-F238E27FC236}">
              <a16:creationId xmlns:a16="http://schemas.microsoft.com/office/drawing/2014/main" id="{00000000-0008-0000-0300-000065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358" name="Line 132">
          <a:extLst>
            <a:ext uri="{FF2B5EF4-FFF2-40B4-BE49-F238E27FC236}">
              <a16:creationId xmlns:a16="http://schemas.microsoft.com/office/drawing/2014/main" id="{00000000-0008-0000-0300-000066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359" name="Line 151">
          <a:extLst>
            <a:ext uri="{FF2B5EF4-FFF2-40B4-BE49-F238E27FC236}">
              <a16:creationId xmlns:a16="http://schemas.microsoft.com/office/drawing/2014/main" id="{00000000-0008-0000-0300-000067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360" name="Line 132">
          <a:extLst>
            <a:ext uri="{FF2B5EF4-FFF2-40B4-BE49-F238E27FC236}">
              <a16:creationId xmlns:a16="http://schemas.microsoft.com/office/drawing/2014/main" id="{00000000-0008-0000-0300-000068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361" name="Line 151">
          <a:extLst>
            <a:ext uri="{FF2B5EF4-FFF2-40B4-BE49-F238E27FC236}">
              <a16:creationId xmlns:a16="http://schemas.microsoft.com/office/drawing/2014/main" id="{00000000-0008-0000-0300-000069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362" name="Line 766">
          <a:extLst>
            <a:ext uri="{FF2B5EF4-FFF2-40B4-BE49-F238E27FC236}">
              <a16:creationId xmlns:a16="http://schemas.microsoft.com/office/drawing/2014/main" id="{00000000-0008-0000-0300-00006A01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363" name="Line 1009">
          <a:extLst>
            <a:ext uri="{FF2B5EF4-FFF2-40B4-BE49-F238E27FC236}">
              <a16:creationId xmlns:a16="http://schemas.microsoft.com/office/drawing/2014/main" id="{00000000-0008-0000-0300-00006B01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364" name="Line 132">
          <a:extLst>
            <a:ext uri="{FF2B5EF4-FFF2-40B4-BE49-F238E27FC236}">
              <a16:creationId xmlns:a16="http://schemas.microsoft.com/office/drawing/2014/main" id="{00000000-0008-0000-0300-00006C01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365" name="Line 151">
          <a:extLst>
            <a:ext uri="{FF2B5EF4-FFF2-40B4-BE49-F238E27FC236}">
              <a16:creationId xmlns:a16="http://schemas.microsoft.com/office/drawing/2014/main" id="{00000000-0008-0000-0300-00006D01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366" name="Line 132">
          <a:extLst>
            <a:ext uri="{FF2B5EF4-FFF2-40B4-BE49-F238E27FC236}">
              <a16:creationId xmlns:a16="http://schemas.microsoft.com/office/drawing/2014/main" id="{00000000-0008-0000-0300-00006E01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367" name="Line 151">
          <a:extLst>
            <a:ext uri="{FF2B5EF4-FFF2-40B4-BE49-F238E27FC236}">
              <a16:creationId xmlns:a16="http://schemas.microsoft.com/office/drawing/2014/main" id="{00000000-0008-0000-0300-00006F01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68" name="Line 132">
          <a:extLst>
            <a:ext uri="{FF2B5EF4-FFF2-40B4-BE49-F238E27FC236}">
              <a16:creationId xmlns:a16="http://schemas.microsoft.com/office/drawing/2014/main" id="{00000000-0008-0000-0300-000070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69" name="Line 151">
          <a:extLst>
            <a:ext uri="{FF2B5EF4-FFF2-40B4-BE49-F238E27FC236}">
              <a16:creationId xmlns:a16="http://schemas.microsoft.com/office/drawing/2014/main" id="{00000000-0008-0000-0300-000071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370" name="Line 132">
          <a:extLst>
            <a:ext uri="{FF2B5EF4-FFF2-40B4-BE49-F238E27FC236}">
              <a16:creationId xmlns:a16="http://schemas.microsoft.com/office/drawing/2014/main" id="{00000000-0008-0000-0300-00007201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371" name="Line 151">
          <a:extLst>
            <a:ext uri="{FF2B5EF4-FFF2-40B4-BE49-F238E27FC236}">
              <a16:creationId xmlns:a16="http://schemas.microsoft.com/office/drawing/2014/main" id="{00000000-0008-0000-0300-00007301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372" name="Line 132">
          <a:extLst>
            <a:ext uri="{FF2B5EF4-FFF2-40B4-BE49-F238E27FC236}">
              <a16:creationId xmlns:a16="http://schemas.microsoft.com/office/drawing/2014/main" id="{00000000-0008-0000-0300-000074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373" name="Line 151">
          <a:extLst>
            <a:ext uri="{FF2B5EF4-FFF2-40B4-BE49-F238E27FC236}">
              <a16:creationId xmlns:a16="http://schemas.microsoft.com/office/drawing/2014/main" id="{00000000-0008-0000-0300-000075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374" name="Line 132">
          <a:extLst>
            <a:ext uri="{FF2B5EF4-FFF2-40B4-BE49-F238E27FC236}">
              <a16:creationId xmlns:a16="http://schemas.microsoft.com/office/drawing/2014/main" id="{00000000-0008-0000-0300-000076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375" name="Line 151">
          <a:extLst>
            <a:ext uri="{FF2B5EF4-FFF2-40B4-BE49-F238E27FC236}">
              <a16:creationId xmlns:a16="http://schemas.microsoft.com/office/drawing/2014/main" id="{00000000-0008-0000-0300-000077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376" name="Line 132">
          <a:extLst>
            <a:ext uri="{FF2B5EF4-FFF2-40B4-BE49-F238E27FC236}">
              <a16:creationId xmlns:a16="http://schemas.microsoft.com/office/drawing/2014/main" id="{00000000-0008-0000-0300-000078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377" name="Line 151">
          <a:extLst>
            <a:ext uri="{FF2B5EF4-FFF2-40B4-BE49-F238E27FC236}">
              <a16:creationId xmlns:a16="http://schemas.microsoft.com/office/drawing/2014/main" id="{00000000-0008-0000-0300-000079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378" name="Line 132">
          <a:extLst>
            <a:ext uri="{FF2B5EF4-FFF2-40B4-BE49-F238E27FC236}">
              <a16:creationId xmlns:a16="http://schemas.microsoft.com/office/drawing/2014/main" id="{00000000-0008-0000-0300-00007A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379" name="Line 151">
          <a:extLst>
            <a:ext uri="{FF2B5EF4-FFF2-40B4-BE49-F238E27FC236}">
              <a16:creationId xmlns:a16="http://schemas.microsoft.com/office/drawing/2014/main" id="{00000000-0008-0000-0300-00007B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380" name="Line 132">
          <a:extLst>
            <a:ext uri="{FF2B5EF4-FFF2-40B4-BE49-F238E27FC236}">
              <a16:creationId xmlns:a16="http://schemas.microsoft.com/office/drawing/2014/main" id="{00000000-0008-0000-0300-00007C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381" name="Line 151">
          <a:extLst>
            <a:ext uri="{FF2B5EF4-FFF2-40B4-BE49-F238E27FC236}">
              <a16:creationId xmlns:a16="http://schemas.microsoft.com/office/drawing/2014/main" id="{00000000-0008-0000-0300-00007D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382" name="Line 132">
          <a:extLst>
            <a:ext uri="{FF2B5EF4-FFF2-40B4-BE49-F238E27FC236}">
              <a16:creationId xmlns:a16="http://schemas.microsoft.com/office/drawing/2014/main" id="{00000000-0008-0000-0300-00007E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383" name="Line 151">
          <a:extLst>
            <a:ext uri="{FF2B5EF4-FFF2-40B4-BE49-F238E27FC236}">
              <a16:creationId xmlns:a16="http://schemas.microsoft.com/office/drawing/2014/main" id="{00000000-0008-0000-0300-00007F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384" name="Line 132">
          <a:extLst>
            <a:ext uri="{FF2B5EF4-FFF2-40B4-BE49-F238E27FC236}">
              <a16:creationId xmlns:a16="http://schemas.microsoft.com/office/drawing/2014/main" id="{00000000-0008-0000-0300-000080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385" name="Line 151">
          <a:extLst>
            <a:ext uri="{FF2B5EF4-FFF2-40B4-BE49-F238E27FC236}">
              <a16:creationId xmlns:a16="http://schemas.microsoft.com/office/drawing/2014/main" id="{00000000-0008-0000-0300-000081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386" name="Line 132">
          <a:extLst>
            <a:ext uri="{FF2B5EF4-FFF2-40B4-BE49-F238E27FC236}">
              <a16:creationId xmlns:a16="http://schemas.microsoft.com/office/drawing/2014/main" id="{00000000-0008-0000-0300-000082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387" name="Line 151">
          <a:extLst>
            <a:ext uri="{FF2B5EF4-FFF2-40B4-BE49-F238E27FC236}">
              <a16:creationId xmlns:a16="http://schemas.microsoft.com/office/drawing/2014/main" id="{00000000-0008-0000-0300-000083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388" name="Line 132">
          <a:extLst>
            <a:ext uri="{FF2B5EF4-FFF2-40B4-BE49-F238E27FC236}">
              <a16:creationId xmlns:a16="http://schemas.microsoft.com/office/drawing/2014/main" id="{00000000-0008-0000-0300-000084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389" name="Line 151">
          <a:extLst>
            <a:ext uri="{FF2B5EF4-FFF2-40B4-BE49-F238E27FC236}">
              <a16:creationId xmlns:a16="http://schemas.microsoft.com/office/drawing/2014/main" id="{00000000-0008-0000-0300-000085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90" name="Line 766">
          <a:extLst>
            <a:ext uri="{FF2B5EF4-FFF2-40B4-BE49-F238E27FC236}">
              <a16:creationId xmlns:a16="http://schemas.microsoft.com/office/drawing/2014/main" id="{00000000-0008-0000-0300-000086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91" name="Line 1009">
          <a:extLst>
            <a:ext uri="{FF2B5EF4-FFF2-40B4-BE49-F238E27FC236}">
              <a16:creationId xmlns:a16="http://schemas.microsoft.com/office/drawing/2014/main" id="{00000000-0008-0000-0300-000087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92" name="Line 132">
          <a:extLst>
            <a:ext uri="{FF2B5EF4-FFF2-40B4-BE49-F238E27FC236}">
              <a16:creationId xmlns:a16="http://schemas.microsoft.com/office/drawing/2014/main" id="{00000000-0008-0000-0300-000088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93" name="Line 151">
          <a:extLst>
            <a:ext uri="{FF2B5EF4-FFF2-40B4-BE49-F238E27FC236}">
              <a16:creationId xmlns:a16="http://schemas.microsoft.com/office/drawing/2014/main" id="{00000000-0008-0000-0300-000089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394" name="Line 132">
          <a:extLst>
            <a:ext uri="{FF2B5EF4-FFF2-40B4-BE49-F238E27FC236}">
              <a16:creationId xmlns:a16="http://schemas.microsoft.com/office/drawing/2014/main" id="{00000000-0008-0000-0300-00008A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395" name="Line 151">
          <a:extLst>
            <a:ext uri="{FF2B5EF4-FFF2-40B4-BE49-F238E27FC236}">
              <a16:creationId xmlns:a16="http://schemas.microsoft.com/office/drawing/2014/main" id="{00000000-0008-0000-0300-00008B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396" name="Line 132">
          <a:extLst>
            <a:ext uri="{FF2B5EF4-FFF2-40B4-BE49-F238E27FC236}">
              <a16:creationId xmlns:a16="http://schemas.microsoft.com/office/drawing/2014/main" id="{00000000-0008-0000-0300-00008C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397" name="Line 151">
          <a:extLst>
            <a:ext uri="{FF2B5EF4-FFF2-40B4-BE49-F238E27FC236}">
              <a16:creationId xmlns:a16="http://schemas.microsoft.com/office/drawing/2014/main" id="{00000000-0008-0000-0300-00008D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398" name="Line 132">
          <a:extLst>
            <a:ext uri="{FF2B5EF4-FFF2-40B4-BE49-F238E27FC236}">
              <a16:creationId xmlns:a16="http://schemas.microsoft.com/office/drawing/2014/main" id="{00000000-0008-0000-0300-00008E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399" name="Line 151">
          <a:extLst>
            <a:ext uri="{FF2B5EF4-FFF2-40B4-BE49-F238E27FC236}">
              <a16:creationId xmlns:a16="http://schemas.microsoft.com/office/drawing/2014/main" id="{00000000-0008-0000-0300-00008F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400" name="Line 132">
          <a:extLst>
            <a:ext uri="{FF2B5EF4-FFF2-40B4-BE49-F238E27FC236}">
              <a16:creationId xmlns:a16="http://schemas.microsoft.com/office/drawing/2014/main" id="{00000000-0008-0000-0300-000090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401" name="Line 151">
          <a:extLst>
            <a:ext uri="{FF2B5EF4-FFF2-40B4-BE49-F238E27FC236}">
              <a16:creationId xmlns:a16="http://schemas.microsoft.com/office/drawing/2014/main" id="{00000000-0008-0000-0300-000091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402" name="Line 132">
          <a:extLst>
            <a:ext uri="{FF2B5EF4-FFF2-40B4-BE49-F238E27FC236}">
              <a16:creationId xmlns:a16="http://schemas.microsoft.com/office/drawing/2014/main" id="{00000000-0008-0000-0300-000092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403" name="Line 151">
          <a:extLst>
            <a:ext uri="{FF2B5EF4-FFF2-40B4-BE49-F238E27FC236}">
              <a16:creationId xmlns:a16="http://schemas.microsoft.com/office/drawing/2014/main" id="{00000000-0008-0000-0300-000093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404" name="Line 132">
          <a:extLst>
            <a:ext uri="{FF2B5EF4-FFF2-40B4-BE49-F238E27FC236}">
              <a16:creationId xmlns:a16="http://schemas.microsoft.com/office/drawing/2014/main" id="{00000000-0008-0000-0300-000094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405" name="Line 151">
          <a:extLst>
            <a:ext uri="{FF2B5EF4-FFF2-40B4-BE49-F238E27FC236}">
              <a16:creationId xmlns:a16="http://schemas.microsoft.com/office/drawing/2014/main" id="{00000000-0008-0000-0300-000095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406" name="Line 132">
          <a:extLst>
            <a:ext uri="{FF2B5EF4-FFF2-40B4-BE49-F238E27FC236}">
              <a16:creationId xmlns:a16="http://schemas.microsoft.com/office/drawing/2014/main" id="{00000000-0008-0000-0300-000096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407" name="Line 151">
          <a:extLst>
            <a:ext uri="{FF2B5EF4-FFF2-40B4-BE49-F238E27FC236}">
              <a16:creationId xmlns:a16="http://schemas.microsoft.com/office/drawing/2014/main" id="{00000000-0008-0000-0300-000097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408" name="Line 132">
          <a:extLst>
            <a:ext uri="{FF2B5EF4-FFF2-40B4-BE49-F238E27FC236}">
              <a16:creationId xmlns:a16="http://schemas.microsoft.com/office/drawing/2014/main" id="{00000000-0008-0000-0300-000098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409" name="Line 151">
          <a:extLst>
            <a:ext uri="{FF2B5EF4-FFF2-40B4-BE49-F238E27FC236}">
              <a16:creationId xmlns:a16="http://schemas.microsoft.com/office/drawing/2014/main" id="{00000000-0008-0000-0300-000099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410" name="Line 132">
          <a:extLst>
            <a:ext uri="{FF2B5EF4-FFF2-40B4-BE49-F238E27FC236}">
              <a16:creationId xmlns:a16="http://schemas.microsoft.com/office/drawing/2014/main" id="{00000000-0008-0000-0300-00009A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411" name="Line 151">
          <a:extLst>
            <a:ext uri="{FF2B5EF4-FFF2-40B4-BE49-F238E27FC236}">
              <a16:creationId xmlns:a16="http://schemas.microsoft.com/office/drawing/2014/main" id="{00000000-0008-0000-0300-00009B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412" name="Line 132">
          <a:extLst>
            <a:ext uri="{FF2B5EF4-FFF2-40B4-BE49-F238E27FC236}">
              <a16:creationId xmlns:a16="http://schemas.microsoft.com/office/drawing/2014/main" id="{00000000-0008-0000-0300-00009C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413" name="Line 151">
          <a:extLst>
            <a:ext uri="{FF2B5EF4-FFF2-40B4-BE49-F238E27FC236}">
              <a16:creationId xmlns:a16="http://schemas.microsoft.com/office/drawing/2014/main" id="{00000000-0008-0000-0300-00009D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414" name="Line 132">
          <a:extLst>
            <a:ext uri="{FF2B5EF4-FFF2-40B4-BE49-F238E27FC236}">
              <a16:creationId xmlns:a16="http://schemas.microsoft.com/office/drawing/2014/main" id="{00000000-0008-0000-0300-00009E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415" name="Line 151">
          <a:extLst>
            <a:ext uri="{FF2B5EF4-FFF2-40B4-BE49-F238E27FC236}">
              <a16:creationId xmlns:a16="http://schemas.microsoft.com/office/drawing/2014/main" id="{00000000-0008-0000-0300-00009F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416" name="Line 132">
          <a:extLst>
            <a:ext uri="{FF2B5EF4-FFF2-40B4-BE49-F238E27FC236}">
              <a16:creationId xmlns:a16="http://schemas.microsoft.com/office/drawing/2014/main" id="{00000000-0008-0000-0300-0000A001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417" name="Line 151">
          <a:extLst>
            <a:ext uri="{FF2B5EF4-FFF2-40B4-BE49-F238E27FC236}">
              <a16:creationId xmlns:a16="http://schemas.microsoft.com/office/drawing/2014/main" id="{00000000-0008-0000-0300-0000A101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418" name="Line 132">
          <a:extLst>
            <a:ext uri="{FF2B5EF4-FFF2-40B4-BE49-F238E27FC236}">
              <a16:creationId xmlns:a16="http://schemas.microsoft.com/office/drawing/2014/main" id="{00000000-0008-0000-0300-0000A2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419" name="Line 151">
          <a:extLst>
            <a:ext uri="{FF2B5EF4-FFF2-40B4-BE49-F238E27FC236}">
              <a16:creationId xmlns:a16="http://schemas.microsoft.com/office/drawing/2014/main" id="{00000000-0008-0000-0300-0000A3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420" name="Line 132">
          <a:extLst>
            <a:ext uri="{FF2B5EF4-FFF2-40B4-BE49-F238E27FC236}">
              <a16:creationId xmlns:a16="http://schemas.microsoft.com/office/drawing/2014/main" id="{00000000-0008-0000-0300-0000A4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421" name="Line 151">
          <a:extLst>
            <a:ext uri="{FF2B5EF4-FFF2-40B4-BE49-F238E27FC236}">
              <a16:creationId xmlns:a16="http://schemas.microsoft.com/office/drawing/2014/main" id="{00000000-0008-0000-0300-0000A5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422" name="Line 132">
          <a:extLst>
            <a:ext uri="{FF2B5EF4-FFF2-40B4-BE49-F238E27FC236}">
              <a16:creationId xmlns:a16="http://schemas.microsoft.com/office/drawing/2014/main" id="{00000000-0008-0000-0300-0000A6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423" name="Line 151">
          <a:extLst>
            <a:ext uri="{FF2B5EF4-FFF2-40B4-BE49-F238E27FC236}">
              <a16:creationId xmlns:a16="http://schemas.microsoft.com/office/drawing/2014/main" id="{00000000-0008-0000-0300-0000A7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424" name="Line 132">
          <a:extLst>
            <a:ext uri="{FF2B5EF4-FFF2-40B4-BE49-F238E27FC236}">
              <a16:creationId xmlns:a16="http://schemas.microsoft.com/office/drawing/2014/main" id="{00000000-0008-0000-0300-0000A8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425" name="Line 151">
          <a:extLst>
            <a:ext uri="{FF2B5EF4-FFF2-40B4-BE49-F238E27FC236}">
              <a16:creationId xmlns:a16="http://schemas.microsoft.com/office/drawing/2014/main" id="{00000000-0008-0000-0300-0000A9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426" name="Line 132">
          <a:extLst>
            <a:ext uri="{FF2B5EF4-FFF2-40B4-BE49-F238E27FC236}">
              <a16:creationId xmlns:a16="http://schemas.microsoft.com/office/drawing/2014/main" id="{00000000-0008-0000-0300-0000AA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427" name="Line 151">
          <a:extLst>
            <a:ext uri="{FF2B5EF4-FFF2-40B4-BE49-F238E27FC236}">
              <a16:creationId xmlns:a16="http://schemas.microsoft.com/office/drawing/2014/main" id="{00000000-0008-0000-0300-0000AB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428" name="Line 766">
          <a:extLst>
            <a:ext uri="{FF2B5EF4-FFF2-40B4-BE49-F238E27FC236}">
              <a16:creationId xmlns:a16="http://schemas.microsoft.com/office/drawing/2014/main" id="{00000000-0008-0000-0300-0000AC01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429" name="Line 1009">
          <a:extLst>
            <a:ext uri="{FF2B5EF4-FFF2-40B4-BE49-F238E27FC236}">
              <a16:creationId xmlns:a16="http://schemas.microsoft.com/office/drawing/2014/main" id="{00000000-0008-0000-0300-0000AD01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430" name="Line 132">
          <a:extLst>
            <a:ext uri="{FF2B5EF4-FFF2-40B4-BE49-F238E27FC236}">
              <a16:creationId xmlns:a16="http://schemas.microsoft.com/office/drawing/2014/main" id="{00000000-0008-0000-0300-0000AE01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431" name="Line 151">
          <a:extLst>
            <a:ext uri="{FF2B5EF4-FFF2-40B4-BE49-F238E27FC236}">
              <a16:creationId xmlns:a16="http://schemas.microsoft.com/office/drawing/2014/main" id="{00000000-0008-0000-0300-0000AF01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432" name="Line 132">
          <a:extLst>
            <a:ext uri="{FF2B5EF4-FFF2-40B4-BE49-F238E27FC236}">
              <a16:creationId xmlns:a16="http://schemas.microsoft.com/office/drawing/2014/main" id="{00000000-0008-0000-0300-0000B001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433" name="Line 151">
          <a:extLst>
            <a:ext uri="{FF2B5EF4-FFF2-40B4-BE49-F238E27FC236}">
              <a16:creationId xmlns:a16="http://schemas.microsoft.com/office/drawing/2014/main" id="{00000000-0008-0000-0300-0000B101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434" name="Line 132">
          <a:extLst>
            <a:ext uri="{FF2B5EF4-FFF2-40B4-BE49-F238E27FC236}">
              <a16:creationId xmlns:a16="http://schemas.microsoft.com/office/drawing/2014/main" id="{00000000-0008-0000-0300-0000B2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435" name="Line 151">
          <a:extLst>
            <a:ext uri="{FF2B5EF4-FFF2-40B4-BE49-F238E27FC236}">
              <a16:creationId xmlns:a16="http://schemas.microsoft.com/office/drawing/2014/main" id="{00000000-0008-0000-0300-0000B3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436" name="Line 132">
          <a:extLst>
            <a:ext uri="{FF2B5EF4-FFF2-40B4-BE49-F238E27FC236}">
              <a16:creationId xmlns:a16="http://schemas.microsoft.com/office/drawing/2014/main" id="{00000000-0008-0000-0300-0000B401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437" name="Line 151">
          <a:extLst>
            <a:ext uri="{FF2B5EF4-FFF2-40B4-BE49-F238E27FC236}">
              <a16:creationId xmlns:a16="http://schemas.microsoft.com/office/drawing/2014/main" id="{00000000-0008-0000-0300-0000B501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438" name="Line 132">
          <a:extLst>
            <a:ext uri="{FF2B5EF4-FFF2-40B4-BE49-F238E27FC236}">
              <a16:creationId xmlns:a16="http://schemas.microsoft.com/office/drawing/2014/main" id="{00000000-0008-0000-0300-0000B6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439" name="Line 151">
          <a:extLst>
            <a:ext uri="{FF2B5EF4-FFF2-40B4-BE49-F238E27FC236}">
              <a16:creationId xmlns:a16="http://schemas.microsoft.com/office/drawing/2014/main" id="{00000000-0008-0000-0300-0000B7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440" name="Line 132">
          <a:extLst>
            <a:ext uri="{FF2B5EF4-FFF2-40B4-BE49-F238E27FC236}">
              <a16:creationId xmlns:a16="http://schemas.microsoft.com/office/drawing/2014/main" id="{00000000-0008-0000-0300-0000B8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441" name="Line 151">
          <a:extLst>
            <a:ext uri="{FF2B5EF4-FFF2-40B4-BE49-F238E27FC236}">
              <a16:creationId xmlns:a16="http://schemas.microsoft.com/office/drawing/2014/main" id="{00000000-0008-0000-0300-0000B9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442" name="Line 132">
          <a:extLst>
            <a:ext uri="{FF2B5EF4-FFF2-40B4-BE49-F238E27FC236}">
              <a16:creationId xmlns:a16="http://schemas.microsoft.com/office/drawing/2014/main" id="{00000000-0008-0000-0300-0000BA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443" name="Line 151">
          <a:extLst>
            <a:ext uri="{FF2B5EF4-FFF2-40B4-BE49-F238E27FC236}">
              <a16:creationId xmlns:a16="http://schemas.microsoft.com/office/drawing/2014/main" id="{00000000-0008-0000-0300-0000BB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444" name="Line 132">
          <a:extLst>
            <a:ext uri="{FF2B5EF4-FFF2-40B4-BE49-F238E27FC236}">
              <a16:creationId xmlns:a16="http://schemas.microsoft.com/office/drawing/2014/main" id="{00000000-0008-0000-0300-0000BC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445" name="Line 151">
          <a:extLst>
            <a:ext uri="{FF2B5EF4-FFF2-40B4-BE49-F238E27FC236}">
              <a16:creationId xmlns:a16="http://schemas.microsoft.com/office/drawing/2014/main" id="{00000000-0008-0000-0300-0000BD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446" name="Line 132">
          <a:extLst>
            <a:ext uri="{FF2B5EF4-FFF2-40B4-BE49-F238E27FC236}">
              <a16:creationId xmlns:a16="http://schemas.microsoft.com/office/drawing/2014/main" id="{00000000-0008-0000-0300-0000BE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447" name="Line 151">
          <a:extLst>
            <a:ext uri="{FF2B5EF4-FFF2-40B4-BE49-F238E27FC236}">
              <a16:creationId xmlns:a16="http://schemas.microsoft.com/office/drawing/2014/main" id="{00000000-0008-0000-0300-0000BF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448" name="Line 132">
          <a:extLst>
            <a:ext uri="{FF2B5EF4-FFF2-40B4-BE49-F238E27FC236}">
              <a16:creationId xmlns:a16="http://schemas.microsoft.com/office/drawing/2014/main" id="{00000000-0008-0000-0300-0000C0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449" name="Line 151">
          <a:extLst>
            <a:ext uri="{FF2B5EF4-FFF2-40B4-BE49-F238E27FC236}">
              <a16:creationId xmlns:a16="http://schemas.microsoft.com/office/drawing/2014/main" id="{00000000-0008-0000-0300-0000C1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450" name="Line 132">
          <a:extLst>
            <a:ext uri="{FF2B5EF4-FFF2-40B4-BE49-F238E27FC236}">
              <a16:creationId xmlns:a16="http://schemas.microsoft.com/office/drawing/2014/main" id="{00000000-0008-0000-0300-0000C2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451" name="Line 151">
          <a:extLst>
            <a:ext uri="{FF2B5EF4-FFF2-40B4-BE49-F238E27FC236}">
              <a16:creationId xmlns:a16="http://schemas.microsoft.com/office/drawing/2014/main" id="{00000000-0008-0000-0300-0000C3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452" name="Line 132">
          <a:extLst>
            <a:ext uri="{FF2B5EF4-FFF2-40B4-BE49-F238E27FC236}">
              <a16:creationId xmlns:a16="http://schemas.microsoft.com/office/drawing/2014/main" id="{00000000-0008-0000-0300-0000C4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453" name="Line 151">
          <a:extLst>
            <a:ext uri="{FF2B5EF4-FFF2-40B4-BE49-F238E27FC236}">
              <a16:creationId xmlns:a16="http://schemas.microsoft.com/office/drawing/2014/main" id="{00000000-0008-0000-0300-0000C5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454" name="Line 132">
          <a:extLst>
            <a:ext uri="{FF2B5EF4-FFF2-40B4-BE49-F238E27FC236}">
              <a16:creationId xmlns:a16="http://schemas.microsoft.com/office/drawing/2014/main" id="{00000000-0008-0000-0300-0000C6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455" name="Line 151">
          <a:extLst>
            <a:ext uri="{FF2B5EF4-FFF2-40B4-BE49-F238E27FC236}">
              <a16:creationId xmlns:a16="http://schemas.microsoft.com/office/drawing/2014/main" id="{00000000-0008-0000-0300-0000C7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456" name="Line 766">
          <a:extLst>
            <a:ext uri="{FF2B5EF4-FFF2-40B4-BE49-F238E27FC236}">
              <a16:creationId xmlns:a16="http://schemas.microsoft.com/office/drawing/2014/main" id="{00000000-0008-0000-0300-0000C8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457" name="Line 1009">
          <a:extLst>
            <a:ext uri="{FF2B5EF4-FFF2-40B4-BE49-F238E27FC236}">
              <a16:creationId xmlns:a16="http://schemas.microsoft.com/office/drawing/2014/main" id="{00000000-0008-0000-0300-0000C9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458" name="Line 132">
          <a:extLst>
            <a:ext uri="{FF2B5EF4-FFF2-40B4-BE49-F238E27FC236}">
              <a16:creationId xmlns:a16="http://schemas.microsoft.com/office/drawing/2014/main" id="{00000000-0008-0000-0300-0000CA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459" name="Line 151">
          <a:extLst>
            <a:ext uri="{FF2B5EF4-FFF2-40B4-BE49-F238E27FC236}">
              <a16:creationId xmlns:a16="http://schemas.microsoft.com/office/drawing/2014/main" id="{00000000-0008-0000-0300-0000CB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460" name="Line 132">
          <a:extLst>
            <a:ext uri="{FF2B5EF4-FFF2-40B4-BE49-F238E27FC236}">
              <a16:creationId xmlns:a16="http://schemas.microsoft.com/office/drawing/2014/main" id="{00000000-0008-0000-0300-0000CC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461" name="Line 151">
          <a:extLst>
            <a:ext uri="{FF2B5EF4-FFF2-40B4-BE49-F238E27FC236}">
              <a16:creationId xmlns:a16="http://schemas.microsoft.com/office/drawing/2014/main" id="{00000000-0008-0000-0300-0000CD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462" name="Line 132">
          <a:extLst>
            <a:ext uri="{FF2B5EF4-FFF2-40B4-BE49-F238E27FC236}">
              <a16:creationId xmlns:a16="http://schemas.microsoft.com/office/drawing/2014/main" id="{00000000-0008-0000-0300-0000CE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463" name="Line 151">
          <a:extLst>
            <a:ext uri="{FF2B5EF4-FFF2-40B4-BE49-F238E27FC236}">
              <a16:creationId xmlns:a16="http://schemas.microsoft.com/office/drawing/2014/main" id="{00000000-0008-0000-0300-0000CF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464" name="Line 132">
          <a:extLst>
            <a:ext uri="{FF2B5EF4-FFF2-40B4-BE49-F238E27FC236}">
              <a16:creationId xmlns:a16="http://schemas.microsoft.com/office/drawing/2014/main" id="{00000000-0008-0000-0300-0000D0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465" name="Line 151">
          <a:extLst>
            <a:ext uri="{FF2B5EF4-FFF2-40B4-BE49-F238E27FC236}">
              <a16:creationId xmlns:a16="http://schemas.microsoft.com/office/drawing/2014/main" id="{00000000-0008-0000-0300-0000D1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466" name="Line 132">
          <a:extLst>
            <a:ext uri="{FF2B5EF4-FFF2-40B4-BE49-F238E27FC236}">
              <a16:creationId xmlns:a16="http://schemas.microsoft.com/office/drawing/2014/main" id="{00000000-0008-0000-0300-0000D2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467" name="Line 151">
          <a:extLst>
            <a:ext uri="{FF2B5EF4-FFF2-40B4-BE49-F238E27FC236}">
              <a16:creationId xmlns:a16="http://schemas.microsoft.com/office/drawing/2014/main" id="{00000000-0008-0000-0300-0000D3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468" name="Line 132">
          <a:extLst>
            <a:ext uri="{FF2B5EF4-FFF2-40B4-BE49-F238E27FC236}">
              <a16:creationId xmlns:a16="http://schemas.microsoft.com/office/drawing/2014/main" id="{00000000-0008-0000-0300-0000D4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469" name="Line 151">
          <a:extLst>
            <a:ext uri="{FF2B5EF4-FFF2-40B4-BE49-F238E27FC236}">
              <a16:creationId xmlns:a16="http://schemas.microsoft.com/office/drawing/2014/main" id="{00000000-0008-0000-0300-0000D5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470" name="Line 132">
          <a:extLst>
            <a:ext uri="{FF2B5EF4-FFF2-40B4-BE49-F238E27FC236}">
              <a16:creationId xmlns:a16="http://schemas.microsoft.com/office/drawing/2014/main" id="{00000000-0008-0000-0300-0000D6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471" name="Line 151">
          <a:extLst>
            <a:ext uri="{FF2B5EF4-FFF2-40B4-BE49-F238E27FC236}">
              <a16:creationId xmlns:a16="http://schemas.microsoft.com/office/drawing/2014/main" id="{00000000-0008-0000-0300-0000D7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472" name="Line 132">
          <a:extLst>
            <a:ext uri="{FF2B5EF4-FFF2-40B4-BE49-F238E27FC236}">
              <a16:creationId xmlns:a16="http://schemas.microsoft.com/office/drawing/2014/main" id="{00000000-0008-0000-0300-0000D8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473" name="Line 151">
          <a:extLst>
            <a:ext uri="{FF2B5EF4-FFF2-40B4-BE49-F238E27FC236}">
              <a16:creationId xmlns:a16="http://schemas.microsoft.com/office/drawing/2014/main" id="{00000000-0008-0000-0300-0000D9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474" name="Line 132">
          <a:extLst>
            <a:ext uri="{FF2B5EF4-FFF2-40B4-BE49-F238E27FC236}">
              <a16:creationId xmlns:a16="http://schemas.microsoft.com/office/drawing/2014/main" id="{00000000-0008-0000-0300-0000DA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475" name="Line 151">
          <a:extLst>
            <a:ext uri="{FF2B5EF4-FFF2-40B4-BE49-F238E27FC236}">
              <a16:creationId xmlns:a16="http://schemas.microsoft.com/office/drawing/2014/main" id="{00000000-0008-0000-0300-0000DB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476" name="Line 132">
          <a:extLst>
            <a:ext uri="{FF2B5EF4-FFF2-40B4-BE49-F238E27FC236}">
              <a16:creationId xmlns:a16="http://schemas.microsoft.com/office/drawing/2014/main" id="{00000000-0008-0000-0300-0000DC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477" name="Line 151">
          <a:extLst>
            <a:ext uri="{FF2B5EF4-FFF2-40B4-BE49-F238E27FC236}">
              <a16:creationId xmlns:a16="http://schemas.microsoft.com/office/drawing/2014/main" id="{00000000-0008-0000-0300-0000DD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478" name="Line 132">
          <a:extLst>
            <a:ext uri="{FF2B5EF4-FFF2-40B4-BE49-F238E27FC236}">
              <a16:creationId xmlns:a16="http://schemas.microsoft.com/office/drawing/2014/main" id="{00000000-0008-0000-0300-0000DE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479" name="Line 151">
          <a:extLst>
            <a:ext uri="{FF2B5EF4-FFF2-40B4-BE49-F238E27FC236}">
              <a16:creationId xmlns:a16="http://schemas.microsoft.com/office/drawing/2014/main" id="{00000000-0008-0000-0300-0000DF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480" name="Line 132">
          <a:extLst>
            <a:ext uri="{FF2B5EF4-FFF2-40B4-BE49-F238E27FC236}">
              <a16:creationId xmlns:a16="http://schemas.microsoft.com/office/drawing/2014/main" id="{00000000-0008-0000-0300-0000E0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481" name="Line 151">
          <a:extLst>
            <a:ext uri="{FF2B5EF4-FFF2-40B4-BE49-F238E27FC236}">
              <a16:creationId xmlns:a16="http://schemas.microsoft.com/office/drawing/2014/main" id="{00000000-0008-0000-0300-0000E1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482" name="Line 132">
          <a:extLst>
            <a:ext uri="{FF2B5EF4-FFF2-40B4-BE49-F238E27FC236}">
              <a16:creationId xmlns:a16="http://schemas.microsoft.com/office/drawing/2014/main" id="{00000000-0008-0000-0300-0000E2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483" name="Line 151">
          <a:extLst>
            <a:ext uri="{FF2B5EF4-FFF2-40B4-BE49-F238E27FC236}">
              <a16:creationId xmlns:a16="http://schemas.microsoft.com/office/drawing/2014/main" id="{00000000-0008-0000-0300-0000E3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484" name="Line 132">
          <a:extLst>
            <a:ext uri="{FF2B5EF4-FFF2-40B4-BE49-F238E27FC236}">
              <a16:creationId xmlns:a16="http://schemas.microsoft.com/office/drawing/2014/main" id="{00000000-0008-0000-0300-0000E4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485" name="Line 151">
          <a:extLst>
            <a:ext uri="{FF2B5EF4-FFF2-40B4-BE49-F238E27FC236}">
              <a16:creationId xmlns:a16="http://schemas.microsoft.com/office/drawing/2014/main" id="{00000000-0008-0000-0300-0000E5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486" name="Line 132">
          <a:extLst>
            <a:ext uri="{FF2B5EF4-FFF2-40B4-BE49-F238E27FC236}">
              <a16:creationId xmlns:a16="http://schemas.microsoft.com/office/drawing/2014/main" id="{00000000-0008-0000-0300-0000E6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487" name="Line 151">
          <a:extLst>
            <a:ext uri="{FF2B5EF4-FFF2-40B4-BE49-F238E27FC236}">
              <a16:creationId xmlns:a16="http://schemas.microsoft.com/office/drawing/2014/main" id="{00000000-0008-0000-0300-0000E7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488" name="Line 132">
          <a:extLst>
            <a:ext uri="{FF2B5EF4-FFF2-40B4-BE49-F238E27FC236}">
              <a16:creationId xmlns:a16="http://schemas.microsoft.com/office/drawing/2014/main" id="{00000000-0008-0000-0300-0000E8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489" name="Line 151">
          <a:extLst>
            <a:ext uri="{FF2B5EF4-FFF2-40B4-BE49-F238E27FC236}">
              <a16:creationId xmlns:a16="http://schemas.microsoft.com/office/drawing/2014/main" id="{00000000-0008-0000-0300-0000E9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490" name="Line 132">
          <a:extLst>
            <a:ext uri="{FF2B5EF4-FFF2-40B4-BE49-F238E27FC236}">
              <a16:creationId xmlns:a16="http://schemas.microsoft.com/office/drawing/2014/main" id="{00000000-0008-0000-0300-0000EA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491" name="Line 151">
          <a:extLst>
            <a:ext uri="{FF2B5EF4-FFF2-40B4-BE49-F238E27FC236}">
              <a16:creationId xmlns:a16="http://schemas.microsoft.com/office/drawing/2014/main" id="{00000000-0008-0000-0300-0000EB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492" name="Line 132">
          <a:extLst>
            <a:ext uri="{FF2B5EF4-FFF2-40B4-BE49-F238E27FC236}">
              <a16:creationId xmlns:a16="http://schemas.microsoft.com/office/drawing/2014/main" id="{00000000-0008-0000-0300-0000EC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493" name="Line 151">
          <a:extLst>
            <a:ext uri="{FF2B5EF4-FFF2-40B4-BE49-F238E27FC236}">
              <a16:creationId xmlns:a16="http://schemas.microsoft.com/office/drawing/2014/main" id="{00000000-0008-0000-0300-0000ED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494" name="Line 132">
          <a:extLst>
            <a:ext uri="{FF2B5EF4-FFF2-40B4-BE49-F238E27FC236}">
              <a16:creationId xmlns:a16="http://schemas.microsoft.com/office/drawing/2014/main" id="{00000000-0008-0000-0300-0000EE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495" name="Line 151">
          <a:extLst>
            <a:ext uri="{FF2B5EF4-FFF2-40B4-BE49-F238E27FC236}">
              <a16:creationId xmlns:a16="http://schemas.microsoft.com/office/drawing/2014/main" id="{00000000-0008-0000-0300-0000EF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496" name="Line 132">
          <a:extLst>
            <a:ext uri="{FF2B5EF4-FFF2-40B4-BE49-F238E27FC236}">
              <a16:creationId xmlns:a16="http://schemas.microsoft.com/office/drawing/2014/main" id="{00000000-0008-0000-0300-0000F0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497" name="Line 151">
          <a:extLst>
            <a:ext uri="{FF2B5EF4-FFF2-40B4-BE49-F238E27FC236}">
              <a16:creationId xmlns:a16="http://schemas.microsoft.com/office/drawing/2014/main" id="{00000000-0008-0000-0300-0000F1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498" name="Line 132">
          <a:extLst>
            <a:ext uri="{FF2B5EF4-FFF2-40B4-BE49-F238E27FC236}">
              <a16:creationId xmlns:a16="http://schemas.microsoft.com/office/drawing/2014/main" id="{00000000-0008-0000-0300-0000F2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499" name="Line 151">
          <a:extLst>
            <a:ext uri="{FF2B5EF4-FFF2-40B4-BE49-F238E27FC236}">
              <a16:creationId xmlns:a16="http://schemas.microsoft.com/office/drawing/2014/main" id="{00000000-0008-0000-0300-0000F301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500" name="Line 132">
          <a:extLst>
            <a:ext uri="{FF2B5EF4-FFF2-40B4-BE49-F238E27FC236}">
              <a16:creationId xmlns:a16="http://schemas.microsoft.com/office/drawing/2014/main" id="{00000000-0008-0000-0300-0000F4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501" name="Line 151">
          <a:extLst>
            <a:ext uri="{FF2B5EF4-FFF2-40B4-BE49-F238E27FC236}">
              <a16:creationId xmlns:a16="http://schemas.microsoft.com/office/drawing/2014/main" id="{00000000-0008-0000-0300-0000F501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502" name="Line 132">
          <a:extLst>
            <a:ext uri="{FF2B5EF4-FFF2-40B4-BE49-F238E27FC236}">
              <a16:creationId xmlns:a16="http://schemas.microsoft.com/office/drawing/2014/main" id="{00000000-0008-0000-0300-0000F601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503" name="Line 151">
          <a:extLst>
            <a:ext uri="{FF2B5EF4-FFF2-40B4-BE49-F238E27FC236}">
              <a16:creationId xmlns:a16="http://schemas.microsoft.com/office/drawing/2014/main" id="{00000000-0008-0000-0300-0000F701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504" name="Line 132">
          <a:extLst>
            <a:ext uri="{FF2B5EF4-FFF2-40B4-BE49-F238E27FC236}">
              <a16:creationId xmlns:a16="http://schemas.microsoft.com/office/drawing/2014/main" id="{00000000-0008-0000-0300-0000F8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505" name="Line 151">
          <a:extLst>
            <a:ext uri="{FF2B5EF4-FFF2-40B4-BE49-F238E27FC236}">
              <a16:creationId xmlns:a16="http://schemas.microsoft.com/office/drawing/2014/main" id="{00000000-0008-0000-0300-0000F901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506" name="Line 132">
          <a:extLst>
            <a:ext uri="{FF2B5EF4-FFF2-40B4-BE49-F238E27FC236}">
              <a16:creationId xmlns:a16="http://schemas.microsoft.com/office/drawing/2014/main" id="{00000000-0008-0000-0300-0000FA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507" name="Line 151">
          <a:extLst>
            <a:ext uri="{FF2B5EF4-FFF2-40B4-BE49-F238E27FC236}">
              <a16:creationId xmlns:a16="http://schemas.microsoft.com/office/drawing/2014/main" id="{00000000-0008-0000-0300-0000FB01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508" name="Line 132">
          <a:extLst>
            <a:ext uri="{FF2B5EF4-FFF2-40B4-BE49-F238E27FC236}">
              <a16:creationId xmlns:a16="http://schemas.microsoft.com/office/drawing/2014/main" id="{00000000-0008-0000-0300-0000FC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509" name="Line 151">
          <a:extLst>
            <a:ext uri="{FF2B5EF4-FFF2-40B4-BE49-F238E27FC236}">
              <a16:creationId xmlns:a16="http://schemas.microsoft.com/office/drawing/2014/main" id="{00000000-0008-0000-0300-0000FD01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510" name="Line 132">
          <a:extLst>
            <a:ext uri="{FF2B5EF4-FFF2-40B4-BE49-F238E27FC236}">
              <a16:creationId xmlns:a16="http://schemas.microsoft.com/office/drawing/2014/main" id="{00000000-0008-0000-0300-0000FE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511" name="Line 151">
          <a:extLst>
            <a:ext uri="{FF2B5EF4-FFF2-40B4-BE49-F238E27FC236}">
              <a16:creationId xmlns:a16="http://schemas.microsoft.com/office/drawing/2014/main" id="{00000000-0008-0000-0300-0000FF01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512" name="Line 132">
          <a:extLst>
            <a:ext uri="{FF2B5EF4-FFF2-40B4-BE49-F238E27FC236}">
              <a16:creationId xmlns:a16="http://schemas.microsoft.com/office/drawing/2014/main" id="{00000000-0008-0000-0300-000000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513" name="Line 151">
          <a:extLst>
            <a:ext uri="{FF2B5EF4-FFF2-40B4-BE49-F238E27FC236}">
              <a16:creationId xmlns:a16="http://schemas.microsoft.com/office/drawing/2014/main" id="{00000000-0008-0000-0300-000001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514" name="Line 766">
          <a:extLst>
            <a:ext uri="{FF2B5EF4-FFF2-40B4-BE49-F238E27FC236}">
              <a16:creationId xmlns:a16="http://schemas.microsoft.com/office/drawing/2014/main" id="{00000000-0008-0000-0300-00000202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515" name="Line 1009">
          <a:extLst>
            <a:ext uri="{FF2B5EF4-FFF2-40B4-BE49-F238E27FC236}">
              <a16:creationId xmlns:a16="http://schemas.microsoft.com/office/drawing/2014/main" id="{00000000-0008-0000-0300-00000302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516" name="Line 132">
          <a:extLst>
            <a:ext uri="{FF2B5EF4-FFF2-40B4-BE49-F238E27FC236}">
              <a16:creationId xmlns:a16="http://schemas.microsoft.com/office/drawing/2014/main" id="{00000000-0008-0000-0300-00000402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517" name="Line 151">
          <a:extLst>
            <a:ext uri="{FF2B5EF4-FFF2-40B4-BE49-F238E27FC236}">
              <a16:creationId xmlns:a16="http://schemas.microsoft.com/office/drawing/2014/main" id="{00000000-0008-0000-0300-00000502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518" name="Line 132">
          <a:extLst>
            <a:ext uri="{FF2B5EF4-FFF2-40B4-BE49-F238E27FC236}">
              <a16:creationId xmlns:a16="http://schemas.microsoft.com/office/drawing/2014/main" id="{00000000-0008-0000-0300-00000602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519" name="Line 151">
          <a:extLst>
            <a:ext uri="{FF2B5EF4-FFF2-40B4-BE49-F238E27FC236}">
              <a16:creationId xmlns:a16="http://schemas.microsoft.com/office/drawing/2014/main" id="{00000000-0008-0000-0300-00000702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520" name="Line 132">
          <a:extLst>
            <a:ext uri="{FF2B5EF4-FFF2-40B4-BE49-F238E27FC236}">
              <a16:creationId xmlns:a16="http://schemas.microsoft.com/office/drawing/2014/main" id="{00000000-0008-0000-0300-00000802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521" name="Line 151">
          <a:extLst>
            <a:ext uri="{FF2B5EF4-FFF2-40B4-BE49-F238E27FC236}">
              <a16:creationId xmlns:a16="http://schemas.microsoft.com/office/drawing/2014/main" id="{00000000-0008-0000-0300-00000902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522" name="Line 132">
          <a:extLst>
            <a:ext uri="{FF2B5EF4-FFF2-40B4-BE49-F238E27FC236}">
              <a16:creationId xmlns:a16="http://schemas.microsoft.com/office/drawing/2014/main" id="{00000000-0008-0000-0300-00000A02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523" name="Line 151">
          <a:extLst>
            <a:ext uri="{FF2B5EF4-FFF2-40B4-BE49-F238E27FC236}">
              <a16:creationId xmlns:a16="http://schemas.microsoft.com/office/drawing/2014/main" id="{00000000-0008-0000-0300-00000B02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524" name="Line 132">
          <a:extLst>
            <a:ext uri="{FF2B5EF4-FFF2-40B4-BE49-F238E27FC236}">
              <a16:creationId xmlns:a16="http://schemas.microsoft.com/office/drawing/2014/main" id="{00000000-0008-0000-0300-00000C02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525" name="Line 151">
          <a:extLst>
            <a:ext uri="{FF2B5EF4-FFF2-40B4-BE49-F238E27FC236}">
              <a16:creationId xmlns:a16="http://schemas.microsoft.com/office/drawing/2014/main" id="{00000000-0008-0000-0300-00000D02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526" name="Line 132">
          <a:extLst>
            <a:ext uri="{FF2B5EF4-FFF2-40B4-BE49-F238E27FC236}">
              <a16:creationId xmlns:a16="http://schemas.microsoft.com/office/drawing/2014/main" id="{00000000-0008-0000-0300-00000E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527" name="Line 151">
          <a:extLst>
            <a:ext uri="{FF2B5EF4-FFF2-40B4-BE49-F238E27FC236}">
              <a16:creationId xmlns:a16="http://schemas.microsoft.com/office/drawing/2014/main" id="{00000000-0008-0000-0300-00000F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528" name="Line 132">
          <a:extLst>
            <a:ext uri="{FF2B5EF4-FFF2-40B4-BE49-F238E27FC236}">
              <a16:creationId xmlns:a16="http://schemas.microsoft.com/office/drawing/2014/main" id="{00000000-0008-0000-0300-000010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529" name="Line 151">
          <a:extLst>
            <a:ext uri="{FF2B5EF4-FFF2-40B4-BE49-F238E27FC236}">
              <a16:creationId xmlns:a16="http://schemas.microsoft.com/office/drawing/2014/main" id="{00000000-0008-0000-0300-000011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530" name="Line 132">
          <a:extLst>
            <a:ext uri="{FF2B5EF4-FFF2-40B4-BE49-F238E27FC236}">
              <a16:creationId xmlns:a16="http://schemas.microsoft.com/office/drawing/2014/main" id="{00000000-0008-0000-0300-000012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531" name="Line 151">
          <a:extLst>
            <a:ext uri="{FF2B5EF4-FFF2-40B4-BE49-F238E27FC236}">
              <a16:creationId xmlns:a16="http://schemas.microsoft.com/office/drawing/2014/main" id="{00000000-0008-0000-0300-000013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532" name="Line 132">
          <a:extLst>
            <a:ext uri="{FF2B5EF4-FFF2-40B4-BE49-F238E27FC236}">
              <a16:creationId xmlns:a16="http://schemas.microsoft.com/office/drawing/2014/main" id="{00000000-0008-0000-0300-000014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533" name="Line 151">
          <a:extLst>
            <a:ext uri="{FF2B5EF4-FFF2-40B4-BE49-F238E27FC236}">
              <a16:creationId xmlns:a16="http://schemas.microsoft.com/office/drawing/2014/main" id="{00000000-0008-0000-0300-000015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534" name="Line 132">
          <a:extLst>
            <a:ext uri="{FF2B5EF4-FFF2-40B4-BE49-F238E27FC236}">
              <a16:creationId xmlns:a16="http://schemas.microsoft.com/office/drawing/2014/main" id="{00000000-0008-0000-0300-000016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535" name="Line 151">
          <a:extLst>
            <a:ext uri="{FF2B5EF4-FFF2-40B4-BE49-F238E27FC236}">
              <a16:creationId xmlns:a16="http://schemas.microsoft.com/office/drawing/2014/main" id="{00000000-0008-0000-0300-000017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536" name="Line 132">
          <a:extLst>
            <a:ext uri="{FF2B5EF4-FFF2-40B4-BE49-F238E27FC236}">
              <a16:creationId xmlns:a16="http://schemas.microsoft.com/office/drawing/2014/main" id="{00000000-0008-0000-0300-000018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537" name="Line 151">
          <a:extLst>
            <a:ext uri="{FF2B5EF4-FFF2-40B4-BE49-F238E27FC236}">
              <a16:creationId xmlns:a16="http://schemas.microsoft.com/office/drawing/2014/main" id="{00000000-0008-0000-0300-000019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538" name="Line 132">
          <a:extLst>
            <a:ext uri="{FF2B5EF4-FFF2-40B4-BE49-F238E27FC236}">
              <a16:creationId xmlns:a16="http://schemas.microsoft.com/office/drawing/2014/main" id="{00000000-0008-0000-0300-00001A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539" name="Line 151">
          <a:extLst>
            <a:ext uri="{FF2B5EF4-FFF2-40B4-BE49-F238E27FC236}">
              <a16:creationId xmlns:a16="http://schemas.microsoft.com/office/drawing/2014/main" id="{00000000-0008-0000-0300-00001B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540" name="Line 132">
          <a:extLst>
            <a:ext uri="{FF2B5EF4-FFF2-40B4-BE49-F238E27FC236}">
              <a16:creationId xmlns:a16="http://schemas.microsoft.com/office/drawing/2014/main" id="{00000000-0008-0000-0300-00001C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541" name="Line 151">
          <a:extLst>
            <a:ext uri="{FF2B5EF4-FFF2-40B4-BE49-F238E27FC236}">
              <a16:creationId xmlns:a16="http://schemas.microsoft.com/office/drawing/2014/main" id="{00000000-0008-0000-0300-00001D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542" name="Line 766">
          <a:extLst>
            <a:ext uri="{FF2B5EF4-FFF2-40B4-BE49-F238E27FC236}">
              <a16:creationId xmlns:a16="http://schemas.microsoft.com/office/drawing/2014/main" id="{00000000-0008-0000-0300-00001E02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543" name="Line 1009">
          <a:extLst>
            <a:ext uri="{FF2B5EF4-FFF2-40B4-BE49-F238E27FC236}">
              <a16:creationId xmlns:a16="http://schemas.microsoft.com/office/drawing/2014/main" id="{00000000-0008-0000-0300-00001F02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544" name="Line 132">
          <a:extLst>
            <a:ext uri="{FF2B5EF4-FFF2-40B4-BE49-F238E27FC236}">
              <a16:creationId xmlns:a16="http://schemas.microsoft.com/office/drawing/2014/main" id="{00000000-0008-0000-0300-00002002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545" name="Line 151">
          <a:extLst>
            <a:ext uri="{FF2B5EF4-FFF2-40B4-BE49-F238E27FC236}">
              <a16:creationId xmlns:a16="http://schemas.microsoft.com/office/drawing/2014/main" id="{00000000-0008-0000-0300-00002102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546" name="Line 132">
          <a:extLst>
            <a:ext uri="{FF2B5EF4-FFF2-40B4-BE49-F238E27FC236}">
              <a16:creationId xmlns:a16="http://schemas.microsoft.com/office/drawing/2014/main" id="{00000000-0008-0000-0300-00002202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547" name="Line 151">
          <a:extLst>
            <a:ext uri="{FF2B5EF4-FFF2-40B4-BE49-F238E27FC236}">
              <a16:creationId xmlns:a16="http://schemas.microsoft.com/office/drawing/2014/main" id="{00000000-0008-0000-0300-00002302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548" name="Line 132">
          <a:extLst>
            <a:ext uri="{FF2B5EF4-FFF2-40B4-BE49-F238E27FC236}">
              <a16:creationId xmlns:a16="http://schemas.microsoft.com/office/drawing/2014/main" id="{00000000-0008-0000-0300-00002402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549" name="Line 151">
          <a:extLst>
            <a:ext uri="{FF2B5EF4-FFF2-40B4-BE49-F238E27FC236}">
              <a16:creationId xmlns:a16="http://schemas.microsoft.com/office/drawing/2014/main" id="{00000000-0008-0000-0300-00002502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550" name="Line 132">
          <a:extLst>
            <a:ext uri="{FF2B5EF4-FFF2-40B4-BE49-F238E27FC236}">
              <a16:creationId xmlns:a16="http://schemas.microsoft.com/office/drawing/2014/main" id="{00000000-0008-0000-0300-000026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551" name="Line 151">
          <a:extLst>
            <a:ext uri="{FF2B5EF4-FFF2-40B4-BE49-F238E27FC236}">
              <a16:creationId xmlns:a16="http://schemas.microsoft.com/office/drawing/2014/main" id="{00000000-0008-0000-0300-000027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552" name="Line 132">
          <a:extLst>
            <a:ext uri="{FF2B5EF4-FFF2-40B4-BE49-F238E27FC236}">
              <a16:creationId xmlns:a16="http://schemas.microsoft.com/office/drawing/2014/main" id="{00000000-0008-0000-0300-000028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553" name="Line 151">
          <a:extLst>
            <a:ext uri="{FF2B5EF4-FFF2-40B4-BE49-F238E27FC236}">
              <a16:creationId xmlns:a16="http://schemas.microsoft.com/office/drawing/2014/main" id="{00000000-0008-0000-0300-000029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554" name="Line 132">
          <a:extLst>
            <a:ext uri="{FF2B5EF4-FFF2-40B4-BE49-F238E27FC236}">
              <a16:creationId xmlns:a16="http://schemas.microsoft.com/office/drawing/2014/main" id="{00000000-0008-0000-0300-00002A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555" name="Line 151">
          <a:extLst>
            <a:ext uri="{FF2B5EF4-FFF2-40B4-BE49-F238E27FC236}">
              <a16:creationId xmlns:a16="http://schemas.microsoft.com/office/drawing/2014/main" id="{00000000-0008-0000-0300-00002B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556" name="Line 132">
          <a:extLst>
            <a:ext uri="{FF2B5EF4-FFF2-40B4-BE49-F238E27FC236}">
              <a16:creationId xmlns:a16="http://schemas.microsoft.com/office/drawing/2014/main" id="{00000000-0008-0000-0300-00002C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557" name="Line 151">
          <a:extLst>
            <a:ext uri="{FF2B5EF4-FFF2-40B4-BE49-F238E27FC236}">
              <a16:creationId xmlns:a16="http://schemas.microsoft.com/office/drawing/2014/main" id="{00000000-0008-0000-0300-00002D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558" name="Line 132">
          <a:extLst>
            <a:ext uri="{FF2B5EF4-FFF2-40B4-BE49-F238E27FC236}">
              <a16:creationId xmlns:a16="http://schemas.microsoft.com/office/drawing/2014/main" id="{00000000-0008-0000-0300-00002E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559" name="Line 151">
          <a:extLst>
            <a:ext uri="{FF2B5EF4-FFF2-40B4-BE49-F238E27FC236}">
              <a16:creationId xmlns:a16="http://schemas.microsoft.com/office/drawing/2014/main" id="{00000000-0008-0000-0300-00002F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560" name="Line 132">
          <a:extLst>
            <a:ext uri="{FF2B5EF4-FFF2-40B4-BE49-F238E27FC236}">
              <a16:creationId xmlns:a16="http://schemas.microsoft.com/office/drawing/2014/main" id="{00000000-0008-0000-0300-000030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561" name="Line 151">
          <a:extLst>
            <a:ext uri="{FF2B5EF4-FFF2-40B4-BE49-F238E27FC236}">
              <a16:creationId xmlns:a16="http://schemas.microsoft.com/office/drawing/2014/main" id="{00000000-0008-0000-0300-000031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562" name="Line 132">
          <a:extLst>
            <a:ext uri="{FF2B5EF4-FFF2-40B4-BE49-F238E27FC236}">
              <a16:creationId xmlns:a16="http://schemas.microsoft.com/office/drawing/2014/main" id="{00000000-0008-0000-0300-000032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563" name="Line 151">
          <a:extLst>
            <a:ext uri="{FF2B5EF4-FFF2-40B4-BE49-F238E27FC236}">
              <a16:creationId xmlns:a16="http://schemas.microsoft.com/office/drawing/2014/main" id="{00000000-0008-0000-0300-000033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564" name="Line 132">
          <a:extLst>
            <a:ext uri="{FF2B5EF4-FFF2-40B4-BE49-F238E27FC236}">
              <a16:creationId xmlns:a16="http://schemas.microsoft.com/office/drawing/2014/main" id="{00000000-0008-0000-0300-000034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565" name="Line 151">
          <a:extLst>
            <a:ext uri="{FF2B5EF4-FFF2-40B4-BE49-F238E27FC236}">
              <a16:creationId xmlns:a16="http://schemas.microsoft.com/office/drawing/2014/main" id="{00000000-0008-0000-0300-000035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566" name="Line 132">
          <a:extLst>
            <a:ext uri="{FF2B5EF4-FFF2-40B4-BE49-F238E27FC236}">
              <a16:creationId xmlns:a16="http://schemas.microsoft.com/office/drawing/2014/main" id="{00000000-0008-0000-0300-00003602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567" name="Line 151">
          <a:extLst>
            <a:ext uri="{FF2B5EF4-FFF2-40B4-BE49-F238E27FC236}">
              <a16:creationId xmlns:a16="http://schemas.microsoft.com/office/drawing/2014/main" id="{00000000-0008-0000-0300-00003702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568" name="Line 132">
          <a:extLst>
            <a:ext uri="{FF2B5EF4-FFF2-40B4-BE49-F238E27FC236}">
              <a16:creationId xmlns:a16="http://schemas.microsoft.com/office/drawing/2014/main" id="{00000000-0008-0000-0300-00003802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569" name="Line 151">
          <a:extLst>
            <a:ext uri="{FF2B5EF4-FFF2-40B4-BE49-F238E27FC236}">
              <a16:creationId xmlns:a16="http://schemas.microsoft.com/office/drawing/2014/main" id="{00000000-0008-0000-0300-00003902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570" name="Line 132">
          <a:extLst>
            <a:ext uri="{FF2B5EF4-FFF2-40B4-BE49-F238E27FC236}">
              <a16:creationId xmlns:a16="http://schemas.microsoft.com/office/drawing/2014/main" id="{00000000-0008-0000-0300-00003A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571" name="Line 151">
          <a:extLst>
            <a:ext uri="{FF2B5EF4-FFF2-40B4-BE49-F238E27FC236}">
              <a16:creationId xmlns:a16="http://schemas.microsoft.com/office/drawing/2014/main" id="{00000000-0008-0000-0300-00003B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572" name="Line 132">
          <a:extLst>
            <a:ext uri="{FF2B5EF4-FFF2-40B4-BE49-F238E27FC236}">
              <a16:creationId xmlns:a16="http://schemas.microsoft.com/office/drawing/2014/main" id="{00000000-0008-0000-0300-00003C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573" name="Line 151">
          <a:extLst>
            <a:ext uri="{FF2B5EF4-FFF2-40B4-BE49-F238E27FC236}">
              <a16:creationId xmlns:a16="http://schemas.microsoft.com/office/drawing/2014/main" id="{00000000-0008-0000-0300-00003D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574" name="Line 132">
          <a:extLst>
            <a:ext uri="{FF2B5EF4-FFF2-40B4-BE49-F238E27FC236}">
              <a16:creationId xmlns:a16="http://schemas.microsoft.com/office/drawing/2014/main" id="{00000000-0008-0000-0300-00003E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575" name="Line 151">
          <a:extLst>
            <a:ext uri="{FF2B5EF4-FFF2-40B4-BE49-F238E27FC236}">
              <a16:creationId xmlns:a16="http://schemas.microsoft.com/office/drawing/2014/main" id="{00000000-0008-0000-0300-00003F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576" name="Line 132">
          <a:extLst>
            <a:ext uri="{FF2B5EF4-FFF2-40B4-BE49-F238E27FC236}">
              <a16:creationId xmlns:a16="http://schemas.microsoft.com/office/drawing/2014/main" id="{00000000-0008-0000-0300-000040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577" name="Line 151">
          <a:extLst>
            <a:ext uri="{FF2B5EF4-FFF2-40B4-BE49-F238E27FC236}">
              <a16:creationId xmlns:a16="http://schemas.microsoft.com/office/drawing/2014/main" id="{00000000-0008-0000-0300-000041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578" name="Line 132">
          <a:extLst>
            <a:ext uri="{FF2B5EF4-FFF2-40B4-BE49-F238E27FC236}">
              <a16:creationId xmlns:a16="http://schemas.microsoft.com/office/drawing/2014/main" id="{00000000-0008-0000-0300-000042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579" name="Line 151">
          <a:extLst>
            <a:ext uri="{FF2B5EF4-FFF2-40B4-BE49-F238E27FC236}">
              <a16:creationId xmlns:a16="http://schemas.microsoft.com/office/drawing/2014/main" id="{00000000-0008-0000-0300-000043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580" name="Line 132">
          <a:extLst>
            <a:ext uri="{FF2B5EF4-FFF2-40B4-BE49-F238E27FC236}">
              <a16:creationId xmlns:a16="http://schemas.microsoft.com/office/drawing/2014/main" id="{00000000-0008-0000-0300-000044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581" name="Line 151">
          <a:extLst>
            <a:ext uri="{FF2B5EF4-FFF2-40B4-BE49-F238E27FC236}">
              <a16:creationId xmlns:a16="http://schemas.microsoft.com/office/drawing/2014/main" id="{00000000-0008-0000-0300-000045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582" name="Line 132">
          <a:extLst>
            <a:ext uri="{FF2B5EF4-FFF2-40B4-BE49-F238E27FC236}">
              <a16:creationId xmlns:a16="http://schemas.microsoft.com/office/drawing/2014/main" id="{00000000-0008-0000-0300-000046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583" name="Line 151">
          <a:extLst>
            <a:ext uri="{FF2B5EF4-FFF2-40B4-BE49-F238E27FC236}">
              <a16:creationId xmlns:a16="http://schemas.microsoft.com/office/drawing/2014/main" id="{00000000-0008-0000-0300-000047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584" name="Line 132">
          <a:extLst>
            <a:ext uri="{FF2B5EF4-FFF2-40B4-BE49-F238E27FC236}">
              <a16:creationId xmlns:a16="http://schemas.microsoft.com/office/drawing/2014/main" id="{00000000-0008-0000-0300-000048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585" name="Line 151">
          <a:extLst>
            <a:ext uri="{FF2B5EF4-FFF2-40B4-BE49-F238E27FC236}">
              <a16:creationId xmlns:a16="http://schemas.microsoft.com/office/drawing/2014/main" id="{00000000-0008-0000-0300-000049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586" name="Line 132">
          <a:extLst>
            <a:ext uri="{FF2B5EF4-FFF2-40B4-BE49-F238E27FC236}">
              <a16:creationId xmlns:a16="http://schemas.microsoft.com/office/drawing/2014/main" id="{00000000-0008-0000-0300-00004A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587" name="Line 151">
          <a:extLst>
            <a:ext uri="{FF2B5EF4-FFF2-40B4-BE49-F238E27FC236}">
              <a16:creationId xmlns:a16="http://schemas.microsoft.com/office/drawing/2014/main" id="{00000000-0008-0000-0300-00004B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588" name="Line 132">
          <a:extLst>
            <a:ext uri="{FF2B5EF4-FFF2-40B4-BE49-F238E27FC236}">
              <a16:creationId xmlns:a16="http://schemas.microsoft.com/office/drawing/2014/main" id="{00000000-0008-0000-0300-00004C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589" name="Line 151">
          <a:extLst>
            <a:ext uri="{FF2B5EF4-FFF2-40B4-BE49-F238E27FC236}">
              <a16:creationId xmlns:a16="http://schemas.microsoft.com/office/drawing/2014/main" id="{00000000-0008-0000-0300-00004D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590" name="Line 132">
          <a:extLst>
            <a:ext uri="{FF2B5EF4-FFF2-40B4-BE49-F238E27FC236}">
              <a16:creationId xmlns:a16="http://schemas.microsoft.com/office/drawing/2014/main" id="{00000000-0008-0000-0300-00004E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591" name="Line 151">
          <a:extLst>
            <a:ext uri="{FF2B5EF4-FFF2-40B4-BE49-F238E27FC236}">
              <a16:creationId xmlns:a16="http://schemas.microsoft.com/office/drawing/2014/main" id="{00000000-0008-0000-0300-00004F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592" name="Line 132">
          <a:extLst>
            <a:ext uri="{FF2B5EF4-FFF2-40B4-BE49-F238E27FC236}">
              <a16:creationId xmlns:a16="http://schemas.microsoft.com/office/drawing/2014/main" id="{00000000-0008-0000-0300-000050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593" name="Line 151">
          <a:extLst>
            <a:ext uri="{FF2B5EF4-FFF2-40B4-BE49-F238E27FC236}">
              <a16:creationId xmlns:a16="http://schemas.microsoft.com/office/drawing/2014/main" id="{00000000-0008-0000-0300-000051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594" name="Line 132">
          <a:extLst>
            <a:ext uri="{FF2B5EF4-FFF2-40B4-BE49-F238E27FC236}">
              <a16:creationId xmlns:a16="http://schemas.microsoft.com/office/drawing/2014/main" id="{00000000-0008-0000-0300-000052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595" name="Line 151">
          <a:extLst>
            <a:ext uri="{FF2B5EF4-FFF2-40B4-BE49-F238E27FC236}">
              <a16:creationId xmlns:a16="http://schemas.microsoft.com/office/drawing/2014/main" id="{00000000-0008-0000-0300-000053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596" name="Line 132">
          <a:extLst>
            <a:ext uri="{FF2B5EF4-FFF2-40B4-BE49-F238E27FC236}">
              <a16:creationId xmlns:a16="http://schemas.microsoft.com/office/drawing/2014/main" id="{00000000-0008-0000-0300-000054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597" name="Line 151">
          <a:extLst>
            <a:ext uri="{FF2B5EF4-FFF2-40B4-BE49-F238E27FC236}">
              <a16:creationId xmlns:a16="http://schemas.microsoft.com/office/drawing/2014/main" id="{00000000-0008-0000-0300-000055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598" name="Line 132">
          <a:extLst>
            <a:ext uri="{FF2B5EF4-FFF2-40B4-BE49-F238E27FC236}">
              <a16:creationId xmlns:a16="http://schemas.microsoft.com/office/drawing/2014/main" id="{00000000-0008-0000-0300-000056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599" name="Line 151">
          <a:extLst>
            <a:ext uri="{FF2B5EF4-FFF2-40B4-BE49-F238E27FC236}">
              <a16:creationId xmlns:a16="http://schemas.microsoft.com/office/drawing/2014/main" id="{00000000-0008-0000-0300-000057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600" name="Line 132">
          <a:extLst>
            <a:ext uri="{FF2B5EF4-FFF2-40B4-BE49-F238E27FC236}">
              <a16:creationId xmlns:a16="http://schemas.microsoft.com/office/drawing/2014/main" id="{00000000-0008-0000-0300-000058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601" name="Line 151">
          <a:extLst>
            <a:ext uri="{FF2B5EF4-FFF2-40B4-BE49-F238E27FC236}">
              <a16:creationId xmlns:a16="http://schemas.microsoft.com/office/drawing/2014/main" id="{00000000-0008-0000-0300-000059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602" name="Line 132">
          <a:extLst>
            <a:ext uri="{FF2B5EF4-FFF2-40B4-BE49-F238E27FC236}">
              <a16:creationId xmlns:a16="http://schemas.microsoft.com/office/drawing/2014/main" id="{00000000-0008-0000-0300-00005A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603" name="Line 151">
          <a:extLst>
            <a:ext uri="{FF2B5EF4-FFF2-40B4-BE49-F238E27FC236}">
              <a16:creationId xmlns:a16="http://schemas.microsoft.com/office/drawing/2014/main" id="{00000000-0008-0000-0300-00005B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604" name="Line 132">
          <a:extLst>
            <a:ext uri="{FF2B5EF4-FFF2-40B4-BE49-F238E27FC236}">
              <a16:creationId xmlns:a16="http://schemas.microsoft.com/office/drawing/2014/main" id="{00000000-0008-0000-0300-00005C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605" name="Line 151">
          <a:extLst>
            <a:ext uri="{FF2B5EF4-FFF2-40B4-BE49-F238E27FC236}">
              <a16:creationId xmlns:a16="http://schemas.microsoft.com/office/drawing/2014/main" id="{00000000-0008-0000-0300-00005D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606" name="Line 132">
          <a:extLst>
            <a:ext uri="{FF2B5EF4-FFF2-40B4-BE49-F238E27FC236}">
              <a16:creationId xmlns:a16="http://schemas.microsoft.com/office/drawing/2014/main" id="{00000000-0008-0000-0300-00005E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607" name="Line 151">
          <a:extLst>
            <a:ext uri="{FF2B5EF4-FFF2-40B4-BE49-F238E27FC236}">
              <a16:creationId xmlns:a16="http://schemas.microsoft.com/office/drawing/2014/main" id="{00000000-0008-0000-0300-00005F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608" name="Line 132">
          <a:extLst>
            <a:ext uri="{FF2B5EF4-FFF2-40B4-BE49-F238E27FC236}">
              <a16:creationId xmlns:a16="http://schemas.microsoft.com/office/drawing/2014/main" id="{00000000-0008-0000-0300-000060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609" name="Line 151">
          <a:extLst>
            <a:ext uri="{FF2B5EF4-FFF2-40B4-BE49-F238E27FC236}">
              <a16:creationId xmlns:a16="http://schemas.microsoft.com/office/drawing/2014/main" id="{00000000-0008-0000-0300-000061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610" name="Line 132">
          <a:extLst>
            <a:ext uri="{FF2B5EF4-FFF2-40B4-BE49-F238E27FC236}">
              <a16:creationId xmlns:a16="http://schemas.microsoft.com/office/drawing/2014/main" id="{00000000-0008-0000-0300-000062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611" name="Line 151">
          <a:extLst>
            <a:ext uri="{FF2B5EF4-FFF2-40B4-BE49-F238E27FC236}">
              <a16:creationId xmlns:a16="http://schemas.microsoft.com/office/drawing/2014/main" id="{00000000-0008-0000-0300-000063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612" name="Line 132">
          <a:extLst>
            <a:ext uri="{FF2B5EF4-FFF2-40B4-BE49-F238E27FC236}">
              <a16:creationId xmlns:a16="http://schemas.microsoft.com/office/drawing/2014/main" id="{00000000-0008-0000-0300-000064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613" name="Line 151">
          <a:extLst>
            <a:ext uri="{FF2B5EF4-FFF2-40B4-BE49-F238E27FC236}">
              <a16:creationId xmlns:a16="http://schemas.microsoft.com/office/drawing/2014/main" id="{00000000-0008-0000-0300-000065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614" name="Line 132">
          <a:extLst>
            <a:ext uri="{FF2B5EF4-FFF2-40B4-BE49-F238E27FC236}">
              <a16:creationId xmlns:a16="http://schemas.microsoft.com/office/drawing/2014/main" id="{00000000-0008-0000-0300-000066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615" name="Line 151">
          <a:extLst>
            <a:ext uri="{FF2B5EF4-FFF2-40B4-BE49-F238E27FC236}">
              <a16:creationId xmlns:a16="http://schemas.microsoft.com/office/drawing/2014/main" id="{00000000-0008-0000-0300-000067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616" name="Line 132">
          <a:extLst>
            <a:ext uri="{FF2B5EF4-FFF2-40B4-BE49-F238E27FC236}">
              <a16:creationId xmlns:a16="http://schemas.microsoft.com/office/drawing/2014/main" id="{00000000-0008-0000-0300-000068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617" name="Line 151">
          <a:extLst>
            <a:ext uri="{FF2B5EF4-FFF2-40B4-BE49-F238E27FC236}">
              <a16:creationId xmlns:a16="http://schemas.microsoft.com/office/drawing/2014/main" id="{00000000-0008-0000-0300-000069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618" name="Line 132">
          <a:extLst>
            <a:ext uri="{FF2B5EF4-FFF2-40B4-BE49-F238E27FC236}">
              <a16:creationId xmlns:a16="http://schemas.microsoft.com/office/drawing/2014/main" id="{00000000-0008-0000-0300-00006A02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619" name="Line 151">
          <a:extLst>
            <a:ext uri="{FF2B5EF4-FFF2-40B4-BE49-F238E27FC236}">
              <a16:creationId xmlns:a16="http://schemas.microsoft.com/office/drawing/2014/main" id="{00000000-0008-0000-0300-00006B02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620" name="Line 132">
          <a:extLst>
            <a:ext uri="{FF2B5EF4-FFF2-40B4-BE49-F238E27FC236}">
              <a16:creationId xmlns:a16="http://schemas.microsoft.com/office/drawing/2014/main" id="{00000000-0008-0000-0300-00006C02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621" name="Line 151">
          <a:extLst>
            <a:ext uri="{FF2B5EF4-FFF2-40B4-BE49-F238E27FC236}">
              <a16:creationId xmlns:a16="http://schemas.microsoft.com/office/drawing/2014/main" id="{00000000-0008-0000-0300-00006D02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622" name="Line 132">
          <a:extLst>
            <a:ext uri="{FF2B5EF4-FFF2-40B4-BE49-F238E27FC236}">
              <a16:creationId xmlns:a16="http://schemas.microsoft.com/office/drawing/2014/main" id="{00000000-0008-0000-0300-00006E02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623" name="Line 151">
          <a:extLst>
            <a:ext uri="{FF2B5EF4-FFF2-40B4-BE49-F238E27FC236}">
              <a16:creationId xmlns:a16="http://schemas.microsoft.com/office/drawing/2014/main" id="{00000000-0008-0000-0300-00006F02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624" name="Line 132">
          <a:extLst>
            <a:ext uri="{FF2B5EF4-FFF2-40B4-BE49-F238E27FC236}">
              <a16:creationId xmlns:a16="http://schemas.microsoft.com/office/drawing/2014/main" id="{00000000-0008-0000-0300-000070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625" name="Line 151">
          <a:extLst>
            <a:ext uri="{FF2B5EF4-FFF2-40B4-BE49-F238E27FC236}">
              <a16:creationId xmlns:a16="http://schemas.microsoft.com/office/drawing/2014/main" id="{00000000-0008-0000-0300-000071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626" name="Line 132">
          <a:extLst>
            <a:ext uri="{FF2B5EF4-FFF2-40B4-BE49-F238E27FC236}">
              <a16:creationId xmlns:a16="http://schemas.microsoft.com/office/drawing/2014/main" id="{00000000-0008-0000-0300-000072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627" name="Line 151">
          <a:extLst>
            <a:ext uri="{FF2B5EF4-FFF2-40B4-BE49-F238E27FC236}">
              <a16:creationId xmlns:a16="http://schemas.microsoft.com/office/drawing/2014/main" id="{00000000-0008-0000-0300-000073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628" name="Line 132">
          <a:extLst>
            <a:ext uri="{FF2B5EF4-FFF2-40B4-BE49-F238E27FC236}">
              <a16:creationId xmlns:a16="http://schemas.microsoft.com/office/drawing/2014/main" id="{00000000-0008-0000-0300-000074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629" name="Line 151">
          <a:extLst>
            <a:ext uri="{FF2B5EF4-FFF2-40B4-BE49-F238E27FC236}">
              <a16:creationId xmlns:a16="http://schemas.microsoft.com/office/drawing/2014/main" id="{00000000-0008-0000-0300-000075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630" name="Line 132">
          <a:extLst>
            <a:ext uri="{FF2B5EF4-FFF2-40B4-BE49-F238E27FC236}">
              <a16:creationId xmlns:a16="http://schemas.microsoft.com/office/drawing/2014/main" id="{00000000-0008-0000-0300-000076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631" name="Line 151">
          <a:extLst>
            <a:ext uri="{FF2B5EF4-FFF2-40B4-BE49-F238E27FC236}">
              <a16:creationId xmlns:a16="http://schemas.microsoft.com/office/drawing/2014/main" id="{00000000-0008-0000-0300-000077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632" name="Line 766">
          <a:extLst>
            <a:ext uri="{FF2B5EF4-FFF2-40B4-BE49-F238E27FC236}">
              <a16:creationId xmlns:a16="http://schemas.microsoft.com/office/drawing/2014/main" id="{00000000-0008-0000-0300-00007802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633" name="Line 1009">
          <a:extLst>
            <a:ext uri="{FF2B5EF4-FFF2-40B4-BE49-F238E27FC236}">
              <a16:creationId xmlns:a16="http://schemas.microsoft.com/office/drawing/2014/main" id="{00000000-0008-0000-0300-00007902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634" name="Line 132">
          <a:extLst>
            <a:ext uri="{FF2B5EF4-FFF2-40B4-BE49-F238E27FC236}">
              <a16:creationId xmlns:a16="http://schemas.microsoft.com/office/drawing/2014/main" id="{00000000-0008-0000-0300-00007A02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635" name="Line 151">
          <a:extLst>
            <a:ext uri="{FF2B5EF4-FFF2-40B4-BE49-F238E27FC236}">
              <a16:creationId xmlns:a16="http://schemas.microsoft.com/office/drawing/2014/main" id="{00000000-0008-0000-0300-00007B02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636" name="Line 132">
          <a:extLst>
            <a:ext uri="{FF2B5EF4-FFF2-40B4-BE49-F238E27FC236}">
              <a16:creationId xmlns:a16="http://schemas.microsoft.com/office/drawing/2014/main" id="{00000000-0008-0000-0300-00007C02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637" name="Line 151">
          <a:extLst>
            <a:ext uri="{FF2B5EF4-FFF2-40B4-BE49-F238E27FC236}">
              <a16:creationId xmlns:a16="http://schemas.microsoft.com/office/drawing/2014/main" id="{00000000-0008-0000-0300-00007D02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638" name="Line 132">
          <a:extLst>
            <a:ext uri="{FF2B5EF4-FFF2-40B4-BE49-F238E27FC236}">
              <a16:creationId xmlns:a16="http://schemas.microsoft.com/office/drawing/2014/main" id="{00000000-0008-0000-0300-00007E02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639" name="Line 151">
          <a:extLst>
            <a:ext uri="{FF2B5EF4-FFF2-40B4-BE49-F238E27FC236}">
              <a16:creationId xmlns:a16="http://schemas.microsoft.com/office/drawing/2014/main" id="{00000000-0008-0000-0300-00007F02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640" name="Line 132">
          <a:extLst>
            <a:ext uri="{FF2B5EF4-FFF2-40B4-BE49-F238E27FC236}">
              <a16:creationId xmlns:a16="http://schemas.microsoft.com/office/drawing/2014/main" id="{00000000-0008-0000-0300-00008002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641" name="Line 151">
          <a:extLst>
            <a:ext uri="{FF2B5EF4-FFF2-40B4-BE49-F238E27FC236}">
              <a16:creationId xmlns:a16="http://schemas.microsoft.com/office/drawing/2014/main" id="{00000000-0008-0000-0300-00008102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642" name="Line 132">
          <a:extLst>
            <a:ext uri="{FF2B5EF4-FFF2-40B4-BE49-F238E27FC236}">
              <a16:creationId xmlns:a16="http://schemas.microsoft.com/office/drawing/2014/main" id="{00000000-0008-0000-0300-00008202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643" name="Line 151">
          <a:extLst>
            <a:ext uri="{FF2B5EF4-FFF2-40B4-BE49-F238E27FC236}">
              <a16:creationId xmlns:a16="http://schemas.microsoft.com/office/drawing/2014/main" id="{00000000-0008-0000-0300-00008302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644" name="Line 132">
          <a:extLst>
            <a:ext uri="{FF2B5EF4-FFF2-40B4-BE49-F238E27FC236}">
              <a16:creationId xmlns:a16="http://schemas.microsoft.com/office/drawing/2014/main" id="{00000000-0008-0000-0300-000084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645" name="Line 151">
          <a:extLst>
            <a:ext uri="{FF2B5EF4-FFF2-40B4-BE49-F238E27FC236}">
              <a16:creationId xmlns:a16="http://schemas.microsoft.com/office/drawing/2014/main" id="{00000000-0008-0000-0300-000085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646" name="Line 132">
          <a:extLst>
            <a:ext uri="{FF2B5EF4-FFF2-40B4-BE49-F238E27FC236}">
              <a16:creationId xmlns:a16="http://schemas.microsoft.com/office/drawing/2014/main" id="{00000000-0008-0000-0300-000086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647" name="Line 151">
          <a:extLst>
            <a:ext uri="{FF2B5EF4-FFF2-40B4-BE49-F238E27FC236}">
              <a16:creationId xmlns:a16="http://schemas.microsoft.com/office/drawing/2014/main" id="{00000000-0008-0000-0300-000087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648" name="Line 132">
          <a:extLst>
            <a:ext uri="{FF2B5EF4-FFF2-40B4-BE49-F238E27FC236}">
              <a16:creationId xmlns:a16="http://schemas.microsoft.com/office/drawing/2014/main" id="{00000000-0008-0000-0300-000088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649" name="Line 151">
          <a:extLst>
            <a:ext uri="{FF2B5EF4-FFF2-40B4-BE49-F238E27FC236}">
              <a16:creationId xmlns:a16="http://schemas.microsoft.com/office/drawing/2014/main" id="{00000000-0008-0000-0300-000089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650" name="Line 132">
          <a:extLst>
            <a:ext uri="{FF2B5EF4-FFF2-40B4-BE49-F238E27FC236}">
              <a16:creationId xmlns:a16="http://schemas.microsoft.com/office/drawing/2014/main" id="{00000000-0008-0000-0300-00008A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651" name="Line 151">
          <a:extLst>
            <a:ext uri="{FF2B5EF4-FFF2-40B4-BE49-F238E27FC236}">
              <a16:creationId xmlns:a16="http://schemas.microsoft.com/office/drawing/2014/main" id="{00000000-0008-0000-0300-00008B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652" name="Line 132">
          <a:extLst>
            <a:ext uri="{FF2B5EF4-FFF2-40B4-BE49-F238E27FC236}">
              <a16:creationId xmlns:a16="http://schemas.microsoft.com/office/drawing/2014/main" id="{00000000-0008-0000-0300-00008C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653" name="Line 151">
          <a:extLst>
            <a:ext uri="{FF2B5EF4-FFF2-40B4-BE49-F238E27FC236}">
              <a16:creationId xmlns:a16="http://schemas.microsoft.com/office/drawing/2014/main" id="{00000000-0008-0000-0300-00008D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654" name="Line 132">
          <a:extLst>
            <a:ext uri="{FF2B5EF4-FFF2-40B4-BE49-F238E27FC236}">
              <a16:creationId xmlns:a16="http://schemas.microsoft.com/office/drawing/2014/main" id="{00000000-0008-0000-0300-00008E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655" name="Line 151">
          <a:extLst>
            <a:ext uri="{FF2B5EF4-FFF2-40B4-BE49-F238E27FC236}">
              <a16:creationId xmlns:a16="http://schemas.microsoft.com/office/drawing/2014/main" id="{00000000-0008-0000-0300-00008F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656" name="Line 132">
          <a:extLst>
            <a:ext uri="{FF2B5EF4-FFF2-40B4-BE49-F238E27FC236}">
              <a16:creationId xmlns:a16="http://schemas.microsoft.com/office/drawing/2014/main" id="{00000000-0008-0000-0300-000090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657" name="Line 151">
          <a:extLst>
            <a:ext uri="{FF2B5EF4-FFF2-40B4-BE49-F238E27FC236}">
              <a16:creationId xmlns:a16="http://schemas.microsoft.com/office/drawing/2014/main" id="{00000000-0008-0000-0300-000091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658" name="Line 132">
          <a:extLst>
            <a:ext uri="{FF2B5EF4-FFF2-40B4-BE49-F238E27FC236}">
              <a16:creationId xmlns:a16="http://schemas.microsoft.com/office/drawing/2014/main" id="{00000000-0008-0000-0300-000092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659" name="Line 151">
          <a:extLst>
            <a:ext uri="{FF2B5EF4-FFF2-40B4-BE49-F238E27FC236}">
              <a16:creationId xmlns:a16="http://schemas.microsoft.com/office/drawing/2014/main" id="{00000000-0008-0000-0300-000093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660" name="Line 766">
          <a:extLst>
            <a:ext uri="{FF2B5EF4-FFF2-40B4-BE49-F238E27FC236}">
              <a16:creationId xmlns:a16="http://schemas.microsoft.com/office/drawing/2014/main" id="{00000000-0008-0000-0300-00009402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661" name="Line 1009">
          <a:extLst>
            <a:ext uri="{FF2B5EF4-FFF2-40B4-BE49-F238E27FC236}">
              <a16:creationId xmlns:a16="http://schemas.microsoft.com/office/drawing/2014/main" id="{00000000-0008-0000-0300-00009502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662" name="Line 132">
          <a:extLst>
            <a:ext uri="{FF2B5EF4-FFF2-40B4-BE49-F238E27FC236}">
              <a16:creationId xmlns:a16="http://schemas.microsoft.com/office/drawing/2014/main" id="{00000000-0008-0000-0300-00009602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663" name="Line 151">
          <a:extLst>
            <a:ext uri="{FF2B5EF4-FFF2-40B4-BE49-F238E27FC236}">
              <a16:creationId xmlns:a16="http://schemas.microsoft.com/office/drawing/2014/main" id="{00000000-0008-0000-0300-00009702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664" name="Line 132">
          <a:extLst>
            <a:ext uri="{FF2B5EF4-FFF2-40B4-BE49-F238E27FC236}">
              <a16:creationId xmlns:a16="http://schemas.microsoft.com/office/drawing/2014/main" id="{00000000-0008-0000-0300-00009802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665" name="Line 151">
          <a:extLst>
            <a:ext uri="{FF2B5EF4-FFF2-40B4-BE49-F238E27FC236}">
              <a16:creationId xmlns:a16="http://schemas.microsoft.com/office/drawing/2014/main" id="{00000000-0008-0000-0300-00009902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666" name="Line 132">
          <a:extLst>
            <a:ext uri="{FF2B5EF4-FFF2-40B4-BE49-F238E27FC236}">
              <a16:creationId xmlns:a16="http://schemas.microsoft.com/office/drawing/2014/main" id="{00000000-0008-0000-0300-00009A02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667" name="Line 151">
          <a:extLst>
            <a:ext uri="{FF2B5EF4-FFF2-40B4-BE49-F238E27FC236}">
              <a16:creationId xmlns:a16="http://schemas.microsoft.com/office/drawing/2014/main" id="{00000000-0008-0000-0300-00009B02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668" name="Line 132">
          <a:extLst>
            <a:ext uri="{FF2B5EF4-FFF2-40B4-BE49-F238E27FC236}">
              <a16:creationId xmlns:a16="http://schemas.microsoft.com/office/drawing/2014/main" id="{00000000-0008-0000-0300-00009C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669" name="Line 151">
          <a:extLst>
            <a:ext uri="{FF2B5EF4-FFF2-40B4-BE49-F238E27FC236}">
              <a16:creationId xmlns:a16="http://schemas.microsoft.com/office/drawing/2014/main" id="{00000000-0008-0000-0300-00009D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670" name="Line 132">
          <a:extLst>
            <a:ext uri="{FF2B5EF4-FFF2-40B4-BE49-F238E27FC236}">
              <a16:creationId xmlns:a16="http://schemas.microsoft.com/office/drawing/2014/main" id="{00000000-0008-0000-0300-00009E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671" name="Line 151">
          <a:extLst>
            <a:ext uri="{FF2B5EF4-FFF2-40B4-BE49-F238E27FC236}">
              <a16:creationId xmlns:a16="http://schemas.microsoft.com/office/drawing/2014/main" id="{00000000-0008-0000-0300-00009F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672" name="Line 132">
          <a:extLst>
            <a:ext uri="{FF2B5EF4-FFF2-40B4-BE49-F238E27FC236}">
              <a16:creationId xmlns:a16="http://schemas.microsoft.com/office/drawing/2014/main" id="{00000000-0008-0000-0300-0000A0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673" name="Line 151">
          <a:extLst>
            <a:ext uri="{FF2B5EF4-FFF2-40B4-BE49-F238E27FC236}">
              <a16:creationId xmlns:a16="http://schemas.microsoft.com/office/drawing/2014/main" id="{00000000-0008-0000-0300-0000A1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674" name="Line 132">
          <a:extLst>
            <a:ext uri="{FF2B5EF4-FFF2-40B4-BE49-F238E27FC236}">
              <a16:creationId xmlns:a16="http://schemas.microsoft.com/office/drawing/2014/main" id="{00000000-0008-0000-0300-0000A2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675" name="Line 151">
          <a:extLst>
            <a:ext uri="{FF2B5EF4-FFF2-40B4-BE49-F238E27FC236}">
              <a16:creationId xmlns:a16="http://schemas.microsoft.com/office/drawing/2014/main" id="{00000000-0008-0000-0300-0000A3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676" name="Line 132">
          <a:extLst>
            <a:ext uri="{FF2B5EF4-FFF2-40B4-BE49-F238E27FC236}">
              <a16:creationId xmlns:a16="http://schemas.microsoft.com/office/drawing/2014/main" id="{00000000-0008-0000-0300-0000A4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677" name="Line 151">
          <a:extLst>
            <a:ext uri="{FF2B5EF4-FFF2-40B4-BE49-F238E27FC236}">
              <a16:creationId xmlns:a16="http://schemas.microsoft.com/office/drawing/2014/main" id="{00000000-0008-0000-0300-0000A5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678" name="Line 132">
          <a:extLst>
            <a:ext uri="{FF2B5EF4-FFF2-40B4-BE49-F238E27FC236}">
              <a16:creationId xmlns:a16="http://schemas.microsoft.com/office/drawing/2014/main" id="{00000000-0008-0000-0300-0000A6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679" name="Line 151">
          <a:extLst>
            <a:ext uri="{FF2B5EF4-FFF2-40B4-BE49-F238E27FC236}">
              <a16:creationId xmlns:a16="http://schemas.microsoft.com/office/drawing/2014/main" id="{00000000-0008-0000-0300-0000A7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680" name="Line 132">
          <a:extLst>
            <a:ext uri="{FF2B5EF4-FFF2-40B4-BE49-F238E27FC236}">
              <a16:creationId xmlns:a16="http://schemas.microsoft.com/office/drawing/2014/main" id="{00000000-0008-0000-0300-0000A8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681" name="Line 151">
          <a:extLst>
            <a:ext uri="{FF2B5EF4-FFF2-40B4-BE49-F238E27FC236}">
              <a16:creationId xmlns:a16="http://schemas.microsoft.com/office/drawing/2014/main" id="{00000000-0008-0000-0300-0000A9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682" name="Line 132">
          <a:extLst>
            <a:ext uri="{FF2B5EF4-FFF2-40B4-BE49-F238E27FC236}">
              <a16:creationId xmlns:a16="http://schemas.microsoft.com/office/drawing/2014/main" id="{00000000-0008-0000-0300-0000AA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683" name="Line 151">
          <a:extLst>
            <a:ext uri="{FF2B5EF4-FFF2-40B4-BE49-F238E27FC236}">
              <a16:creationId xmlns:a16="http://schemas.microsoft.com/office/drawing/2014/main" id="{00000000-0008-0000-0300-0000AB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684" name="Line 132">
          <a:extLst>
            <a:ext uri="{FF2B5EF4-FFF2-40B4-BE49-F238E27FC236}">
              <a16:creationId xmlns:a16="http://schemas.microsoft.com/office/drawing/2014/main" id="{00000000-0008-0000-0300-0000AC02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685" name="Line 151">
          <a:extLst>
            <a:ext uri="{FF2B5EF4-FFF2-40B4-BE49-F238E27FC236}">
              <a16:creationId xmlns:a16="http://schemas.microsoft.com/office/drawing/2014/main" id="{00000000-0008-0000-0300-0000AD02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686" name="Line 132">
          <a:extLst>
            <a:ext uri="{FF2B5EF4-FFF2-40B4-BE49-F238E27FC236}">
              <a16:creationId xmlns:a16="http://schemas.microsoft.com/office/drawing/2014/main" id="{00000000-0008-0000-0300-0000AE02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687" name="Line 151">
          <a:extLst>
            <a:ext uri="{FF2B5EF4-FFF2-40B4-BE49-F238E27FC236}">
              <a16:creationId xmlns:a16="http://schemas.microsoft.com/office/drawing/2014/main" id="{00000000-0008-0000-0300-0000AF02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688" name="Line 132">
          <a:extLst>
            <a:ext uri="{FF2B5EF4-FFF2-40B4-BE49-F238E27FC236}">
              <a16:creationId xmlns:a16="http://schemas.microsoft.com/office/drawing/2014/main" id="{00000000-0008-0000-0300-0000B0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689" name="Line 151">
          <a:extLst>
            <a:ext uri="{FF2B5EF4-FFF2-40B4-BE49-F238E27FC236}">
              <a16:creationId xmlns:a16="http://schemas.microsoft.com/office/drawing/2014/main" id="{00000000-0008-0000-0300-0000B1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690" name="Line 132">
          <a:extLst>
            <a:ext uri="{FF2B5EF4-FFF2-40B4-BE49-F238E27FC236}">
              <a16:creationId xmlns:a16="http://schemas.microsoft.com/office/drawing/2014/main" id="{00000000-0008-0000-0300-0000B2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691" name="Line 151">
          <a:extLst>
            <a:ext uri="{FF2B5EF4-FFF2-40B4-BE49-F238E27FC236}">
              <a16:creationId xmlns:a16="http://schemas.microsoft.com/office/drawing/2014/main" id="{00000000-0008-0000-0300-0000B3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692" name="Line 132">
          <a:extLst>
            <a:ext uri="{FF2B5EF4-FFF2-40B4-BE49-F238E27FC236}">
              <a16:creationId xmlns:a16="http://schemas.microsoft.com/office/drawing/2014/main" id="{00000000-0008-0000-0300-0000B4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693" name="Line 151">
          <a:extLst>
            <a:ext uri="{FF2B5EF4-FFF2-40B4-BE49-F238E27FC236}">
              <a16:creationId xmlns:a16="http://schemas.microsoft.com/office/drawing/2014/main" id="{00000000-0008-0000-0300-0000B5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694" name="Line 132">
          <a:extLst>
            <a:ext uri="{FF2B5EF4-FFF2-40B4-BE49-F238E27FC236}">
              <a16:creationId xmlns:a16="http://schemas.microsoft.com/office/drawing/2014/main" id="{00000000-0008-0000-0300-0000B6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695" name="Line 151">
          <a:extLst>
            <a:ext uri="{FF2B5EF4-FFF2-40B4-BE49-F238E27FC236}">
              <a16:creationId xmlns:a16="http://schemas.microsoft.com/office/drawing/2014/main" id="{00000000-0008-0000-0300-0000B7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696" name="Line 132">
          <a:extLst>
            <a:ext uri="{FF2B5EF4-FFF2-40B4-BE49-F238E27FC236}">
              <a16:creationId xmlns:a16="http://schemas.microsoft.com/office/drawing/2014/main" id="{00000000-0008-0000-0300-0000B8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697" name="Line 151">
          <a:extLst>
            <a:ext uri="{FF2B5EF4-FFF2-40B4-BE49-F238E27FC236}">
              <a16:creationId xmlns:a16="http://schemas.microsoft.com/office/drawing/2014/main" id="{00000000-0008-0000-0300-0000B9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698" name="Line 132">
          <a:extLst>
            <a:ext uri="{FF2B5EF4-FFF2-40B4-BE49-F238E27FC236}">
              <a16:creationId xmlns:a16="http://schemas.microsoft.com/office/drawing/2014/main" id="{00000000-0008-0000-0300-0000BA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699" name="Line 151">
          <a:extLst>
            <a:ext uri="{FF2B5EF4-FFF2-40B4-BE49-F238E27FC236}">
              <a16:creationId xmlns:a16="http://schemas.microsoft.com/office/drawing/2014/main" id="{00000000-0008-0000-0300-0000BB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00" name="Line 132">
          <a:extLst>
            <a:ext uri="{FF2B5EF4-FFF2-40B4-BE49-F238E27FC236}">
              <a16:creationId xmlns:a16="http://schemas.microsoft.com/office/drawing/2014/main" id="{00000000-0008-0000-0300-0000BC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01" name="Line 151">
          <a:extLst>
            <a:ext uri="{FF2B5EF4-FFF2-40B4-BE49-F238E27FC236}">
              <a16:creationId xmlns:a16="http://schemas.microsoft.com/office/drawing/2014/main" id="{00000000-0008-0000-0300-0000BD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02" name="Line 132">
          <a:extLst>
            <a:ext uri="{FF2B5EF4-FFF2-40B4-BE49-F238E27FC236}">
              <a16:creationId xmlns:a16="http://schemas.microsoft.com/office/drawing/2014/main" id="{00000000-0008-0000-0300-0000BE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03" name="Line 151">
          <a:extLst>
            <a:ext uri="{FF2B5EF4-FFF2-40B4-BE49-F238E27FC236}">
              <a16:creationId xmlns:a16="http://schemas.microsoft.com/office/drawing/2014/main" id="{00000000-0008-0000-0300-0000BF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704" name="Line 132">
          <a:extLst>
            <a:ext uri="{FF2B5EF4-FFF2-40B4-BE49-F238E27FC236}">
              <a16:creationId xmlns:a16="http://schemas.microsoft.com/office/drawing/2014/main" id="{00000000-0008-0000-0300-0000C0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705" name="Line 151">
          <a:extLst>
            <a:ext uri="{FF2B5EF4-FFF2-40B4-BE49-F238E27FC236}">
              <a16:creationId xmlns:a16="http://schemas.microsoft.com/office/drawing/2014/main" id="{00000000-0008-0000-0300-0000C1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706" name="Line 132">
          <a:extLst>
            <a:ext uri="{FF2B5EF4-FFF2-40B4-BE49-F238E27FC236}">
              <a16:creationId xmlns:a16="http://schemas.microsoft.com/office/drawing/2014/main" id="{00000000-0008-0000-0300-0000C2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707" name="Line 151">
          <a:extLst>
            <a:ext uri="{FF2B5EF4-FFF2-40B4-BE49-F238E27FC236}">
              <a16:creationId xmlns:a16="http://schemas.microsoft.com/office/drawing/2014/main" id="{00000000-0008-0000-0300-0000C3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708" name="Line 132">
          <a:extLst>
            <a:ext uri="{FF2B5EF4-FFF2-40B4-BE49-F238E27FC236}">
              <a16:creationId xmlns:a16="http://schemas.microsoft.com/office/drawing/2014/main" id="{00000000-0008-0000-0300-0000C4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709" name="Line 151">
          <a:extLst>
            <a:ext uri="{FF2B5EF4-FFF2-40B4-BE49-F238E27FC236}">
              <a16:creationId xmlns:a16="http://schemas.microsoft.com/office/drawing/2014/main" id="{00000000-0008-0000-0300-0000C5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710" name="Line 132">
          <a:extLst>
            <a:ext uri="{FF2B5EF4-FFF2-40B4-BE49-F238E27FC236}">
              <a16:creationId xmlns:a16="http://schemas.microsoft.com/office/drawing/2014/main" id="{00000000-0008-0000-0300-0000C6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711" name="Line 151">
          <a:extLst>
            <a:ext uri="{FF2B5EF4-FFF2-40B4-BE49-F238E27FC236}">
              <a16:creationId xmlns:a16="http://schemas.microsoft.com/office/drawing/2014/main" id="{00000000-0008-0000-0300-0000C7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712" name="Line 132">
          <a:extLst>
            <a:ext uri="{FF2B5EF4-FFF2-40B4-BE49-F238E27FC236}">
              <a16:creationId xmlns:a16="http://schemas.microsoft.com/office/drawing/2014/main" id="{00000000-0008-0000-0300-0000C8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713" name="Line 151">
          <a:extLst>
            <a:ext uri="{FF2B5EF4-FFF2-40B4-BE49-F238E27FC236}">
              <a16:creationId xmlns:a16="http://schemas.microsoft.com/office/drawing/2014/main" id="{00000000-0008-0000-0300-0000C9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714" name="Line 132">
          <a:extLst>
            <a:ext uri="{FF2B5EF4-FFF2-40B4-BE49-F238E27FC236}">
              <a16:creationId xmlns:a16="http://schemas.microsoft.com/office/drawing/2014/main" id="{00000000-0008-0000-0300-0000CA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715" name="Line 151">
          <a:extLst>
            <a:ext uri="{FF2B5EF4-FFF2-40B4-BE49-F238E27FC236}">
              <a16:creationId xmlns:a16="http://schemas.microsoft.com/office/drawing/2014/main" id="{00000000-0008-0000-0300-0000CB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716" name="Line 132">
          <a:extLst>
            <a:ext uri="{FF2B5EF4-FFF2-40B4-BE49-F238E27FC236}">
              <a16:creationId xmlns:a16="http://schemas.microsoft.com/office/drawing/2014/main" id="{00000000-0008-0000-0300-0000CC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717" name="Line 151">
          <a:extLst>
            <a:ext uri="{FF2B5EF4-FFF2-40B4-BE49-F238E27FC236}">
              <a16:creationId xmlns:a16="http://schemas.microsoft.com/office/drawing/2014/main" id="{00000000-0008-0000-0300-0000CD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718" name="Line 132">
          <a:extLst>
            <a:ext uri="{FF2B5EF4-FFF2-40B4-BE49-F238E27FC236}">
              <a16:creationId xmlns:a16="http://schemas.microsoft.com/office/drawing/2014/main" id="{00000000-0008-0000-0300-0000CE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719" name="Line 151">
          <a:extLst>
            <a:ext uri="{FF2B5EF4-FFF2-40B4-BE49-F238E27FC236}">
              <a16:creationId xmlns:a16="http://schemas.microsoft.com/office/drawing/2014/main" id="{00000000-0008-0000-0300-0000CF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720" name="Line 132">
          <a:extLst>
            <a:ext uri="{FF2B5EF4-FFF2-40B4-BE49-F238E27FC236}">
              <a16:creationId xmlns:a16="http://schemas.microsoft.com/office/drawing/2014/main" id="{00000000-0008-0000-0300-0000D0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721" name="Line 151">
          <a:extLst>
            <a:ext uri="{FF2B5EF4-FFF2-40B4-BE49-F238E27FC236}">
              <a16:creationId xmlns:a16="http://schemas.microsoft.com/office/drawing/2014/main" id="{00000000-0008-0000-0300-0000D1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22" name="Line 132">
          <a:extLst>
            <a:ext uri="{FF2B5EF4-FFF2-40B4-BE49-F238E27FC236}">
              <a16:creationId xmlns:a16="http://schemas.microsoft.com/office/drawing/2014/main" id="{00000000-0008-0000-0300-0000D2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23" name="Line 151">
          <a:extLst>
            <a:ext uri="{FF2B5EF4-FFF2-40B4-BE49-F238E27FC236}">
              <a16:creationId xmlns:a16="http://schemas.microsoft.com/office/drawing/2014/main" id="{00000000-0008-0000-0300-0000D3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724" name="Line 132">
          <a:extLst>
            <a:ext uri="{FF2B5EF4-FFF2-40B4-BE49-F238E27FC236}">
              <a16:creationId xmlns:a16="http://schemas.microsoft.com/office/drawing/2014/main" id="{00000000-0008-0000-0300-0000D4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725" name="Line 151">
          <a:extLst>
            <a:ext uri="{FF2B5EF4-FFF2-40B4-BE49-F238E27FC236}">
              <a16:creationId xmlns:a16="http://schemas.microsoft.com/office/drawing/2014/main" id="{00000000-0008-0000-0300-0000D5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26" name="Line 132">
          <a:extLst>
            <a:ext uri="{FF2B5EF4-FFF2-40B4-BE49-F238E27FC236}">
              <a16:creationId xmlns:a16="http://schemas.microsoft.com/office/drawing/2014/main" id="{00000000-0008-0000-0300-0000D6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27" name="Line 151">
          <a:extLst>
            <a:ext uri="{FF2B5EF4-FFF2-40B4-BE49-F238E27FC236}">
              <a16:creationId xmlns:a16="http://schemas.microsoft.com/office/drawing/2014/main" id="{00000000-0008-0000-0300-0000D7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28" name="Line 132">
          <a:extLst>
            <a:ext uri="{FF2B5EF4-FFF2-40B4-BE49-F238E27FC236}">
              <a16:creationId xmlns:a16="http://schemas.microsoft.com/office/drawing/2014/main" id="{00000000-0008-0000-0300-0000D8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29" name="Line 151">
          <a:extLst>
            <a:ext uri="{FF2B5EF4-FFF2-40B4-BE49-F238E27FC236}">
              <a16:creationId xmlns:a16="http://schemas.microsoft.com/office/drawing/2014/main" id="{00000000-0008-0000-0300-0000D9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30" name="Line 132">
          <a:extLst>
            <a:ext uri="{FF2B5EF4-FFF2-40B4-BE49-F238E27FC236}">
              <a16:creationId xmlns:a16="http://schemas.microsoft.com/office/drawing/2014/main" id="{00000000-0008-0000-0300-0000DA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31" name="Line 151">
          <a:extLst>
            <a:ext uri="{FF2B5EF4-FFF2-40B4-BE49-F238E27FC236}">
              <a16:creationId xmlns:a16="http://schemas.microsoft.com/office/drawing/2014/main" id="{00000000-0008-0000-0300-0000DB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32" name="Line 132">
          <a:extLst>
            <a:ext uri="{FF2B5EF4-FFF2-40B4-BE49-F238E27FC236}">
              <a16:creationId xmlns:a16="http://schemas.microsoft.com/office/drawing/2014/main" id="{00000000-0008-0000-0300-0000DC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33" name="Line 151">
          <a:extLst>
            <a:ext uri="{FF2B5EF4-FFF2-40B4-BE49-F238E27FC236}">
              <a16:creationId xmlns:a16="http://schemas.microsoft.com/office/drawing/2014/main" id="{00000000-0008-0000-0300-0000DD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34" name="Line 132">
          <a:extLst>
            <a:ext uri="{FF2B5EF4-FFF2-40B4-BE49-F238E27FC236}">
              <a16:creationId xmlns:a16="http://schemas.microsoft.com/office/drawing/2014/main" id="{00000000-0008-0000-0300-0000DE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35" name="Line 151">
          <a:extLst>
            <a:ext uri="{FF2B5EF4-FFF2-40B4-BE49-F238E27FC236}">
              <a16:creationId xmlns:a16="http://schemas.microsoft.com/office/drawing/2014/main" id="{00000000-0008-0000-0300-0000DF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736" name="Line 132">
          <a:extLst>
            <a:ext uri="{FF2B5EF4-FFF2-40B4-BE49-F238E27FC236}">
              <a16:creationId xmlns:a16="http://schemas.microsoft.com/office/drawing/2014/main" id="{00000000-0008-0000-0300-0000E0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737" name="Line 151">
          <a:extLst>
            <a:ext uri="{FF2B5EF4-FFF2-40B4-BE49-F238E27FC236}">
              <a16:creationId xmlns:a16="http://schemas.microsoft.com/office/drawing/2014/main" id="{00000000-0008-0000-0300-0000E1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738" name="Line 132">
          <a:extLst>
            <a:ext uri="{FF2B5EF4-FFF2-40B4-BE49-F238E27FC236}">
              <a16:creationId xmlns:a16="http://schemas.microsoft.com/office/drawing/2014/main" id="{00000000-0008-0000-0300-0000E2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739" name="Line 151">
          <a:extLst>
            <a:ext uri="{FF2B5EF4-FFF2-40B4-BE49-F238E27FC236}">
              <a16:creationId xmlns:a16="http://schemas.microsoft.com/office/drawing/2014/main" id="{00000000-0008-0000-0300-0000E3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740" name="Line 132">
          <a:extLst>
            <a:ext uri="{FF2B5EF4-FFF2-40B4-BE49-F238E27FC236}">
              <a16:creationId xmlns:a16="http://schemas.microsoft.com/office/drawing/2014/main" id="{00000000-0008-0000-0300-0000E4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741" name="Line 151">
          <a:extLst>
            <a:ext uri="{FF2B5EF4-FFF2-40B4-BE49-F238E27FC236}">
              <a16:creationId xmlns:a16="http://schemas.microsoft.com/office/drawing/2014/main" id="{00000000-0008-0000-0300-0000E502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742" name="Line 132">
          <a:extLst>
            <a:ext uri="{FF2B5EF4-FFF2-40B4-BE49-F238E27FC236}">
              <a16:creationId xmlns:a16="http://schemas.microsoft.com/office/drawing/2014/main" id="{00000000-0008-0000-0300-0000E6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743" name="Line 151">
          <a:extLst>
            <a:ext uri="{FF2B5EF4-FFF2-40B4-BE49-F238E27FC236}">
              <a16:creationId xmlns:a16="http://schemas.microsoft.com/office/drawing/2014/main" id="{00000000-0008-0000-0300-0000E7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744" name="Line 132">
          <a:extLst>
            <a:ext uri="{FF2B5EF4-FFF2-40B4-BE49-F238E27FC236}">
              <a16:creationId xmlns:a16="http://schemas.microsoft.com/office/drawing/2014/main" id="{00000000-0008-0000-0300-0000E8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745" name="Line 151">
          <a:extLst>
            <a:ext uri="{FF2B5EF4-FFF2-40B4-BE49-F238E27FC236}">
              <a16:creationId xmlns:a16="http://schemas.microsoft.com/office/drawing/2014/main" id="{00000000-0008-0000-0300-0000E9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746" name="Line 132">
          <a:extLst>
            <a:ext uri="{FF2B5EF4-FFF2-40B4-BE49-F238E27FC236}">
              <a16:creationId xmlns:a16="http://schemas.microsoft.com/office/drawing/2014/main" id="{00000000-0008-0000-0300-0000EA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747" name="Line 151">
          <a:extLst>
            <a:ext uri="{FF2B5EF4-FFF2-40B4-BE49-F238E27FC236}">
              <a16:creationId xmlns:a16="http://schemas.microsoft.com/office/drawing/2014/main" id="{00000000-0008-0000-0300-0000EB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748" name="Line 132">
          <a:extLst>
            <a:ext uri="{FF2B5EF4-FFF2-40B4-BE49-F238E27FC236}">
              <a16:creationId xmlns:a16="http://schemas.microsoft.com/office/drawing/2014/main" id="{00000000-0008-0000-0300-0000EC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749" name="Line 151">
          <a:extLst>
            <a:ext uri="{FF2B5EF4-FFF2-40B4-BE49-F238E27FC236}">
              <a16:creationId xmlns:a16="http://schemas.microsoft.com/office/drawing/2014/main" id="{00000000-0008-0000-0300-0000ED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750" name="Line 132">
          <a:extLst>
            <a:ext uri="{FF2B5EF4-FFF2-40B4-BE49-F238E27FC236}">
              <a16:creationId xmlns:a16="http://schemas.microsoft.com/office/drawing/2014/main" id="{00000000-0008-0000-0300-0000EE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751" name="Line 151">
          <a:extLst>
            <a:ext uri="{FF2B5EF4-FFF2-40B4-BE49-F238E27FC236}">
              <a16:creationId xmlns:a16="http://schemas.microsoft.com/office/drawing/2014/main" id="{00000000-0008-0000-0300-0000EF02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752" name="Line 132">
          <a:extLst>
            <a:ext uri="{FF2B5EF4-FFF2-40B4-BE49-F238E27FC236}">
              <a16:creationId xmlns:a16="http://schemas.microsoft.com/office/drawing/2014/main" id="{00000000-0008-0000-0300-0000F0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753" name="Line 151">
          <a:extLst>
            <a:ext uri="{FF2B5EF4-FFF2-40B4-BE49-F238E27FC236}">
              <a16:creationId xmlns:a16="http://schemas.microsoft.com/office/drawing/2014/main" id="{00000000-0008-0000-0300-0000F1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54" name="Line 132">
          <a:extLst>
            <a:ext uri="{FF2B5EF4-FFF2-40B4-BE49-F238E27FC236}">
              <a16:creationId xmlns:a16="http://schemas.microsoft.com/office/drawing/2014/main" id="{00000000-0008-0000-0300-0000F2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55" name="Line 151">
          <a:extLst>
            <a:ext uri="{FF2B5EF4-FFF2-40B4-BE49-F238E27FC236}">
              <a16:creationId xmlns:a16="http://schemas.microsoft.com/office/drawing/2014/main" id="{00000000-0008-0000-0300-0000F3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756" name="Line 132">
          <a:extLst>
            <a:ext uri="{FF2B5EF4-FFF2-40B4-BE49-F238E27FC236}">
              <a16:creationId xmlns:a16="http://schemas.microsoft.com/office/drawing/2014/main" id="{00000000-0008-0000-0300-0000F4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757" name="Line 151">
          <a:extLst>
            <a:ext uri="{FF2B5EF4-FFF2-40B4-BE49-F238E27FC236}">
              <a16:creationId xmlns:a16="http://schemas.microsoft.com/office/drawing/2014/main" id="{00000000-0008-0000-0300-0000F502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58" name="Line 132">
          <a:extLst>
            <a:ext uri="{FF2B5EF4-FFF2-40B4-BE49-F238E27FC236}">
              <a16:creationId xmlns:a16="http://schemas.microsoft.com/office/drawing/2014/main" id="{00000000-0008-0000-0300-0000F6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59" name="Line 151">
          <a:extLst>
            <a:ext uri="{FF2B5EF4-FFF2-40B4-BE49-F238E27FC236}">
              <a16:creationId xmlns:a16="http://schemas.microsoft.com/office/drawing/2014/main" id="{00000000-0008-0000-0300-0000F7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60" name="Line 132">
          <a:extLst>
            <a:ext uri="{FF2B5EF4-FFF2-40B4-BE49-F238E27FC236}">
              <a16:creationId xmlns:a16="http://schemas.microsoft.com/office/drawing/2014/main" id="{00000000-0008-0000-0300-0000F8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61" name="Line 151">
          <a:extLst>
            <a:ext uri="{FF2B5EF4-FFF2-40B4-BE49-F238E27FC236}">
              <a16:creationId xmlns:a16="http://schemas.microsoft.com/office/drawing/2014/main" id="{00000000-0008-0000-0300-0000F9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62" name="Line 132">
          <a:extLst>
            <a:ext uri="{FF2B5EF4-FFF2-40B4-BE49-F238E27FC236}">
              <a16:creationId xmlns:a16="http://schemas.microsoft.com/office/drawing/2014/main" id="{00000000-0008-0000-0300-0000FA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63" name="Line 151">
          <a:extLst>
            <a:ext uri="{FF2B5EF4-FFF2-40B4-BE49-F238E27FC236}">
              <a16:creationId xmlns:a16="http://schemas.microsoft.com/office/drawing/2014/main" id="{00000000-0008-0000-0300-0000FB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64" name="Line 132">
          <a:extLst>
            <a:ext uri="{FF2B5EF4-FFF2-40B4-BE49-F238E27FC236}">
              <a16:creationId xmlns:a16="http://schemas.microsoft.com/office/drawing/2014/main" id="{00000000-0008-0000-0300-0000FC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65" name="Line 151">
          <a:extLst>
            <a:ext uri="{FF2B5EF4-FFF2-40B4-BE49-F238E27FC236}">
              <a16:creationId xmlns:a16="http://schemas.microsoft.com/office/drawing/2014/main" id="{00000000-0008-0000-0300-0000FD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66" name="Line 132">
          <a:extLst>
            <a:ext uri="{FF2B5EF4-FFF2-40B4-BE49-F238E27FC236}">
              <a16:creationId xmlns:a16="http://schemas.microsoft.com/office/drawing/2014/main" id="{00000000-0008-0000-0300-0000FE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67" name="Line 151">
          <a:extLst>
            <a:ext uri="{FF2B5EF4-FFF2-40B4-BE49-F238E27FC236}">
              <a16:creationId xmlns:a16="http://schemas.microsoft.com/office/drawing/2014/main" id="{00000000-0008-0000-0300-0000FF02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768" name="Line 766">
          <a:extLst>
            <a:ext uri="{FF2B5EF4-FFF2-40B4-BE49-F238E27FC236}">
              <a16:creationId xmlns:a16="http://schemas.microsoft.com/office/drawing/2014/main" id="{00000000-0008-0000-0300-00000003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769" name="Line 1009">
          <a:extLst>
            <a:ext uri="{FF2B5EF4-FFF2-40B4-BE49-F238E27FC236}">
              <a16:creationId xmlns:a16="http://schemas.microsoft.com/office/drawing/2014/main" id="{00000000-0008-0000-0300-00000103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770" name="Line 132">
          <a:extLst>
            <a:ext uri="{FF2B5EF4-FFF2-40B4-BE49-F238E27FC236}">
              <a16:creationId xmlns:a16="http://schemas.microsoft.com/office/drawing/2014/main" id="{00000000-0008-0000-0300-00000203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771" name="Line 151">
          <a:extLst>
            <a:ext uri="{FF2B5EF4-FFF2-40B4-BE49-F238E27FC236}">
              <a16:creationId xmlns:a16="http://schemas.microsoft.com/office/drawing/2014/main" id="{00000000-0008-0000-0300-00000303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772" name="Line 132">
          <a:extLst>
            <a:ext uri="{FF2B5EF4-FFF2-40B4-BE49-F238E27FC236}">
              <a16:creationId xmlns:a16="http://schemas.microsoft.com/office/drawing/2014/main" id="{00000000-0008-0000-0300-00000403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773" name="Line 151">
          <a:extLst>
            <a:ext uri="{FF2B5EF4-FFF2-40B4-BE49-F238E27FC236}">
              <a16:creationId xmlns:a16="http://schemas.microsoft.com/office/drawing/2014/main" id="{00000000-0008-0000-0300-00000503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774" name="Line 132">
          <a:extLst>
            <a:ext uri="{FF2B5EF4-FFF2-40B4-BE49-F238E27FC236}">
              <a16:creationId xmlns:a16="http://schemas.microsoft.com/office/drawing/2014/main" id="{00000000-0008-0000-0300-000006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775" name="Line 151">
          <a:extLst>
            <a:ext uri="{FF2B5EF4-FFF2-40B4-BE49-F238E27FC236}">
              <a16:creationId xmlns:a16="http://schemas.microsoft.com/office/drawing/2014/main" id="{00000000-0008-0000-0300-000007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776" name="Line 132">
          <a:extLst>
            <a:ext uri="{FF2B5EF4-FFF2-40B4-BE49-F238E27FC236}">
              <a16:creationId xmlns:a16="http://schemas.microsoft.com/office/drawing/2014/main" id="{00000000-0008-0000-0300-00000803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777" name="Line 151">
          <a:extLst>
            <a:ext uri="{FF2B5EF4-FFF2-40B4-BE49-F238E27FC236}">
              <a16:creationId xmlns:a16="http://schemas.microsoft.com/office/drawing/2014/main" id="{00000000-0008-0000-0300-00000903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778" name="Line 132">
          <a:extLst>
            <a:ext uri="{FF2B5EF4-FFF2-40B4-BE49-F238E27FC236}">
              <a16:creationId xmlns:a16="http://schemas.microsoft.com/office/drawing/2014/main" id="{00000000-0008-0000-0300-00000A03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779" name="Line 151">
          <a:extLst>
            <a:ext uri="{FF2B5EF4-FFF2-40B4-BE49-F238E27FC236}">
              <a16:creationId xmlns:a16="http://schemas.microsoft.com/office/drawing/2014/main" id="{00000000-0008-0000-0300-00000B03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780" name="Line 132">
          <a:extLst>
            <a:ext uri="{FF2B5EF4-FFF2-40B4-BE49-F238E27FC236}">
              <a16:creationId xmlns:a16="http://schemas.microsoft.com/office/drawing/2014/main" id="{00000000-0008-0000-0300-00000C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781" name="Line 151">
          <a:extLst>
            <a:ext uri="{FF2B5EF4-FFF2-40B4-BE49-F238E27FC236}">
              <a16:creationId xmlns:a16="http://schemas.microsoft.com/office/drawing/2014/main" id="{00000000-0008-0000-0300-00000D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782" name="Line 132">
          <a:extLst>
            <a:ext uri="{FF2B5EF4-FFF2-40B4-BE49-F238E27FC236}">
              <a16:creationId xmlns:a16="http://schemas.microsoft.com/office/drawing/2014/main" id="{00000000-0008-0000-0300-00000E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783" name="Line 151">
          <a:extLst>
            <a:ext uri="{FF2B5EF4-FFF2-40B4-BE49-F238E27FC236}">
              <a16:creationId xmlns:a16="http://schemas.microsoft.com/office/drawing/2014/main" id="{00000000-0008-0000-0300-00000F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784" name="Line 132">
          <a:extLst>
            <a:ext uri="{FF2B5EF4-FFF2-40B4-BE49-F238E27FC236}">
              <a16:creationId xmlns:a16="http://schemas.microsoft.com/office/drawing/2014/main" id="{00000000-0008-0000-0300-000010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785" name="Line 151">
          <a:extLst>
            <a:ext uri="{FF2B5EF4-FFF2-40B4-BE49-F238E27FC236}">
              <a16:creationId xmlns:a16="http://schemas.microsoft.com/office/drawing/2014/main" id="{00000000-0008-0000-0300-000011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86" name="Line 132">
          <a:extLst>
            <a:ext uri="{FF2B5EF4-FFF2-40B4-BE49-F238E27FC236}">
              <a16:creationId xmlns:a16="http://schemas.microsoft.com/office/drawing/2014/main" id="{00000000-0008-0000-0300-000012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87" name="Line 151">
          <a:extLst>
            <a:ext uri="{FF2B5EF4-FFF2-40B4-BE49-F238E27FC236}">
              <a16:creationId xmlns:a16="http://schemas.microsoft.com/office/drawing/2014/main" id="{00000000-0008-0000-0300-000013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788" name="Line 132">
          <a:extLst>
            <a:ext uri="{FF2B5EF4-FFF2-40B4-BE49-F238E27FC236}">
              <a16:creationId xmlns:a16="http://schemas.microsoft.com/office/drawing/2014/main" id="{00000000-0008-0000-0300-000014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789" name="Line 151">
          <a:extLst>
            <a:ext uri="{FF2B5EF4-FFF2-40B4-BE49-F238E27FC236}">
              <a16:creationId xmlns:a16="http://schemas.microsoft.com/office/drawing/2014/main" id="{00000000-0008-0000-0300-000015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790" name="Line 132">
          <a:extLst>
            <a:ext uri="{FF2B5EF4-FFF2-40B4-BE49-F238E27FC236}">
              <a16:creationId xmlns:a16="http://schemas.microsoft.com/office/drawing/2014/main" id="{00000000-0008-0000-0300-000016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791" name="Line 151">
          <a:extLst>
            <a:ext uri="{FF2B5EF4-FFF2-40B4-BE49-F238E27FC236}">
              <a16:creationId xmlns:a16="http://schemas.microsoft.com/office/drawing/2014/main" id="{00000000-0008-0000-0300-000017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792" name="Line 132">
          <a:extLst>
            <a:ext uri="{FF2B5EF4-FFF2-40B4-BE49-F238E27FC236}">
              <a16:creationId xmlns:a16="http://schemas.microsoft.com/office/drawing/2014/main" id="{00000000-0008-0000-0300-000018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793" name="Line 151">
          <a:extLst>
            <a:ext uri="{FF2B5EF4-FFF2-40B4-BE49-F238E27FC236}">
              <a16:creationId xmlns:a16="http://schemas.microsoft.com/office/drawing/2014/main" id="{00000000-0008-0000-0300-000019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94" name="Line 132">
          <a:extLst>
            <a:ext uri="{FF2B5EF4-FFF2-40B4-BE49-F238E27FC236}">
              <a16:creationId xmlns:a16="http://schemas.microsoft.com/office/drawing/2014/main" id="{00000000-0008-0000-0300-00001A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795" name="Line 151">
          <a:extLst>
            <a:ext uri="{FF2B5EF4-FFF2-40B4-BE49-F238E27FC236}">
              <a16:creationId xmlns:a16="http://schemas.microsoft.com/office/drawing/2014/main" id="{00000000-0008-0000-0300-00001B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796" name="Line 132">
          <a:extLst>
            <a:ext uri="{FF2B5EF4-FFF2-40B4-BE49-F238E27FC236}">
              <a16:creationId xmlns:a16="http://schemas.microsoft.com/office/drawing/2014/main" id="{00000000-0008-0000-0300-00001C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797" name="Line 151">
          <a:extLst>
            <a:ext uri="{FF2B5EF4-FFF2-40B4-BE49-F238E27FC236}">
              <a16:creationId xmlns:a16="http://schemas.microsoft.com/office/drawing/2014/main" id="{00000000-0008-0000-0300-00001D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798" name="Line 132">
          <a:extLst>
            <a:ext uri="{FF2B5EF4-FFF2-40B4-BE49-F238E27FC236}">
              <a16:creationId xmlns:a16="http://schemas.microsoft.com/office/drawing/2014/main" id="{00000000-0008-0000-0300-00001E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799" name="Line 151">
          <a:extLst>
            <a:ext uri="{FF2B5EF4-FFF2-40B4-BE49-F238E27FC236}">
              <a16:creationId xmlns:a16="http://schemas.microsoft.com/office/drawing/2014/main" id="{00000000-0008-0000-0300-00001F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800" name="Line 132">
          <a:extLst>
            <a:ext uri="{FF2B5EF4-FFF2-40B4-BE49-F238E27FC236}">
              <a16:creationId xmlns:a16="http://schemas.microsoft.com/office/drawing/2014/main" id="{00000000-0008-0000-0300-000020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801" name="Line 151">
          <a:extLst>
            <a:ext uri="{FF2B5EF4-FFF2-40B4-BE49-F238E27FC236}">
              <a16:creationId xmlns:a16="http://schemas.microsoft.com/office/drawing/2014/main" id="{00000000-0008-0000-0300-000021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802" name="Line 132">
          <a:extLst>
            <a:ext uri="{FF2B5EF4-FFF2-40B4-BE49-F238E27FC236}">
              <a16:creationId xmlns:a16="http://schemas.microsoft.com/office/drawing/2014/main" id="{00000000-0008-0000-0300-000022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803" name="Line 151">
          <a:extLst>
            <a:ext uri="{FF2B5EF4-FFF2-40B4-BE49-F238E27FC236}">
              <a16:creationId xmlns:a16="http://schemas.microsoft.com/office/drawing/2014/main" id="{00000000-0008-0000-0300-000023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804" name="Line 132">
          <a:extLst>
            <a:ext uri="{FF2B5EF4-FFF2-40B4-BE49-F238E27FC236}">
              <a16:creationId xmlns:a16="http://schemas.microsoft.com/office/drawing/2014/main" id="{00000000-0008-0000-0300-00002403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805" name="Line 151">
          <a:extLst>
            <a:ext uri="{FF2B5EF4-FFF2-40B4-BE49-F238E27FC236}">
              <a16:creationId xmlns:a16="http://schemas.microsoft.com/office/drawing/2014/main" id="{00000000-0008-0000-0300-00002503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806" name="Line 132">
          <a:extLst>
            <a:ext uri="{FF2B5EF4-FFF2-40B4-BE49-F238E27FC236}">
              <a16:creationId xmlns:a16="http://schemas.microsoft.com/office/drawing/2014/main" id="{00000000-0008-0000-0300-00002603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807" name="Line 151">
          <a:extLst>
            <a:ext uri="{FF2B5EF4-FFF2-40B4-BE49-F238E27FC236}">
              <a16:creationId xmlns:a16="http://schemas.microsoft.com/office/drawing/2014/main" id="{00000000-0008-0000-0300-00002703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808" name="Line 132">
          <a:extLst>
            <a:ext uri="{FF2B5EF4-FFF2-40B4-BE49-F238E27FC236}">
              <a16:creationId xmlns:a16="http://schemas.microsoft.com/office/drawing/2014/main" id="{00000000-0008-0000-0300-000028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809" name="Line 151">
          <a:extLst>
            <a:ext uri="{FF2B5EF4-FFF2-40B4-BE49-F238E27FC236}">
              <a16:creationId xmlns:a16="http://schemas.microsoft.com/office/drawing/2014/main" id="{00000000-0008-0000-0300-000029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810" name="Line 132">
          <a:extLst>
            <a:ext uri="{FF2B5EF4-FFF2-40B4-BE49-F238E27FC236}">
              <a16:creationId xmlns:a16="http://schemas.microsoft.com/office/drawing/2014/main" id="{00000000-0008-0000-0300-00002A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811" name="Line 151">
          <a:extLst>
            <a:ext uri="{FF2B5EF4-FFF2-40B4-BE49-F238E27FC236}">
              <a16:creationId xmlns:a16="http://schemas.microsoft.com/office/drawing/2014/main" id="{00000000-0008-0000-0300-00002B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812" name="Line 132">
          <a:extLst>
            <a:ext uri="{FF2B5EF4-FFF2-40B4-BE49-F238E27FC236}">
              <a16:creationId xmlns:a16="http://schemas.microsoft.com/office/drawing/2014/main" id="{00000000-0008-0000-0300-00002C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813" name="Line 151">
          <a:extLst>
            <a:ext uri="{FF2B5EF4-FFF2-40B4-BE49-F238E27FC236}">
              <a16:creationId xmlns:a16="http://schemas.microsoft.com/office/drawing/2014/main" id="{00000000-0008-0000-0300-00002D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814" name="Line 132">
          <a:extLst>
            <a:ext uri="{FF2B5EF4-FFF2-40B4-BE49-F238E27FC236}">
              <a16:creationId xmlns:a16="http://schemas.microsoft.com/office/drawing/2014/main" id="{00000000-0008-0000-0300-00002E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815" name="Line 151">
          <a:extLst>
            <a:ext uri="{FF2B5EF4-FFF2-40B4-BE49-F238E27FC236}">
              <a16:creationId xmlns:a16="http://schemas.microsoft.com/office/drawing/2014/main" id="{00000000-0008-0000-0300-00002F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816" name="Line 766">
          <a:extLst>
            <a:ext uri="{FF2B5EF4-FFF2-40B4-BE49-F238E27FC236}">
              <a16:creationId xmlns:a16="http://schemas.microsoft.com/office/drawing/2014/main" id="{00000000-0008-0000-0300-00003003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817" name="Line 1009">
          <a:extLst>
            <a:ext uri="{FF2B5EF4-FFF2-40B4-BE49-F238E27FC236}">
              <a16:creationId xmlns:a16="http://schemas.microsoft.com/office/drawing/2014/main" id="{00000000-0008-0000-0300-00003103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818" name="Line 132">
          <a:extLst>
            <a:ext uri="{FF2B5EF4-FFF2-40B4-BE49-F238E27FC236}">
              <a16:creationId xmlns:a16="http://schemas.microsoft.com/office/drawing/2014/main" id="{00000000-0008-0000-0300-00003203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819" name="Line 151">
          <a:extLst>
            <a:ext uri="{FF2B5EF4-FFF2-40B4-BE49-F238E27FC236}">
              <a16:creationId xmlns:a16="http://schemas.microsoft.com/office/drawing/2014/main" id="{00000000-0008-0000-0300-00003303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820" name="Line 132">
          <a:extLst>
            <a:ext uri="{FF2B5EF4-FFF2-40B4-BE49-F238E27FC236}">
              <a16:creationId xmlns:a16="http://schemas.microsoft.com/office/drawing/2014/main" id="{00000000-0008-0000-0300-00003403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821" name="Line 151">
          <a:extLst>
            <a:ext uri="{FF2B5EF4-FFF2-40B4-BE49-F238E27FC236}">
              <a16:creationId xmlns:a16="http://schemas.microsoft.com/office/drawing/2014/main" id="{00000000-0008-0000-0300-00003503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822" name="Line 132">
          <a:extLst>
            <a:ext uri="{FF2B5EF4-FFF2-40B4-BE49-F238E27FC236}">
              <a16:creationId xmlns:a16="http://schemas.microsoft.com/office/drawing/2014/main" id="{00000000-0008-0000-0300-000036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823" name="Line 151">
          <a:extLst>
            <a:ext uri="{FF2B5EF4-FFF2-40B4-BE49-F238E27FC236}">
              <a16:creationId xmlns:a16="http://schemas.microsoft.com/office/drawing/2014/main" id="{00000000-0008-0000-0300-000037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824" name="Line 132">
          <a:extLst>
            <a:ext uri="{FF2B5EF4-FFF2-40B4-BE49-F238E27FC236}">
              <a16:creationId xmlns:a16="http://schemas.microsoft.com/office/drawing/2014/main" id="{00000000-0008-0000-0300-00003803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825" name="Line 151">
          <a:extLst>
            <a:ext uri="{FF2B5EF4-FFF2-40B4-BE49-F238E27FC236}">
              <a16:creationId xmlns:a16="http://schemas.microsoft.com/office/drawing/2014/main" id="{00000000-0008-0000-0300-00003903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826" name="Line 132">
          <a:extLst>
            <a:ext uri="{FF2B5EF4-FFF2-40B4-BE49-F238E27FC236}">
              <a16:creationId xmlns:a16="http://schemas.microsoft.com/office/drawing/2014/main" id="{00000000-0008-0000-0300-00003A03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827" name="Line 151">
          <a:extLst>
            <a:ext uri="{FF2B5EF4-FFF2-40B4-BE49-F238E27FC236}">
              <a16:creationId xmlns:a16="http://schemas.microsoft.com/office/drawing/2014/main" id="{00000000-0008-0000-0300-00003B03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828" name="Line 132">
          <a:extLst>
            <a:ext uri="{FF2B5EF4-FFF2-40B4-BE49-F238E27FC236}">
              <a16:creationId xmlns:a16="http://schemas.microsoft.com/office/drawing/2014/main" id="{00000000-0008-0000-0300-00003C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829" name="Line 151">
          <a:extLst>
            <a:ext uri="{FF2B5EF4-FFF2-40B4-BE49-F238E27FC236}">
              <a16:creationId xmlns:a16="http://schemas.microsoft.com/office/drawing/2014/main" id="{00000000-0008-0000-0300-00003D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830" name="Line 132">
          <a:extLst>
            <a:ext uri="{FF2B5EF4-FFF2-40B4-BE49-F238E27FC236}">
              <a16:creationId xmlns:a16="http://schemas.microsoft.com/office/drawing/2014/main" id="{00000000-0008-0000-0300-00003E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831" name="Line 151">
          <a:extLst>
            <a:ext uri="{FF2B5EF4-FFF2-40B4-BE49-F238E27FC236}">
              <a16:creationId xmlns:a16="http://schemas.microsoft.com/office/drawing/2014/main" id="{00000000-0008-0000-0300-00003F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832" name="Line 132">
          <a:extLst>
            <a:ext uri="{FF2B5EF4-FFF2-40B4-BE49-F238E27FC236}">
              <a16:creationId xmlns:a16="http://schemas.microsoft.com/office/drawing/2014/main" id="{00000000-0008-0000-0300-000040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833" name="Line 151">
          <a:extLst>
            <a:ext uri="{FF2B5EF4-FFF2-40B4-BE49-F238E27FC236}">
              <a16:creationId xmlns:a16="http://schemas.microsoft.com/office/drawing/2014/main" id="{00000000-0008-0000-0300-000041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834" name="Line 132">
          <a:extLst>
            <a:ext uri="{FF2B5EF4-FFF2-40B4-BE49-F238E27FC236}">
              <a16:creationId xmlns:a16="http://schemas.microsoft.com/office/drawing/2014/main" id="{00000000-0008-0000-0300-000042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835" name="Line 151">
          <a:extLst>
            <a:ext uri="{FF2B5EF4-FFF2-40B4-BE49-F238E27FC236}">
              <a16:creationId xmlns:a16="http://schemas.microsoft.com/office/drawing/2014/main" id="{00000000-0008-0000-0300-000043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836" name="Line 132">
          <a:extLst>
            <a:ext uri="{FF2B5EF4-FFF2-40B4-BE49-F238E27FC236}">
              <a16:creationId xmlns:a16="http://schemas.microsoft.com/office/drawing/2014/main" id="{00000000-0008-0000-0300-000044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837" name="Line 151">
          <a:extLst>
            <a:ext uri="{FF2B5EF4-FFF2-40B4-BE49-F238E27FC236}">
              <a16:creationId xmlns:a16="http://schemas.microsoft.com/office/drawing/2014/main" id="{00000000-0008-0000-0300-000045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838" name="Line 132">
          <a:extLst>
            <a:ext uri="{FF2B5EF4-FFF2-40B4-BE49-F238E27FC236}">
              <a16:creationId xmlns:a16="http://schemas.microsoft.com/office/drawing/2014/main" id="{00000000-0008-0000-0300-000046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839" name="Line 151">
          <a:extLst>
            <a:ext uri="{FF2B5EF4-FFF2-40B4-BE49-F238E27FC236}">
              <a16:creationId xmlns:a16="http://schemas.microsoft.com/office/drawing/2014/main" id="{00000000-0008-0000-0300-000047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840" name="Line 132">
          <a:extLst>
            <a:ext uri="{FF2B5EF4-FFF2-40B4-BE49-F238E27FC236}">
              <a16:creationId xmlns:a16="http://schemas.microsoft.com/office/drawing/2014/main" id="{00000000-0008-0000-0300-000048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841" name="Line 151">
          <a:extLst>
            <a:ext uri="{FF2B5EF4-FFF2-40B4-BE49-F238E27FC236}">
              <a16:creationId xmlns:a16="http://schemas.microsoft.com/office/drawing/2014/main" id="{00000000-0008-0000-0300-000049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842" name="Line 132">
          <a:extLst>
            <a:ext uri="{FF2B5EF4-FFF2-40B4-BE49-F238E27FC236}">
              <a16:creationId xmlns:a16="http://schemas.microsoft.com/office/drawing/2014/main" id="{00000000-0008-0000-0300-00004A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843" name="Line 151">
          <a:extLst>
            <a:ext uri="{FF2B5EF4-FFF2-40B4-BE49-F238E27FC236}">
              <a16:creationId xmlns:a16="http://schemas.microsoft.com/office/drawing/2014/main" id="{00000000-0008-0000-0300-00004B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844" name="Line 132">
          <a:extLst>
            <a:ext uri="{FF2B5EF4-FFF2-40B4-BE49-F238E27FC236}">
              <a16:creationId xmlns:a16="http://schemas.microsoft.com/office/drawing/2014/main" id="{00000000-0008-0000-0300-00004C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845" name="Line 151">
          <a:extLst>
            <a:ext uri="{FF2B5EF4-FFF2-40B4-BE49-F238E27FC236}">
              <a16:creationId xmlns:a16="http://schemas.microsoft.com/office/drawing/2014/main" id="{00000000-0008-0000-0300-00004D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846" name="Line 132">
          <a:extLst>
            <a:ext uri="{FF2B5EF4-FFF2-40B4-BE49-F238E27FC236}">
              <a16:creationId xmlns:a16="http://schemas.microsoft.com/office/drawing/2014/main" id="{00000000-0008-0000-0300-00004E03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847" name="Line 151">
          <a:extLst>
            <a:ext uri="{FF2B5EF4-FFF2-40B4-BE49-F238E27FC236}">
              <a16:creationId xmlns:a16="http://schemas.microsoft.com/office/drawing/2014/main" id="{00000000-0008-0000-0300-00004F03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848" name="Line 132">
          <a:extLst>
            <a:ext uri="{FF2B5EF4-FFF2-40B4-BE49-F238E27FC236}">
              <a16:creationId xmlns:a16="http://schemas.microsoft.com/office/drawing/2014/main" id="{00000000-0008-0000-0300-00005003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849" name="Line 151">
          <a:extLst>
            <a:ext uri="{FF2B5EF4-FFF2-40B4-BE49-F238E27FC236}">
              <a16:creationId xmlns:a16="http://schemas.microsoft.com/office/drawing/2014/main" id="{00000000-0008-0000-0300-00005103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850" name="Line 132">
          <a:extLst>
            <a:ext uri="{FF2B5EF4-FFF2-40B4-BE49-F238E27FC236}">
              <a16:creationId xmlns:a16="http://schemas.microsoft.com/office/drawing/2014/main" id="{00000000-0008-0000-0300-000052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851" name="Line 151">
          <a:extLst>
            <a:ext uri="{FF2B5EF4-FFF2-40B4-BE49-F238E27FC236}">
              <a16:creationId xmlns:a16="http://schemas.microsoft.com/office/drawing/2014/main" id="{00000000-0008-0000-0300-000053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852" name="Line 132">
          <a:extLst>
            <a:ext uri="{FF2B5EF4-FFF2-40B4-BE49-F238E27FC236}">
              <a16:creationId xmlns:a16="http://schemas.microsoft.com/office/drawing/2014/main" id="{00000000-0008-0000-0300-000054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853" name="Line 151">
          <a:extLst>
            <a:ext uri="{FF2B5EF4-FFF2-40B4-BE49-F238E27FC236}">
              <a16:creationId xmlns:a16="http://schemas.microsoft.com/office/drawing/2014/main" id="{00000000-0008-0000-0300-000055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854" name="Line 132">
          <a:extLst>
            <a:ext uri="{FF2B5EF4-FFF2-40B4-BE49-F238E27FC236}">
              <a16:creationId xmlns:a16="http://schemas.microsoft.com/office/drawing/2014/main" id="{00000000-0008-0000-0300-000056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855" name="Line 151">
          <a:extLst>
            <a:ext uri="{FF2B5EF4-FFF2-40B4-BE49-F238E27FC236}">
              <a16:creationId xmlns:a16="http://schemas.microsoft.com/office/drawing/2014/main" id="{00000000-0008-0000-0300-000057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856" name="Line 132">
          <a:extLst>
            <a:ext uri="{FF2B5EF4-FFF2-40B4-BE49-F238E27FC236}">
              <a16:creationId xmlns:a16="http://schemas.microsoft.com/office/drawing/2014/main" id="{00000000-0008-0000-0300-000058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857" name="Line 151">
          <a:extLst>
            <a:ext uri="{FF2B5EF4-FFF2-40B4-BE49-F238E27FC236}">
              <a16:creationId xmlns:a16="http://schemas.microsoft.com/office/drawing/2014/main" id="{00000000-0008-0000-0300-000059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858" name="Line 766">
          <a:extLst>
            <a:ext uri="{FF2B5EF4-FFF2-40B4-BE49-F238E27FC236}">
              <a16:creationId xmlns:a16="http://schemas.microsoft.com/office/drawing/2014/main" id="{00000000-0008-0000-0300-00005A03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859" name="Line 1009">
          <a:extLst>
            <a:ext uri="{FF2B5EF4-FFF2-40B4-BE49-F238E27FC236}">
              <a16:creationId xmlns:a16="http://schemas.microsoft.com/office/drawing/2014/main" id="{00000000-0008-0000-0300-00005B03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860" name="Line 132">
          <a:extLst>
            <a:ext uri="{FF2B5EF4-FFF2-40B4-BE49-F238E27FC236}">
              <a16:creationId xmlns:a16="http://schemas.microsoft.com/office/drawing/2014/main" id="{00000000-0008-0000-0300-00005C03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861" name="Line 151">
          <a:extLst>
            <a:ext uri="{FF2B5EF4-FFF2-40B4-BE49-F238E27FC236}">
              <a16:creationId xmlns:a16="http://schemas.microsoft.com/office/drawing/2014/main" id="{00000000-0008-0000-0300-00005D03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862" name="Line 132">
          <a:extLst>
            <a:ext uri="{FF2B5EF4-FFF2-40B4-BE49-F238E27FC236}">
              <a16:creationId xmlns:a16="http://schemas.microsoft.com/office/drawing/2014/main" id="{00000000-0008-0000-0300-00005E03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863" name="Line 151">
          <a:extLst>
            <a:ext uri="{FF2B5EF4-FFF2-40B4-BE49-F238E27FC236}">
              <a16:creationId xmlns:a16="http://schemas.microsoft.com/office/drawing/2014/main" id="{00000000-0008-0000-0300-00005F03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864" name="Line 132">
          <a:extLst>
            <a:ext uri="{FF2B5EF4-FFF2-40B4-BE49-F238E27FC236}">
              <a16:creationId xmlns:a16="http://schemas.microsoft.com/office/drawing/2014/main" id="{00000000-0008-0000-0300-000060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865" name="Line 151">
          <a:extLst>
            <a:ext uri="{FF2B5EF4-FFF2-40B4-BE49-F238E27FC236}">
              <a16:creationId xmlns:a16="http://schemas.microsoft.com/office/drawing/2014/main" id="{00000000-0008-0000-0300-000061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866" name="Line 132">
          <a:extLst>
            <a:ext uri="{FF2B5EF4-FFF2-40B4-BE49-F238E27FC236}">
              <a16:creationId xmlns:a16="http://schemas.microsoft.com/office/drawing/2014/main" id="{00000000-0008-0000-0300-00006203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867" name="Line 151">
          <a:extLst>
            <a:ext uri="{FF2B5EF4-FFF2-40B4-BE49-F238E27FC236}">
              <a16:creationId xmlns:a16="http://schemas.microsoft.com/office/drawing/2014/main" id="{00000000-0008-0000-0300-00006303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868" name="Line 132">
          <a:extLst>
            <a:ext uri="{FF2B5EF4-FFF2-40B4-BE49-F238E27FC236}">
              <a16:creationId xmlns:a16="http://schemas.microsoft.com/office/drawing/2014/main" id="{00000000-0008-0000-0300-00006403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869" name="Line 151">
          <a:extLst>
            <a:ext uri="{FF2B5EF4-FFF2-40B4-BE49-F238E27FC236}">
              <a16:creationId xmlns:a16="http://schemas.microsoft.com/office/drawing/2014/main" id="{00000000-0008-0000-0300-00006503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870" name="Line 132">
          <a:extLst>
            <a:ext uri="{FF2B5EF4-FFF2-40B4-BE49-F238E27FC236}">
              <a16:creationId xmlns:a16="http://schemas.microsoft.com/office/drawing/2014/main" id="{00000000-0008-0000-0300-000066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871" name="Line 151">
          <a:extLst>
            <a:ext uri="{FF2B5EF4-FFF2-40B4-BE49-F238E27FC236}">
              <a16:creationId xmlns:a16="http://schemas.microsoft.com/office/drawing/2014/main" id="{00000000-0008-0000-0300-000067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872" name="Line 132">
          <a:extLst>
            <a:ext uri="{FF2B5EF4-FFF2-40B4-BE49-F238E27FC236}">
              <a16:creationId xmlns:a16="http://schemas.microsoft.com/office/drawing/2014/main" id="{00000000-0008-0000-0300-000068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873" name="Line 151">
          <a:extLst>
            <a:ext uri="{FF2B5EF4-FFF2-40B4-BE49-F238E27FC236}">
              <a16:creationId xmlns:a16="http://schemas.microsoft.com/office/drawing/2014/main" id="{00000000-0008-0000-0300-000069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874" name="Line 132">
          <a:extLst>
            <a:ext uri="{FF2B5EF4-FFF2-40B4-BE49-F238E27FC236}">
              <a16:creationId xmlns:a16="http://schemas.microsoft.com/office/drawing/2014/main" id="{00000000-0008-0000-0300-00006A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875" name="Line 151">
          <a:extLst>
            <a:ext uri="{FF2B5EF4-FFF2-40B4-BE49-F238E27FC236}">
              <a16:creationId xmlns:a16="http://schemas.microsoft.com/office/drawing/2014/main" id="{00000000-0008-0000-0300-00006B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876" name="Line 132">
          <a:extLst>
            <a:ext uri="{FF2B5EF4-FFF2-40B4-BE49-F238E27FC236}">
              <a16:creationId xmlns:a16="http://schemas.microsoft.com/office/drawing/2014/main" id="{00000000-0008-0000-0300-00006C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877" name="Line 151">
          <a:extLst>
            <a:ext uri="{FF2B5EF4-FFF2-40B4-BE49-F238E27FC236}">
              <a16:creationId xmlns:a16="http://schemas.microsoft.com/office/drawing/2014/main" id="{00000000-0008-0000-0300-00006D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878" name="Line 132">
          <a:extLst>
            <a:ext uri="{FF2B5EF4-FFF2-40B4-BE49-F238E27FC236}">
              <a16:creationId xmlns:a16="http://schemas.microsoft.com/office/drawing/2014/main" id="{00000000-0008-0000-0300-00006E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879" name="Line 151">
          <a:extLst>
            <a:ext uri="{FF2B5EF4-FFF2-40B4-BE49-F238E27FC236}">
              <a16:creationId xmlns:a16="http://schemas.microsoft.com/office/drawing/2014/main" id="{00000000-0008-0000-0300-00006F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880" name="Line 132">
          <a:extLst>
            <a:ext uri="{FF2B5EF4-FFF2-40B4-BE49-F238E27FC236}">
              <a16:creationId xmlns:a16="http://schemas.microsoft.com/office/drawing/2014/main" id="{00000000-0008-0000-0300-000070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881" name="Line 151">
          <a:extLst>
            <a:ext uri="{FF2B5EF4-FFF2-40B4-BE49-F238E27FC236}">
              <a16:creationId xmlns:a16="http://schemas.microsoft.com/office/drawing/2014/main" id="{00000000-0008-0000-0300-000071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882" name="Line 132">
          <a:extLst>
            <a:ext uri="{FF2B5EF4-FFF2-40B4-BE49-F238E27FC236}">
              <a16:creationId xmlns:a16="http://schemas.microsoft.com/office/drawing/2014/main" id="{00000000-0008-0000-0300-000072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883" name="Line 151">
          <a:extLst>
            <a:ext uri="{FF2B5EF4-FFF2-40B4-BE49-F238E27FC236}">
              <a16:creationId xmlns:a16="http://schemas.microsoft.com/office/drawing/2014/main" id="{00000000-0008-0000-0300-000073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884" name="Line 132">
          <a:extLst>
            <a:ext uri="{FF2B5EF4-FFF2-40B4-BE49-F238E27FC236}">
              <a16:creationId xmlns:a16="http://schemas.microsoft.com/office/drawing/2014/main" id="{00000000-0008-0000-0300-000074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885" name="Line 151">
          <a:extLst>
            <a:ext uri="{FF2B5EF4-FFF2-40B4-BE49-F238E27FC236}">
              <a16:creationId xmlns:a16="http://schemas.microsoft.com/office/drawing/2014/main" id="{00000000-0008-0000-0300-000075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886" name="Line 766">
          <a:extLst>
            <a:ext uri="{FF2B5EF4-FFF2-40B4-BE49-F238E27FC236}">
              <a16:creationId xmlns:a16="http://schemas.microsoft.com/office/drawing/2014/main" id="{00000000-0008-0000-0300-000076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887" name="Line 1009">
          <a:extLst>
            <a:ext uri="{FF2B5EF4-FFF2-40B4-BE49-F238E27FC236}">
              <a16:creationId xmlns:a16="http://schemas.microsoft.com/office/drawing/2014/main" id="{00000000-0008-0000-0300-000077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888" name="Line 132">
          <a:extLst>
            <a:ext uri="{FF2B5EF4-FFF2-40B4-BE49-F238E27FC236}">
              <a16:creationId xmlns:a16="http://schemas.microsoft.com/office/drawing/2014/main" id="{00000000-0008-0000-0300-000078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889" name="Line 151">
          <a:extLst>
            <a:ext uri="{FF2B5EF4-FFF2-40B4-BE49-F238E27FC236}">
              <a16:creationId xmlns:a16="http://schemas.microsoft.com/office/drawing/2014/main" id="{00000000-0008-0000-0300-000079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890" name="Line 132">
          <a:extLst>
            <a:ext uri="{FF2B5EF4-FFF2-40B4-BE49-F238E27FC236}">
              <a16:creationId xmlns:a16="http://schemas.microsoft.com/office/drawing/2014/main" id="{00000000-0008-0000-0300-00007A03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891" name="Line 151">
          <a:extLst>
            <a:ext uri="{FF2B5EF4-FFF2-40B4-BE49-F238E27FC236}">
              <a16:creationId xmlns:a16="http://schemas.microsoft.com/office/drawing/2014/main" id="{00000000-0008-0000-0300-00007B03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892" name="Line 132">
          <a:extLst>
            <a:ext uri="{FF2B5EF4-FFF2-40B4-BE49-F238E27FC236}">
              <a16:creationId xmlns:a16="http://schemas.microsoft.com/office/drawing/2014/main" id="{00000000-0008-0000-0300-00007C03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893" name="Line 151">
          <a:extLst>
            <a:ext uri="{FF2B5EF4-FFF2-40B4-BE49-F238E27FC236}">
              <a16:creationId xmlns:a16="http://schemas.microsoft.com/office/drawing/2014/main" id="{00000000-0008-0000-0300-00007D03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894" name="Line 132">
          <a:extLst>
            <a:ext uri="{FF2B5EF4-FFF2-40B4-BE49-F238E27FC236}">
              <a16:creationId xmlns:a16="http://schemas.microsoft.com/office/drawing/2014/main" id="{00000000-0008-0000-0300-00007E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895" name="Line 151">
          <a:extLst>
            <a:ext uri="{FF2B5EF4-FFF2-40B4-BE49-F238E27FC236}">
              <a16:creationId xmlns:a16="http://schemas.microsoft.com/office/drawing/2014/main" id="{00000000-0008-0000-0300-00007F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896" name="Line 132">
          <a:extLst>
            <a:ext uri="{FF2B5EF4-FFF2-40B4-BE49-F238E27FC236}">
              <a16:creationId xmlns:a16="http://schemas.microsoft.com/office/drawing/2014/main" id="{00000000-0008-0000-0300-000080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897" name="Line 151">
          <a:extLst>
            <a:ext uri="{FF2B5EF4-FFF2-40B4-BE49-F238E27FC236}">
              <a16:creationId xmlns:a16="http://schemas.microsoft.com/office/drawing/2014/main" id="{00000000-0008-0000-0300-000081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898" name="Line 132">
          <a:extLst>
            <a:ext uri="{FF2B5EF4-FFF2-40B4-BE49-F238E27FC236}">
              <a16:creationId xmlns:a16="http://schemas.microsoft.com/office/drawing/2014/main" id="{00000000-0008-0000-0300-000082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899" name="Line 151">
          <a:extLst>
            <a:ext uri="{FF2B5EF4-FFF2-40B4-BE49-F238E27FC236}">
              <a16:creationId xmlns:a16="http://schemas.microsoft.com/office/drawing/2014/main" id="{00000000-0008-0000-0300-000083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900" name="Line 132">
          <a:extLst>
            <a:ext uri="{FF2B5EF4-FFF2-40B4-BE49-F238E27FC236}">
              <a16:creationId xmlns:a16="http://schemas.microsoft.com/office/drawing/2014/main" id="{00000000-0008-0000-0300-000084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901" name="Line 151">
          <a:extLst>
            <a:ext uri="{FF2B5EF4-FFF2-40B4-BE49-F238E27FC236}">
              <a16:creationId xmlns:a16="http://schemas.microsoft.com/office/drawing/2014/main" id="{00000000-0008-0000-0300-000085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902" name="Line 132">
          <a:extLst>
            <a:ext uri="{FF2B5EF4-FFF2-40B4-BE49-F238E27FC236}">
              <a16:creationId xmlns:a16="http://schemas.microsoft.com/office/drawing/2014/main" id="{00000000-0008-0000-0300-000086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903" name="Line 151">
          <a:extLst>
            <a:ext uri="{FF2B5EF4-FFF2-40B4-BE49-F238E27FC236}">
              <a16:creationId xmlns:a16="http://schemas.microsoft.com/office/drawing/2014/main" id="{00000000-0008-0000-0300-000087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904" name="Line 132">
          <a:extLst>
            <a:ext uri="{FF2B5EF4-FFF2-40B4-BE49-F238E27FC236}">
              <a16:creationId xmlns:a16="http://schemas.microsoft.com/office/drawing/2014/main" id="{00000000-0008-0000-0300-000088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905" name="Line 151">
          <a:extLst>
            <a:ext uri="{FF2B5EF4-FFF2-40B4-BE49-F238E27FC236}">
              <a16:creationId xmlns:a16="http://schemas.microsoft.com/office/drawing/2014/main" id="{00000000-0008-0000-0300-000089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906" name="Line 132">
          <a:extLst>
            <a:ext uri="{FF2B5EF4-FFF2-40B4-BE49-F238E27FC236}">
              <a16:creationId xmlns:a16="http://schemas.microsoft.com/office/drawing/2014/main" id="{00000000-0008-0000-0300-00008A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907" name="Line 151">
          <a:extLst>
            <a:ext uri="{FF2B5EF4-FFF2-40B4-BE49-F238E27FC236}">
              <a16:creationId xmlns:a16="http://schemas.microsoft.com/office/drawing/2014/main" id="{00000000-0008-0000-0300-00008B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908" name="Line 132">
          <a:extLst>
            <a:ext uri="{FF2B5EF4-FFF2-40B4-BE49-F238E27FC236}">
              <a16:creationId xmlns:a16="http://schemas.microsoft.com/office/drawing/2014/main" id="{00000000-0008-0000-0300-00008C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909" name="Line 151">
          <a:extLst>
            <a:ext uri="{FF2B5EF4-FFF2-40B4-BE49-F238E27FC236}">
              <a16:creationId xmlns:a16="http://schemas.microsoft.com/office/drawing/2014/main" id="{00000000-0008-0000-0300-00008D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910" name="Line 132">
          <a:extLst>
            <a:ext uri="{FF2B5EF4-FFF2-40B4-BE49-F238E27FC236}">
              <a16:creationId xmlns:a16="http://schemas.microsoft.com/office/drawing/2014/main" id="{00000000-0008-0000-0300-00008E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911" name="Line 151">
          <a:extLst>
            <a:ext uri="{FF2B5EF4-FFF2-40B4-BE49-F238E27FC236}">
              <a16:creationId xmlns:a16="http://schemas.microsoft.com/office/drawing/2014/main" id="{00000000-0008-0000-0300-00008F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912" name="Line 132">
          <a:extLst>
            <a:ext uri="{FF2B5EF4-FFF2-40B4-BE49-F238E27FC236}">
              <a16:creationId xmlns:a16="http://schemas.microsoft.com/office/drawing/2014/main" id="{00000000-0008-0000-0300-000090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913" name="Line 151">
          <a:extLst>
            <a:ext uri="{FF2B5EF4-FFF2-40B4-BE49-F238E27FC236}">
              <a16:creationId xmlns:a16="http://schemas.microsoft.com/office/drawing/2014/main" id="{00000000-0008-0000-0300-000091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914" name="Line 132">
          <a:extLst>
            <a:ext uri="{FF2B5EF4-FFF2-40B4-BE49-F238E27FC236}">
              <a16:creationId xmlns:a16="http://schemas.microsoft.com/office/drawing/2014/main" id="{00000000-0008-0000-0300-000092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915" name="Line 151">
          <a:extLst>
            <a:ext uri="{FF2B5EF4-FFF2-40B4-BE49-F238E27FC236}">
              <a16:creationId xmlns:a16="http://schemas.microsoft.com/office/drawing/2014/main" id="{00000000-0008-0000-0300-000093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916" name="Line 132">
          <a:extLst>
            <a:ext uri="{FF2B5EF4-FFF2-40B4-BE49-F238E27FC236}">
              <a16:creationId xmlns:a16="http://schemas.microsoft.com/office/drawing/2014/main" id="{00000000-0008-0000-0300-000094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917" name="Line 151">
          <a:extLst>
            <a:ext uri="{FF2B5EF4-FFF2-40B4-BE49-F238E27FC236}">
              <a16:creationId xmlns:a16="http://schemas.microsoft.com/office/drawing/2014/main" id="{00000000-0008-0000-0300-000095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918" name="Line 132">
          <a:extLst>
            <a:ext uri="{FF2B5EF4-FFF2-40B4-BE49-F238E27FC236}">
              <a16:creationId xmlns:a16="http://schemas.microsoft.com/office/drawing/2014/main" id="{00000000-0008-0000-0300-00009603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919" name="Line 151">
          <a:extLst>
            <a:ext uri="{FF2B5EF4-FFF2-40B4-BE49-F238E27FC236}">
              <a16:creationId xmlns:a16="http://schemas.microsoft.com/office/drawing/2014/main" id="{00000000-0008-0000-0300-00009703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920" name="Line 132">
          <a:extLst>
            <a:ext uri="{FF2B5EF4-FFF2-40B4-BE49-F238E27FC236}">
              <a16:creationId xmlns:a16="http://schemas.microsoft.com/office/drawing/2014/main" id="{00000000-0008-0000-0300-00009803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921" name="Line 151">
          <a:extLst>
            <a:ext uri="{FF2B5EF4-FFF2-40B4-BE49-F238E27FC236}">
              <a16:creationId xmlns:a16="http://schemas.microsoft.com/office/drawing/2014/main" id="{00000000-0008-0000-0300-00009903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922" name="Line 132">
          <a:extLst>
            <a:ext uri="{FF2B5EF4-FFF2-40B4-BE49-F238E27FC236}">
              <a16:creationId xmlns:a16="http://schemas.microsoft.com/office/drawing/2014/main" id="{00000000-0008-0000-0300-00009A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923" name="Line 151">
          <a:extLst>
            <a:ext uri="{FF2B5EF4-FFF2-40B4-BE49-F238E27FC236}">
              <a16:creationId xmlns:a16="http://schemas.microsoft.com/office/drawing/2014/main" id="{00000000-0008-0000-0300-00009B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924" name="Line 132">
          <a:extLst>
            <a:ext uri="{FF2B5EF4-FFF2-40B4-BE49-F238E27FC236}">
              <a16:creationId xmlns:a16="http://schemas.microsoft.com/office/drawing/2014/main" id="{00000000-0008-0000-0300-00009C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925" name="Line 151">
          <a:extLst>
            <a:ext uri="{FF2B5EF4-FFF2-40B4-BE49-F238E27FC236}">
              <a16:creationId xmlns:a16="http://schemas.microsoft.com/office/drawing/2014/main" id="{00000000-0008-0000-0300-00009D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926" name="Line 132">
          <a:extLst>
            <a:ext uri="{FF2B5EF4-FFF2-40B4-BE49-F238E27FC236}">
              <a16:creationId xmlns:a16="http://schemas.microsoft.com/office/drawing/2014/main" id="{00000000-0008-0000-0300-00009E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927" name="Line 151">
          <a:extLst>
            <a:ext uri="{FF2B5EF4-FFF2-40B4-BE49-F238E27FC236}">
              <a16:creationId xmlns:a16="http://schemas.microsoft.com/office/drawing/2014/main" id="{00000000-0008-0000-0300-00009F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928" name="Line 132">
          <a:extLst>
            <a:ext uri="{FF2B5EF4-FFF2-40B4-BE49-F238E27FC236}">
              <a16:creationId xmlns:a16="http://schemas.microsoft.com/office/drawing/2014/main" id="{00000000-0008-0000-0300-0000A0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929" name="Line 151">
          <a:extLst>
            <a:ext uri="{FF2B5EF4-FFF2-40B4-BE49-F238E27FC236}">
              <a16:creationId xmlns:a16="http://schemas.microsoft.com/office/drawing/2014/main" id="{00000000-0008-0000-0300-0000A1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930" name="Line 766">
          <a:extLst>
            <a:ext uri="{FF2B5EF4-FFF2-40B4-BE49-F238E27FC236}">
              <a16:creationId xmlns:a16="http://schemas.microsoft.com/office/drawing/2014/main" id="{00000000-0008-0000-0300-0000A203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931" name="Line 1009">
          <a:extLst>
            <a:ext uri="{FF2B5EF4-FFF2-40B4-BE49-F238E27FC236}">
              <a16:creationId xmlns:a16="http://schemas.microsoft.com/office/drawing/2014/main" id="{00000000-0008-0000-0300-0000A303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932" name="Line 132">
          <a:extLst>
            <a:ext uri="{FF2B5EF4-FFF2-40B4-BE49-F238E27FC236}">
              <a16:creationId xmlns:a16="http://schemas.microsoft.com/office/drawing/2014/main" id="{00000000-0008-0000-0300-0000A403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933" name="Line 151">
          <a:extLst>
            <a:ext uri="{FF2B5EF4-FFF2-40B4-BE49-F238E27FC236}">
              <a16:creationId xmlns:a16="http://schemas.microsoft.com/office/drawing/2014/main" id="{00000000-0008-0000-0300-0000A503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934" name="Line 132">
          <a:extLst>
            <a:ext uri="{FF2B5EF4-FFF2-40B4-BE49-F238E27FC236}">
              <a16:creationId xmlns:a16="http://schemas.microsoft.com/office/drawing/2014/main" id="{00000000-0008-0000-0300-0000A603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935" name="Line 151">
          <a:extLst>
            <a:ext uri="{FF2B5EF4-FFF2-40B4-BE49-F238E27FC236}">
              <a16:creationId xmlns:a16="http://schemas.microsoft.com/office/drawing/2014/main" id="{00000000-0008-0000-0300-0000A703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936" name="Line 132">
          <a:extLst>
            <a:ext uri="{FF2B5EF4-FFF2-40B4-BE49-F238E27FC236}">
              <a16:creationId xmlns:a16="http://schemas.microsoft.com/office/drawing/2014/main" id="{00000000-0008-0000-0300-0000A8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937" name="Line 151">
          <a:extLst>
            <a:ext uri="{FF2B5EF4-FFF2-40B4-BE49-F238E27FC236}">
              <a16:creationId xmlns:a16="http://schemas.microsoft.com/office/drawing/2014/main" id="{00000000-0008-0000-0300-0000A9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938" name="Line 132">
          <a:extLst>
            <a:ext uri="{FF2B5EF4-FFF2-40B4-BE49-F238E27FC236}">
              <a16:creationId xmlns:a16="http://schemas.microsoft.com/office/drawing/2014/main" id="{00000000-0008-0000-0300-0000AA03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939" name="Line 151">
          <a:extLst>
            <a:ext uri="{FF2B5EF4-FFF2-40B4-BE49-F238E27FC236}">
              <a16:creationId xmlns:a16="http://schemas.microsoft.com/office/drawing/2014/main" id="{00000000-0008-0000-0300-0000AB03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940" name="Line 132">
          <a:extLst>
            <a:ext uri="{FF2B5EF4-FFF2-40B4-BE49-F238E27FC236}">
              <a16:creationId xmlns:a16="http://schemas.microsoft.com/office/drawing/2014/main" id="{00000000-0008-0000-0300-0000AC03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941" name="Line 151">
          <a:extLst>
            <a:ext uri="{FF2B5EF4-FFF2-40B4-BE49-F238E27FC236}">
              <a16:creationId xmlns:a16="http://schemas.microsoft.com/office/drawing/2014/main" id="{00000000-0008-0000-0300-0000AD03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942" name="Line 132">
          <a:extLst>
            <a:ext uri="{FF2B5EF4-FFF2-40B4-BE49-F238E27FC236}">
              <a16:creationId xmlns:a16="http://schemas.microsoft.com/office/drawing/2014/main" id="{00000000-0008-0000-0300-0000AE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943" name="Line 151">
          <a:extLst>
            <a:ext uri="{FF2B5EF4-FFF2-40B4-BE49-F238E27FC236}">
              <a16:creationId xmlns:a16="http://schemas.microsoft.com/office/drawing/2014/main" id="{00000000-0008-0000-0300-0000AF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944" name="Line 132">
          <a:extLst>
            <a:ext uri="{FF2B5EF4-FFF2-40B4-BE49-F238E27FC236}">
              <a16:creationId xmlns:a16="http://schemas.microsoft.com/office/drawing/2014/main" id="{00000000-0008-0000-0300-0000B0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945" name="Line 151">
          <a:extLst>
            <a:ext uri="{FF2B5EF4-FFF2-40B4-BE49-F238E27FC236}">
              <a16:creationId xmlns:a16="http://schemas.microsoft.com/office/drawing/2014/main" id="{00000000-0008-0000-0300-0000B1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946" name="Line 132">
          <a:extLst>
            <a:ext uri="{FF2B5EF4-FFF2-40B4-BE49-F238E27FC236}">
              <a16:creationId xmlns:a16="http://schemas.microsoft.com/office/drawing/2014/main" id="{00000000-0008-0000-0300-0000B2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947" name="Line 151">
          <a:extLst>
            <a:ext uri="{FF2B5EF4-FFF2-40B4-BE49-F238E27FC236}">
              <a16:creationId xmlns:a16="http://schemas.microsoft.com/office/drawing/2014/main" id="{00000000-0008-0000-0300-0000B3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948" name="Line 132">
          <a:extLst>
            <a:ext uri="{FF2B5EF4-FFF2-40B4-BE49-F238E27FC236}">
              <a16:creationId xmlns:a16="http://schemas.microsoft.com/office/drawing/2014/main" id="{00000000-0008-0000-0300-0000B4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949" name="Line 151">
          <a:extLst>
            <a:ext uri="{FF2B5EF4-FFF2-40B4-BE49-F238E27FC236}">
              <a16:creationId xmlns:a16="http://schemas.microsoft.com/office/drawing/2014/main" id="{00000000-0008-0000-0300-0000B5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950" name="Line 132">
          <a:extLst>
            <a:ext uri="{FF2B5EF4-FFF2-40B4-BE49-F238E27FC236}">
              <a16:creationId xmlns:a16="http://schemas.microsoft.com/office/drawing/2014/main" id="{00000000-0008-0000-0300-0000B6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951" name="Line 151">
          <a:extLst>
            <a:ext uri="{FF2B5EF4-FFF2-40B4-BE49-F238E27FC236}">
              <a16:creationId xmlns:a16="http://schemas.microsoft.com/office/drawing/2014/main" id="{00000000-0008-0000-0300-0000B7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952" name="Line 132">
          <a:extLst>
            <a:ext uri="{FF2B5EF4-FFF2-40B4-BE49-F238E27FC236}">
              <a16:creationId xmlns:a16="http://schemas.microsoft.com/office/drawing/2014/main" id="{00000000-0008-0000-0300-0000B8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953" name="Line 151">
          <a:extLst>
            <a:ext uri="{FF2B5EF4-FFF2-40B4-BE49-F238E27FC236}">
              <a16:creationId xmlns:a16="http://schemas.microsoft.com/office/drawing/2014/main" id="{00000000-0008-0000-0300-0000B9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954" name="Line 132">
          <a:extLst>
            <a:ext uri="{FF2B5EF4-FFF2-40B4-BE49-F238E27FC236}">
              <a16:creationId xmlns:a16="http://schemas.microsoft.com/office/drawing/2014/main" id="{00000000-0008-0000-0300-0000BA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955" name="Line 151">
          <a:extLst>
            <a:ext uri="{FF2B5EF4-FFF2-40B4-BE49-F238E27FC236}">
              <a16:creationId xmlns:a16="http://schemas.microsoft.com/office/drawing/2014/main" id="{00000000-0008-0000-0300-0000BB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956" name="Line 132">
          <a:extLst>
            <a:ext uri="{FF2B5EF4-FFF2-40B4-BE49-F238E27FC236}">
              <a16:creationId xmlns:a16="http://schemas.microsoft.com/office/drawing/2014/main" id="{00000000-0008-0000-0300-0000BC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957" name="Line 151">
          <a:extLst>
            <a:ext uri="{FF2B5EF4-FFF2-40B4-BE49-F238E27FC236}">
              <a16:creationId xmlns:a16="http://schemas.microsoft.com/office/drawing/2014/main" id="{00000000-0008-0000-0300-0000BD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958" name="Line 132">
          <a:extLst>
            <a:ext uri="{FF2B5EF4-FFF2-40B4-BE49-F238E27FC236}">
              <a16:creationId xmlns:a16="http://schemas.microsoft.com/office/drawing/2014/main" id="{00000000-0008-0000-0300-0000BE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959" name="Line 151">
          <a:extLst>
            <a:ext uri="{FF2B5EF4-FFF2-40B4-BE49-F238E27FC236}">
              <a16:creationId xmlns:a16="http://schemas.microsoft.com/office/drawing/2014/main" id="{00000000-0008-0000-0300-0000BF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960" name="Line 132">
          <a:extLst>
            <a:ext uri="{FF2B5EF4-FFF2-40B4-BE49-F238E27FC236}">
              <a16:creationId xmlns:a16="http://schemas.microsoft.com/office/drawing/2014/main" id="{00000000-0008-0000-0300-0000C003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961" name="Line 151">
          <a:extLst>
            <a:ext uri="{FF2B5EF4-FFF2-40B4-BE49-F238E27FC236}">
              <a16:creationId xmlns:a16="http://schemas.microsoft.com/office/drawing/2014/main" id="{00000000-0008-0000-0300-0000C103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962" name="Line 132">
          <a:extLst>
            <a:ext uri="{FF2B5EF4-FFF2-40B4-BE49-F238E27FC236}">
              <a16:creationId xmlns:a16="http://schemas.microsoft.com/office/drawing/2014/main" id="{00000000-0008-0000-0300-0000C203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963" name="Line 151">
          <a:extLst>
            <a:ext uri="{FF2B5EF4-FFF2-40B4-BE49-F238E27FC236}">
              <a16:creationId xmlns:a16="http://schemas.microsoft.com/office/drawing/2014/main" id="{00000000-0008-0000-0300-0000C303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964" name="Line 132">
          <a:extLst>
            <a:ext uri="{FF2B5EF4-FFF2-40B4-BE49-F238E27FC236}">
              <a16:creationId xmlns:a16="http://schemas.microsoft.com/office/drawing/2014/main" id="{00000000-0008-0000-0300-0000C4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965" name="Line 151">
          <a:extLst>
            <a:ext uri="{FF2B5EF4-FFF2-40B4-BE49-F238E27FC236}">
              <a16:creationId xmlns:a16="http://schemas.microsoft.com/office/drawing/2014/main" id="{00000000-0008-0000-0300-0000C5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966" name="Line 132">
          <a:extLst>
            <a:ext uri="{FF2B5EF4-FFF2-40B4-BE49-F238E27FC236}">
              <a16:creationId xmlns:a16="http://schemas.microsoft.com/office/drawing/2014/main" id="{00000000-0008-0000-0300-0000C6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967" name="Line 151">
          <a:extLst>
            <a:ext uri="{FF2B5EF4-FFF2-40B4-BE49-F238E27FC236}">
              <a16:creationId xmlns:a16="http://schemas.microsoft.com/office/drawing/2014/main" id="{00000000-0008-0000-0300-0000C7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968" name="Line 132">
          <a:extLst>
            <a:ext uri="{FF2B5EF4-FFF2-40B4-BE49-F238E27FC236}">
              <a16:creationId xmlns:a16="http://schemas.microsoft.com/office/drawing/2014/main" id="{00000000-0008-0000-0300-0000C8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969" name="Line 151">
          <a:extLst>
            <a:ext uri="{FF2B5EF4-FFF2-40B4-BE49-F238E27FC236}">
              <a16:creationId xmlns:a16="http://schemas.microsoft.com/office/drawing/2014/main" id="{00000000-0008-0000-0300-0000C9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970" name="Line 132">
          <a:extLst>
            <a:ext uri="{FF2B5EF4-FFF2-40B4-BE49-F238E27FC236}">
              <a16:creationId xmlns:a16="http://schemas.microsoft.com/office/drawing/2014/main" id="{00000000-0008-0000-0300-0000CA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971" name="Line 151">
          <a:extLst>
            <a:ext uri="{FF2B5EF4-FFF2-40B4-BE49-F238E27FC236}">
              <a16:creationId xmlns:a16="http://schemas.microsoft.com/office/drawing/2014/main" id="{00000000-0008-0000-0300-0000CB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972" name="Line 766">
          <a:extLst>
            <a:ext uri="{FF2B5EF4-FFF2-40B4-BE49-F238E27FC236}">
              <a16:creationId xmlns:a16="http://schemas.microsoft.com/office/drawing/2014/main" id="{00000000-0008-0000-0300-0000CC03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973" name="Line 1009">
          <a:extLst>
            <a:ext uri="{FF2B5EF4-FFF2-40B4-BE49-F238E27FC236}">
              <a16:creationId xmlns:a16="http://schemas.microsoft.com/office/drawing/2014/main" id="{00000000-0008-0000-0300-0000CD03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974" name="Line 132">
          <a:extLst>
            <a:ext uri="{FF2B5EF4-FFF2-40B4-BE49-F238E27FC236}">
              <a16:creationId xmlns:a16="http://schemas.microsoft.com/office/drawing/2014/main" id="{00000000-0008-0000-0300-0000CE03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975" name="Line 151">
          <a:extLst>
            <a:ext uri="{FF2B5EF4-FFF2-40B4-BE49-F238E27FC236}">
              <a16:creationId xmlns:a16="http://schemas.microsoft.com/office/drawing/2014/main" id="{00000000-0008-0000-0300-0000CF03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976" name="Line 132">
          <a:extLst>
            <a:ext uri="{FF2B5EF4-FFF2-40B4-BE49-F238E27FC236}">
              <a16:creationId xmlns:a16="http://schemas.microsoft.com/office/drawing/2014/main" id="{00000000-0008-0000-0300-0000D003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977" name="Line 151">
          <a:extLst>
            <a:ext uri="{FF2B5EF4-FFF2-40B4-BE49-F238E27FC236}">
              <a16:creationId xmlns:a16="http://schemas.microsoft.com/office/drawing/2014/main" id="{00000000-0008-0000-0300-0000D103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978" name="Line 132">
          <a:extLst>
            <a:ext uri="{FF2B5EF4-FFF2-40B4-BE49-F238E27FC236}">
              <a16:creationId xmlns:a16="http://schemas.microsoft.com/office/drawing/2014/main" id="{00000000-0008-0000-0300-0000D2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979" name="Line 151">
          <a:extLst>
            <a:ext uri="{FF2B5EF4-FFF2-40B4-BE49-F238E27FC236}">
              <a16:creationId xmlns:a16="http://schemas.microsoft.com/office/drawing/2014/main" id="{00000000-0008-0000-0300-0000D3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980" name="Line 132">
          <a:extLst>
            <a:ext uri="{FF2B5EF4-FFF2-40B4-BE49-F238E27FC236}">
              <a16:creationId xmlns:a16="http://schemas.microsoft.com/office/drawing/2014/main" id="{00000000-0008-0000-0300-0000D403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981" name="Line 151">
          <a:extLst>
            <a:ext uri="{FF2B5EF4-FFF2-40B4-BE49-F238E27FC236}">
              <a16:creationId xmlns:a16="http://schemas.microsoft.com/office/drawing/2014/main" id="{00000000-0008-0000-0300-0000D503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982" name="Line 132">
          <a:extLst>
            <a:ext uri="{FF2B5EF4-FFF2-40B4-BE49-F238E27FC236}">
              <a16:creationId xmlns:a16="http://schemas.microsoft.com/office/drawing/2014/main" id="{00000000-0008-0000-0300-0000D603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983" name="Line 151">
          <a:extLst>
            <a:ext uri="{FF2B5EF4-FFF2-40B4-BE49-F238E27FC236}">
              <a16:creationId xmlns:a16="http://schemas.microsoft.com/office/drawing/2014/main" id="{00000000-0008-0000-0300-0000D703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984" name="Line 132">
          <a:extLst>
            <a:ext uri="{FF2B5EF4-FFF2-40B4-BE49-F238E27FC236}">
              <a16:creationId xmlns:a16="http://schemas.microsoft.com/office/drawing/2014/main" id="{00000000-0008-0000-0300-0000D8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985" name="Line 151">
          <a:extLst>
            <a:ext uri="{FF2B5EF4-FFF2-40B4-BE49-F238E27FC236}">
              <a16:creationId xmlns:a16="http://schemas.microsoft.com/office/drawing/2014/main" id="{00000000-0008-0000-0300-0000D9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986" name="Line 132">
          <a:extLst>
            <a:ext uri="{FF2B5EF4-FFF2-40B4-BE49-F238E27FC236}">
              <a16:creationId xmlns:a16="http://schemas.microsoft.com/office/drawing/2014/main" id="{00000000-0008-0000-0300-0000DA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987" name="Line 151">
          <a:extLst>
            <a:ext uri="{FF2B5EF4-FFF2-40B4-BE49-F238E27FC236}">
              <a16:creationId xmlns:a16="http://schemas.microsoft.com/office/drawing/2014/main" id="{00000000-0008-0000-0300-0000DB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988" name="Line 132">
          <a:extLst>
            <a:ext uri="{FF2B5EF4-FFF2-40B4-BE49-F238E27FC236}">
              <a16:creationId xmlns:a16="http://schemas.microsoft.com/office/drawing/2014/main" id="{00000000-0008-0000-0300-0000DC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989" name="Line 151">
          <a:extLst>
            <a:ext uri="{FF2B5EF4-FFF2-40B4-BE49-F238E27FC236}">
              <a16:creationId xmlns:a16="http://schemas.microsoft.com/office/drawing/2014/main" id="{00000000-0008-0000-0300-0000DD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990" name="Line 132">
          <a:extLst>
            <a:ext uri="{FF2B5EF4-FFF2-40B4-BE49-F238E27FC236}">
              <a16:creationId xmlns:a16="http://schemas.microsoft.com/office/drawing/2014/main" id="{00000000-0008-0000-0300-0000DE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991" name="Line 151">
          <a:extLst>
            <a:ext uri="{FF2B5EF4-FFF2-40B4-BE49-F238E27FC236}">
              <a16:creationId xmlns:a16="http://schemas.microsoft.com/office/drawing/2014/main" id="{00000000-0008-0000-0300-0000DF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992" name="Line 132">
          <a:extLst>
            <a:ext uri="{FF2B5EF4-FFF2-40B4-BE49-F238E27FC236}">
              <a16:creationId xmlns:a16="http://schemas.microsoft.com/office/drawing/2014/main" id="{00000000-0008-0000-0300-0000E0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993" name="Line 151">
          <a:extLst>
            <a:ext uri="{FF2B5EF4-FFF2-40B4-BE49-F238E27FC236}">
              <a16:creationId xmlns:a16="http://schemas.microsoft.com/office/drawing/2014/main" id="{00000000-0008-0000-0300-0000E1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994" name="Line 132">
          <a:extLst>
            <a:ext uri="{FF2B5EF4-FFF2-40B4-BE49-F238E27FC236}">
              <a16:creationId xmlns:a16="http://schemas.microsoft.com/office/drawing/2014/main" id="{00000000-0008-0000-0300-0000E2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995" name="Line 151">
          <a:extLst>
            <a:ext uri="{FF2B5EF4-FFF2-40B4-BE49-F238E27FC236}">
              <a16:creationId xmlns:a16="http://schemas.microsoft.com/office/drawing/2014/main" id="{00000000-0008-0000-0300-0000E3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996" name="Line 132">
          <a:extLst>
            <a:ext uri="{FF2B5EF4-FFF2-40B4-BE49-F238E27FC236}">
              <a16:creationId xmlns:a16="http://schemas.microsoft.com/office/drawing/2014/main" id="{00000000-0008-0000-0300-0000E4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997" name="Line 151">
          <a:extLst>
            <a:ext uri="{FF2B5EF4-FFF2-40B4-BE49-F238E27FC236}">
              <a16:creationId xmlns:a16="http://schemas.microsoft.com/office/drawing/2014/main" id="{00000000-0008-0000-0300-0000E5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998" name="Line 132">
          <a:extLst>
            <a:ext uri="{FF2B5EF4-FFF2-40B4-BE49-F238E27FC236}">
              <a16:creationId xmlns:a16="http://schemas.microsoft.com/office/drawing/2014/main" id="{00000000-0008-0000-0300-0000E6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999" name="Line 151">
          <a:extLst>
            <a:ext uri="{FF2B5EF4-FFF2-40B4-BE49-F238E27FC236}">
              <a16:creationId xmlns:a16="http://schemas.microsoft.com/office/drawing/2014/main" id="{00000000-0008-0000-0300-0000E7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000" name="Line 766">
          <a:extLst>
            <a:ext uri="{FF2B5EF4-FFF2-40B4-BE49-F238E27FC236}">
              <a16:creationId xmlns:a16="http://schemas.microsoft.com/office/drawing/2014/main" id="{00000000-0008-0000-0300-0000E8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001" name="Line 1009">
          <a:extLst>
            <a:ext uri="{FF2B5EF4-FFF2-40B4-BE49-F238E27FC236}">
              <a16:creationId xmlns:a16="http://schemas.microsoft.com/office/drawing/2014/main" id="{00000000-0008-0000-0300-0000E9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002" name="Line 132">
          <a:extLst>
            <a:ext uri="{FF2B5EF4-FFF2-40B4-BE49-F238E27FC236}">
              <a16:creationId xmlns:a16="http://schemas.microsoft.com/office/drawing/2014/main" id="{00000000-0008-0000-0300-0000EA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003" name="Line 151">
          <a:extLst>
            <a:ext uri="{FF2B5EF4-FFF2-40B4-BE49-F238E27FC236}">
              <a16:creationId xmlns:a16="http://schemas.microsoft.com/office/drawing/2014/main" id="{00000000-0008-0000-0300-0000EB03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004" name="Line 132">
          <a:extLst>
            <a:ext uri="{FF2B5EF4-FFF2-40B4-BE49-F238E27FC236}">
              <a16:creationId xmlns:a16="http://schemas.microsoft.com/office/drawing/2014/main" id="{00000000-0008-0000-0300-0000EC03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005" name="Line 151">
          <a:extLst>
            <a:ext uri="{FF2B5EF4-FFF2-40B4-BE49-F238E27FC236}">
              <a16:creationId xmlns:a16="http://schemas.microsoft.com/office/drawing/2014/main" id="{00000000-0008-0000-0300-0000ED03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006" name="Line 132">
          <a:extLst>
            <a:ext uri="{FF2B5EF4-FFF2-40B4-BE49-F238E27FC236}">
              <a16:creationId xmlns:a16="http://schemas.microsoft.com/office/drawing/2014/main" id="{00000000-0008-0000-0300-0000EE03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007" name="Line 151">
          <a:extLst>
            <a:ext uri="{FF2B5EF4-FFF2-40B4-BE49-F238E27FC236}">
              <a16:creationId xmlns:a16="http://schemas.microsoft.com/office/drawing/2014/main" id="{00000000-0008-0000-0300-0000EF03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008" name="Line 132">
          <a:extLst>
            <a:ext uri="{FF2B5EF4-FFF2-40B4-BE49-F238E27FC236}">
              <a16:creationId xmlns:a16="http://schemas.microsoft.com/office/drawing/2014/main" id="{00000000-0008-0000-0300-0000F0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009" name="Line 151">
          <a:extLst>
            <a:ext uri="{FF2B5EF4-FFF2-40B4-BE49-F238E27FC236}">
              <a16:creationId xmlns:a16="http://schemas.microsoft.com/office/drawing/2014/main" id="{00000000-0008-0000-0300-0000F1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010" name="Line 132">
          <a:extLst>
            <a:ext uri="{FF2B5EF4-FFF2-40B4-BE49-F238E27FC236}">
              <a16:creationId xmlns:a16="http://schemas.microsoft.com/office/drawing/2014/main" id="{00000000-0008-0000-0300-0000F2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011" name="Line 151">
          <a:extLst>
            <a:ext uri="{FF2B5EF4-FFF2-40B4-BE49-F238E27FC236}">
              <a16:creationId xmlns:a16="http://schemas.microsoft.com/office/drawing/2014/main" id="{00000000-0008-0000-0300-0000F303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012" name="Line 132">
          <a:extLst>
            <a:ext uri="{FF2B5EF4-FFF2-40B4-BE49-F238E27FC236}">
              <a16:creationId xmlns:a16="http://schemas.microsoft.com/office/drawing/2014/main" id="{00000000-0008-0000-0300-0000F4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013" name="Line 151">
          <a:extLst>
            <a:ext uri="{FF2B5EF4-FFF2-40B4-BE49-F238E27FC236}">
              <a16:creationId xmlns:a16="http://schemas.microsoft.com/office/drawing/2014/main" id="{00000000-0008-0000-0300-0000F5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014" name="Line 132">
          <a:extLst>
            <a:ext uri="{FF2B5EF4-FFF2-40B4-BE49-F238E27FC236}">
              <a16:creationId xmlns:a16="http://schemas.microsoft.com/office/drawing/2014/main" id="{00000000-0008-0000-0300-0000F6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015" name="Line 151">
          <a:extLst>
            <a:ext uri="{FF2B5EF4-FFF2-40B4-BE49-F238E27FC236}">
              <a16:creationId xmlns:a16="http://schemas.microsoft.com/office/drawing/2014/main" id="{00000000-0008-0000-0300-0000F703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016" name="Line 132">
          <a:extLst>
            <a:ext uri="{FF2B5EF4-FFF2-40B4-BE49-F238E27FC236}">
              <a16:creationId xmlns:a16="http://schemas.microsoft.com/office/drawing/2014/main" id="{00000000-0008-0000-0300-0000F8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017" name="Line 151">
          <a:extLst>
            <a:ext uri="{FF2B5EF4-FFF2-40B4-BE49-F238E27FC236}">
              <a16:creationId xmlns:a16="http://schemas.microsoft.com/office/drawing/2014/main" id="{00000000-0008-0000-0300-0000F9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018" name="Line 132">
          <a:extLst>
            <a:ext uri="{FF2B5EF4-FFF2-40B4-BE49-F238E27FC236}">
              <a16:creationId xmlns:a16="http://schemas.microsoft.com/office/drawing/2014/main" id="{00000000-0008-0000-0300-0000FA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019" name="Line 151">
          <a:extLst>
            <a:ext uri="{FF2B5EF4-FFF2-40B4-BE49-F238E27FC236}">
              <a16:creationId xmlns:a16="http://schemas.microsoft.com/office/drawing/2014/main" id="{00000000-0008-0000-0300-0000FB03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020" name="Line 132">
          <a:extLst>
            <a:ext uri="{FF2B5EF4-FFF2-40B4-BE49-F238E27FC236}">
              <a16:creationId xmlns:a16="http://schemas.microsoft.com/office/drawing/2014/main" id="{00000000-0008-0000-0300-0000FC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021" name="Line 151">
          <a:extLst>
            <a:ext uri="{FF2B5EF4-FFF2-40B4-BE49-F238E27FC236}">
              <a16:creationId xmlns:a16="http://schemas.microsoft.com/office/drawing/2014/main" id="{00000000-0008-0000-0300-0000FD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022" name="Line 132">
          <a:extLst>
            <a:ext uri="{FF2B5EF4-FFF2-40B4-BE49-F238E27FC236}">
              <a16:creationId xmlns:a16="http://schemas.microsoft.com/office/drawing/2014/main" id="{00000000-0008-0000-0300-0000FE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023" name="Line 151">
          <a:extLst>
            <a:ext uri="{FF2B5EF4-FFF2-40B4-BE49-F238E27FC236}">
              <a16:creationId xmlns:a16="http://schemas.microsoft.com/office/drawing/2014/main" id="{00000000-0008-0000-0300-0000FF03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024" name="Line 132">
          <a:extLst>
            <a:ext uri="{FF2B5EF4-FFF2-40B4-BE49-F238E27FC236}">
              <a16:creationId xmlns:a16="http://schemas.microsoft.com/office/drawing/2014/main" id="{00000000-0008-0000-0300-00000004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025" name="Line 151">
          <a:extLst>
            <a:ext uri="{FF2B5EF4-FFF2-40B4-BE49-F238E27FC236}">
              <a16:creationId xmlns:a16="http://schemas.microsoft.com/office/drawing/2014/main" id="{00000000-0008-0000-0300-00000104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1026" name="Line 132">
          <a:extLst>
            <a:ext uri="{FF2B5EF4-FFF2-40B4-BE49-F238E27FC236}">
              <a16:creationId xmlns:a16="http://schemas.microsoft.com/office/drawing/2014/main" id="{00000000-0008-0000-0300-00000204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1027" name="Line 151">
          <a:extLst>
            <a:ext uri="{FF2B5EF4-FFF2-40B4-BE49-F238E27FC236}">
              <a16:creationId xmlns:a16="http://schemas.microsoft.com/office/drawing/2014/main" id="{00000000-0008-0000-0300-00000304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028" name="Line 132">
          <a:extLst>
            <a:ext uri="{FF2B5EF4-FFF2-40B4-BE49-F238E27FC236}">
              <a16:creationId xmlns:a16="http://schemas.microsoft.com/office/drawing/2014/main" id="{00000000-0008-0000-0300-000004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029" name="Line 151">
          <a:extLst>
            <a:ext uri="{FF2B5EF4-FFF2-40B4-BE49-F238E27FC236}">
              <a16:creationId xmlns:a16="http://schemas.microsoft.com/office/drawing/2014/main" id="{00000000-0008-0000-0300-000005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030" name="Line 132">
          <a:extLst>
            <a:ext uri="{FF2B5EF4-FFF2-40B4-BE49-F238E27FC236}">
              <a16:creationId xmlns:a16="http://schemas.microsoft.com/office/drawing/2014/main" id="{00000000-0008-0000-0300-000006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031" name="Line 151">
          <a:extLst>
            <a:ext uri="{FF2B5EF4-FFF2-40B4-BE49-F238E27FC236}">
              <a16:creationId xmlns:a16="http://schemas.microsoft.com/office/drawing/2014/main" id="{00000000-0008-0000-0300-000007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032" name="Line 132">
          <a:extLst>
            <a:ext uri="{FF2B5EF4-FFF2-40B4-BE49-F238E27FC236}">
              <a16:creationId xmlns:a16="http://schemas.microsoft.com/office/drawing/2014/main" id="{00000000-0008-0000-0300-000008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033" name="Line 151">
          <a:extLst>
            <a:ext uri="{FF2B5EF4-FFF2-40B4-BE49-F238E27FC236}">
              <a16:creationId xmlns:a16="http://schemas.microsoft.com/office/drawing/2014/main" id="{00000000-0008-0000-0300-000009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034" name="Line 132">
          <a:extLst>
            <a:ext uri="{FF2B5EF4-FFF2-40B4-BE49-F238E27FC236}">
              <a16:creationId xmlns:a16="http://schemas.microsoft.com/office/drawing/2014/main" id="{00000000-0008-0000-0300-00000A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035" name="Line 151">
          <a:extLst>
            <a:ext uri="{FF2B5EF4-FFF2-40B4-BE49-F238E27FC236}">
              <a16:creationId xmlns:a16="http://schemas.microsoft.com/office/drawing/2014/main" id="{00000000-0008-0000-0300-00000B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036" name="Line 132">
          <a:extLst>
            <a:ext uri="{FF2B5EF4-FFF2-40B4-BE49-F238E27FC236}">
              <a16:creationId xmlns:a16="http://schemas.microsoft.com/office/drawing/2014/main" id="{00000000-0008-0000-0300-00000C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037" name="Line 151">
          <a:extLst>
            <a:ext uri="{FF2B5EF4-FFF2-40B4-BE49-F238E27FC236}">
              <a16:creationId xmlns:a16="http://schemas.microsoft.com/office/drawing/2014/main" id="{00000000-0008-0000-0300-00000D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1038" name="Line 766">
          <a:extLst>
            <a:ext uri="{FF2B5EF4-FFF2-40B4-BE49-F238E27FC236}">
              <a16:creationId xmlns:a16="http://schemas.microsoft.com/office/drawing/2014/main" id="{00000000-0008-0000-0300-00000E04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1039" name="Line 1009">
          <a:extLst>
            <a:ext uri="{FF2B5EF4-FFF2-40B4-BE49-F238E27FC236}">
              <a16:creationId xmlns:a16="http://schemas.microsoft.com/office/drawing/2014/main" id="{00000000-0008-0000-0300-00000F04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1040" name="Line 132">
          <a:extLst>
            <a:ext uri="{FF2B5EF4-FFF2-40B4-BE49-F238E27FC236}">
              <a16:creationId xmlns:a16="http://schemas.microsoft.com/office/drawing/2014/main" id="{00000000-0008-0000-0300-00001004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1041" name="Line 151">
          <a:extLst>
            <a:ext uri="{FF2B5EF4-FFF2-40B4-BE49-F238E27FC236}">
              <a16:creationId xmlns:a16="http://schemas.microsoft.com/office/drawing/2014/main" id="{00000000-0008-0000-0300-00001104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1042" name="Line 132">
          <a:extLst>
            <a:ext uri="{FF2B5EF4-FFF2-40B4-BE49-F238E27FC236}">
              <a16:creationId xmlns:a16="http://schemas.microsoft.com/office/drawing/2014/main" id="{00000000-0008-0000-0300-00001204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1043" name="Line 151">
          <a:extLst>
            <a:ext uri="{FF2B5EF4-FFF2-40B4-BE49-F238E27FC236}">
              <a16:creationId xmlns:a16="http://schemas.microsoft.com/office/drawing/2014/main" id="{00000000-0008-0000-0300-00001304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044" name="Line 132">
          <a:extLst>
            <a:ext uri="{FF2B5EF4-FFF2-40B4-BE49-F238E27FC236}">
              <a16:creationId xmlns:a16="http://schemas.microsoft.com/office/drawing/2014/main" id="{00000000-0008-0000-0300-00001404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045" name="Line 151">
          <a:extLst>
            <a:ext uri="{FF2B5EF4-FFF2-40B4-BE49-F238E27FC236}">
              <a16:creationId xmlns:a16="http://schemas.microsoft.com/office/drawing/2014/main" id="{00000000-0008-0000-0300-00001504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1046" name="Line 132">
          <a:extLst>
            <a:ext uri="{FF2B5EF4-FFF2-40B4-BE49-F238E27FC236}">
              <a16:creationId xmlns:a16="http://schemas.microsoft.com/office/drawing/2014/main" id="{00000000-0008-0000-0300-00001604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1047" name="Line 151">
          <a:extLst>
            <a:ext uri="{FF2B5EF4-FFF2-40B4-BE49-F238E27FC236}">
              <a16:creationId xmlns:a16="http://schemas.microsoft.com/office/drawing/2014/main" id="{00000000-0008-0000-0300-00001704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048" name="Line 132">
          <a:extLst>
            <a:ext uri="{FF2B5EF4-FFF2-40B4-BE49-F238E27FC236}">
              <a16:creationId xmlns:a16="http://schemas.microsoft.com/office/drawing/2014/main" id="{00000000-0008-0000-0300-000018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049" name="Line 151">
          <a:extLst>
            <a:ext uri="{FF2B5EF4-FFF2-40B4-BE49-F238E27FC236}">
              <a16:creationId xmlns:a16="http://schemas.microsoft.com/office/drawing/2014/main" id="{00000000-0008-0000-0300-000019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050" name="Line 132">
          <a:extLst>
            <a:ext uri="{FF2B5EF4-FFF2-40B4-BE49-F238E27FC236}">
              <a16:creationId xmlns:a16="http://schemas.microsoft.com/office/drawing/2014/main" id="{00000000-0008-0000-0300-00001A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051" name="Line 151">
          <a:extLst>
            <a:ext uri="{FF2B5EF4-FFF2-40B4-BE49-F238E27FC236}">
              <a16:creationId xmlns:a16="http://schemas.microsoft.com/office/drawing/2014/main" id="{00000000-0008-0000-0300-00001B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052" name="Line 132">
          <a:extLst>
            <a:ext uri="{FF2B5EF4-FFF2-40B4-BE49-F238E27FC236}">
              <a16:creationId xmlns:a16="http://schemas.microsoft.com/office/drawing/2014/main" id="{00000000-0008-0000-0300-00001C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053" name="Line 151">
          <a:extLst>
            <a:ext uri="{FF2B5EF4-FFF2-40B4-BE49-F238E27FC236}">
              <a16:creationId xmlns:a16="http://schemas.microsoft.com/office/drawing/2014/main" id="{00000000-0008-0000-0300-00001D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054" name="Line 132">
          <a:extLst>
            <a:ext uri="{FF2B5EF4-FFF2-40B4-BE49-F238E27FC236}">
              <a16:creationId xmlns:a16="http://schemas.microsoft.com/office/drawing/2014/main" id="{00000000-0008-0000-0300-00001E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055" name="Line 151">
          <a:extLst>
            <a:ext uri="{FF2B5EF4-FFF2-40B4-BE49-F238E27FC236}">
              <a16:creationId xmlns:a16="http://schemas.microsoft.com/office/drawing/2014/main" id="{00000000-0008-0000-0300-00001F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056" name="Line 132">
          <a:extLst>
            <a:ext uri="{FF2B5EF4-FFF2-40B4-BE49-F238E27FC236}">
              <a16:creationId xmlns:a16="http://schemas.microsoft.com/office/drawing/2014/main" id="{00000000-0008-0000-0300-000020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057" name="Line 151">
          <a:extLst>
            <a:ext uri="{FF2B5EF4-FFF2-40B4-BE49-F238E27FC236}">
              <a16:creationId xmlns:a16="http://schemas.microsoft.com/office/drawing/2014/main" id="{00000000-0008-0000-0300-000021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058" name="Line 132">
          <a:extLst>
            <a:ext uri="{FF2B5EF4-FFF2-40B4-BE49-F238E27FC236}">
              <a16:creationId xmlns:a16="http://schemas.microsoft.com/office/drawing/2014/main" id="{00000000-0008-0000-0300-000022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059" name="Line 151">
          <a:extLst>
            <a:ext uri="{FF2B5EF4-FFF2-40B4-BE49-F238E27FC236}">
              <a16:creationId xmlns:a16="http://schemas.microsoft.com/office/drawing/2014/main" id="{00000000-0008-0000-0300-000023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060" name="Line 132">
          <a:extLst>
            <a:ext uri="{FF2B5EF4-FFF2-40B4-BE49-F238E27FC236}">
              <a16:creationId xmlns:a16="http://schemas.microsoft.com/office/drawing/2014/main" id="{00000000-0008-0000-0300-000024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061" name="Line 151">
          <a:extLst>
            <a:ext uri="{FF2B5EF4-FFF2-40B4-BE49-F238E27FC236}">
              <a16:creationId xmlns:a16="http://schemas.microsoft.com/office/drawing/2014/main" id="{00000000-0008-0000-0300-000025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062" name="Line 132">
          <a:extLst>
            <a:ext uri="{FF2B5EF4-FFF2-40B4-BE49-F238E27FC236}">
              <a16:creationId xmlns:a16="http://schemas.microsoft.com/office/drawing/2014/main" id="{00000000-0008-0000-0300-000026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063" name="Line 151">
          <a:extLst>
            <a:ext uri="{FF2B5EF4-FFF2-40B4-BE49-F238E27FC236}">
              <a16:creationId xmlns:a16="http://schemas.microsoft.com/office/drawing/2014/main" id="{00000000-0008-0000-0300-000027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064" name="Line 132">
          <a:extLst>
            <a:ext uri="{FF2B5EF4-FFF2-40B4-BE49-F238E27FC236}">
              <a16:creationId xmlns:a16="http://schemas.microsoft.com/office/drawing/2014/main" id="{00000000-0008-0000-0300-000028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065" name="Line 151">
          <a:extLst>
            <a:ext uri="{FF2B5EF4-FFF2-40B4-BE49-F238E27FC236}">
              <a16:creationId xmlns:a16="http://schemas.microsoft.com/office/drawing/2014/main" id="{00000000-0008-0000-0300-000029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066" name="Line 766">
          <a:extLst>
            <a:ext uri="{FF2B5EF4-FFF2-40B4-BE49-F238E27FC236}">
              <a16:creationId xmlns:a16="http://schemas.microsoft.com/office/drawing/2014/main" id="{00000000-0008-0000-0300-00002A04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067" name="Line 1009">
          <a:extLst>
            <a:ext uri="{FF2B5EF4-FFF2-40B4-BE49-F238E27FC236}">
              <a16:creationId xmlns:a16="http://schemas.microsoft.com/office/drawing/2014/main" id="{00000000-0008-0000-0300-00002B04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068" name="Line 132">
          <a:extLst>
            <a:ext uri="{FF2B5EF4-FFF2-40B4-BE49-F238E27FC236}">
              <a16:creationId xmlns:a16="http://schemas.microsoft.com/office/drawing/2014/main" id="{00000000-0008-0000-0300-00002C04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069" name="Line 151">
          <a:extLst>
            <a:ext uri="{FF2B5EF4-FFF2-40B4-BE49-F238E27FC236}">
              <a16:creationId xmlns:a16="http://schemas.microsoft.com/office/drawing/2014/main" id="{00000000-0008-0000-0300-00002D04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070" name="Line 132">
          <a:extLst>
            <a:ext uri="{FF2B5EF4-FFF2-40B4-BE49-F238E27FC236}">
              <a16:creationId xmlns:a16="http://schemas.microsoft.com/office/drawing/2014/main" id="{00000000-0008-0000-0300-00002E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071" name="Line 151">
          <a:extLst>
            <a:ext uri="{FF2B5EF4-FFF2-40B4-BE49-F238E27FC236}">
              <a16:creationId xmlns:a16="http://schemas.microsoft.com/office/drawing/2014/main" id="{00000000-0008-0000-0300-00002F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072" name="Line 132">
          <a:extLst>
            <a:ext uri="{FF2B5EF4-FFF2-40B4-BE49-F238E27FC236}">
              <a16:creationId xmlns:a16="http://schemas.microsoft.com/office/drawing/2014/main" id="{00000000-0008-0000-0300-000030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073" name="Line 151">
          <a:extLst>
            <a:ext uri="{FF2B5EF4-FFF2-40B4-BE49-F238E27FC236}">
              <a16:creationId xmlns:a16="http://schemas.microsoft.com/office/drawing/2014/main" id="{00000000-0008-0000-0300-000031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074" name="Line 132">
          <a:extLst>
            <a:ext uri="{FF2B5EF4-FFF2-40B4-BE49-F238E27FC236}">
              <a16:creationId xmlns:a16="http://schemas.microsoft.com/office/drawing/2014/main" id="{00000000-0008-0000-0300-000032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075" name="Line 151">
          <a:extLst>
            <a:ext uri="{FF2B5EF4-FFF2-40B4-BE49-F238E27FC236}">
              <a16:creationId xmlns:a16="http://schemas.microsoft.com/office/drawing/2014/main" id="{00000000-0008-0000-0300-000033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076" name="Line 132">
          <a:extLst>
            <a:ext uri="{FF2B5EF4-FFF2-40B4-BE49-F238E27FC236}">
              <a16:creationId xmlns:a16="http://schemas.microsoft.com/office/drawing/2014/main" id="{00000000-0008-0000-0300-000034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077" name="Line 151">
          <a:extLst>
            <a:ext uri="{FF2B5EF4-FFF2-40B4-BE49-F238E27FC236}">
              <a16:creationId xmlns:a16="http://schemas.microsoft.com/office/drawing/2014/main" id="{00000000-0008-0000-0300-000035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078" name="Line 132">
          <a:extLst>
            <a:ext uri="{FF2B5EF4-FFF2-40B4-BE49-F238E27FC236}">
              <a16:creationId xmlns:a16="http://schemas.microsoft.com/office/drawing/2014/main" id="{00000000-0008-0000-0300-000036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079" name="Line 151">
          <a:extLst>
            <a:ext uri="{FF2B5EF4-FFF2-40B4-BE49-F238E27FC236}">
              <a16:creationId xmlns:a16="http://schemas.microsoft.com/office/drawing/2014/main" id="{00000000-0008-0000-0300-000037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080" name="Line 132">
          <a:extLst>
            <a:ext uri="{FF2B5EF4-FFF2-40B4-BE49-F238E27FC236}">
              <a16:creationId xmlns:a16="http://schemas.microsoft.com/office/drawing/2014/main" id="{00000000-0008-0000-0300-000038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081" name="Line 151">
          <a:extLst>
            <a:ext uri="{FF2B5EF4-FFF2-40B4-BE49-F238E27FC236}">
              <a16:creationId xmlns:a16="http://schemas.microsoft.com/office/drawing/2014/main" id="{00000000-0008-0000-0300-000039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082" name="Line 132">
          <a:extLst>
            <a:ext uri="{FF2B5EF4-FFF2-40B4-BE49-F238E27FC236}">
              <a16:creationId xmlns:a16="http://schemas.microsoft.com/office/drawing/2014/main" id="{00000000-0008-0000-0300-00003A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083" name="Line 151">
          <a:extLst>
            <a:ext uri="{FF2B5EF4-FFF2-40B4-BE49-F238E27FC236}">
              <a16:creationId xmlns:a16="http://schemas.microsoft.com/office/drawing/2014/main" id="{00000000-0008-0000-0300-00003B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084" name="Line 132">
          <a:extLst>
            <a:ext uri="{FF2B5EF4-FFF2-40B4-BE49-F238E27FC236}">
              <a16:creationId xmlns:a16="http://schemas.microsoft.com/office/drawing/2014/main" id="{00000000-0008-0000-0300-00003C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085" name="Line 151">
          <a:extLst>
            <a:ext uri="{FF2B5EF4-FFF2-40B4-BE49-F238E27FC236}">
              <a16:creationId xmlns:a16="http://schemas.microsoft.com/office/drawing/2014/main" id="{00000000-0008-0000-0300-00003D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086" name="Line 132">
          <a:extLst>
            <a:ext uri="{FF2B5EF4-FFF2-40B4-BE49-F238E27FC236}">
              <a16:creationId xmlns:a16="http://schemas.microsoft.com/office/drawing/2014/main" id="{00000000-0008-0000-0300-00003E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087" name="Line 151">
          <a:extLst>
            <a:ext uri="{FF2B5EF4-FFF2-40B4-BE49-F238E27FC236}">
              <a16:creationId xmlns:a16="http://schemas.microsoft.com/office/drawing/2014/main" id="{00000000-0008-0000-0300-00003F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088" name="Line 132">
          <a:extLst>
            <a:ext uri="{FF2B5EF4-FFF2-40B4-BE49-F238E27FC236}">
              <a16:creationId xmlns:a16="http://schemas.microsoft.com/office/drawing/2014/main" id="{00000000-0008-0000-0300-000040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089" name="Line 151">
          <a:extLst>
            <a:ext uri="{FF2B5EF4-FFF2-40B4-BE49-F238E27FC236}">
              <a16:creationId xmlns:a16="http://schemas.microsoft.com/office/drawing/2014/main" id="{00000000-0008-0000-0300-000041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090" name="Line 132">
          <a:extLst>
            <a:ext uri="{FF2B5EF4-FFF2-40B4-BE49-F238E27FC236}">
              <a16:creationId xmlns:a16="http://schemas.microsoft.com/office/drawing/2014/main" id="{00000000-0008-0000-0300-000042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091" name="Line 151">
          <a:extLst>
            <a:ext uri="{FF2B5EF4-FFF2-40B4-BE49-F238E27FC236}">
              <a16:creationId xmlns:a16="http://schemas.microsoft.com/office/drawing/2014/main" id="{00000000-0008-0000-0300-000043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092" name="Line 132">
          <a:extLst>
            <a:ext uri="{FF2B5EF4-FFF2-40B4-BE49-F238E27FC236}">
              <a16:creationId xmlns:a16="http://schemas.microsoft.com/office/drawing/2014/main" id="{00000000-0008-0000-0300-000044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093" name="Line 151">
          <a:extLst>
            <a:ext uri="{FF2B5EF4-FFF2-40B4-BE49-F238E27FC236}">
              <a16:creationId xmlns:a16="http://schemas.microsoft.com/office/drawing/2014/main" id="{00000000-0008-0000-0300-000045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094" name="Line 132">
          <a:extLst>
            <a:ext uri="{FF2B5EF4-FFF2-40B4-BE49-F238E27FC236}">
              <a16:creationId xmlns:a16="http://schemas.microsoft.com/office/drawing/2014/main" id="{00000000-0008-0000-0300-000046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095" name="Line 151">
          <a:extLst>
            <a:ext uri="{FF2B5EF4-FFF2-40B4-BE49-F238E27FC236}">
              <a16:creationId xmlns:a16="http://schemas.microsoft.com/office/drawing/2014/main" id="{00000000-0008-0000-0300-000047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096" name="Line 132">
          <a:extLst>
            <a:ext uri="{FF2B5EF4-FFF2-40B4-BE49-F238E27FC236}">
              <a16:creationId xmlns:a16="http://schemas.microsoft.com/office/drawing/2014/main" id="{00000000-0008-0000-0300-000048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097" name="Line 151">
          <a:extLst>
            <a:ext uri="{FF2B5EF4-FFF2-40B4-BE49-F238E27FC236}">
              <a16:creationId xmlns:a16="http://schemas.microsoft.com/office/drawing/2014/main" id="{00000000-0008-0000-0300-000049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098" name="Line 132">
          <a:extLst>
            <a:ext uri="{FF2B5EF4-FFF2-40B4-BE49-F238E27FC236}">
              <a16:creationId xmlns:a16="http://schemas.microsoft.com/office/drawing/2014/main" id="{00000000-0008-0000-0300-00004A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099" name="Line 151">
          <a:extLst>
            <a:ext uri="{FF2B5EF4-FFF2-40B4-BE49-F238E27FC236}">
              <a16:creationId xmlns:a16="http://schemas.microsoft.com/office/drawing/2014/main" id="{00000000-0008-0000-0300-00004B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100" name="Line 132">
          <a:extLst>
            <a:ext uri="{FF2B5EF4-FFF2-40B4-BE49-F238E27FC236}">
              <a16:creationId xmlns:a16="http://schemas.microsoft.com/office/drawing/2014/main" id="{00000000-0008-0000-0300-00004C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101" name="Line 151">
          <a:extLst>
            <a:ext uri="{FF2B5EF4-FFF2-40B4-BE49-F238E27FC236}">
              <a16:creationId xmlns:a16="http://schemas.microsoft.com/office/drawing/2014/main" id="{00000000-0008-0000-0300-00004D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102" name="Line 132">
          <a:extLst>
            <a:ext uri="{FF2B5EF4-FFF2-40B4-BE49-F238E27FC236}">
              <a16:creationId xmlns:a16="http://schemas.microsoft.com/office/drawing/2014/main" id="{00000000-0008-0000-0300-00004E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103" name="Line 151">
          <a:extLst>
            <a:ext uri="{FF2B5EF4-FFF2-40B4-BE49-F238E27FC236}">
              <a16:creationId xmlns:a16="http://schemas.microsoft.com/office/drawing/2014/main" id="{00000000-0008-0000-0300-00004F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104" name="Line 132">
          <a:extLst>
            <a:ext uri="{FF2B5EF4-FFF2-40B4-BE49-F238E27FC236}">
              <a16:creationId xmlns:a16="http://schemas.microsoft.com/office/drawing/2014/main" id="{00000000-0008-0000-0300-000050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105" name="Line 151">
          <a:extLst>
            <a:ext uri="{FF2B5EF4-FFF2-40B4-BE49-F238E27FC236}">
              <a16:creationId xmlns:a16="http://schemas.microsoft.com/office/drawing/2014/main" id="{00000000-0008-0000-0300-000051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106" name="Line 132">
          <a:extLst>
            <a:ext uri="{FF2B5EF4-FFF2-40B4-BE49-F238E27FC236}">
              <a16:creationId xmlns:a16="http://schemas.microsoft.com/office/drawing/2014/main" id="{00000000-0008-0000-0300-000052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107" name="Line 151">
          <a:extLst>
            <a:ext uri="{FF2B5EF4-FFF2-40B4-BE49-F238E27FC236}">
              <a16:creationId xmlns:a16="http://schemas.microsoft.com/office/drawing/2014/main" id="{00000000-0008-0000-0300-000053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108" name="Line 132">
          <a:extLst>
            <a:ext uri="{FF2B5EF4-FFF2-40B4-BE49-F238E27FC236}">
              <a16:creationId xmlns:a16="http://schemas.microsoft.com/office/drawing/2014/main" id="{00000000-0008-0000-0300-000054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109" name="Line 151">
          <a:extLst>
            <a:ext uri="{FF2B5EF4-FFF2-40B4-BE49-F238E27FC236}">
              <a16:creationId xmlns:a16="http://schemas.microsoft.com/office/drawing/2014/main" id="{00000000-0008-0000-0300-000055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110" name="Line 132">
          <a:extLst>
            <a:ext uri="{FF2B5EF4-FFF2-40B4-BE49-F238E27FC236}">
              <a16:creationId xmlns:a16="http://schemas.microsoft.com/office/drawing/2014/main" id="{00000000-0008-0000-0300-00005604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111" name="Line 151">
          <a:extLst>
            <a:ext uri="{FF2B5EF4-FFF2-40B4-BE49-F238E27FC236}">
              <a16:creationId xmlns:a16="http://schemas.microsoft.com/office/drawing/2014/main" id="{00000000-0008-0000-0300-00005704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1112" name="Line 132">
          <a:extLst>
            <a:ext uri="{FF2B5EF4-FFF2-40B4-BE49-F238E27FC236}">
              <a16:creationId xmlns:a16="http://schemas.microsoft.com/office/drawing/2014/main" id="{00000000-0008-0000-0300-00005804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1113" name="Line 151">
          <a:extLst>
            <a:ext uri="{FF2B5EF4-FFF2-40B4-BE49-F238E27FC236}">
              <a16:creationId xmlns:a16="http://schemas.microsoft.com/office/drawing/2014/main" id="{00000000-0008-0000-0300-00005904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114" name="Line 132">
          <a:extLst>
            <a:ext uri="{FF2B5EF4-FFF2-40B4-BE49-F238E27FC236}">
              <a16:creationId xmlns:a16="http://schemas.microsoft.com/office/drawing/2014/main" id="{00000000-0008-0000-0300-00005A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115" name="Line 151">
          <a:extLst>
            <a:ext uri="{FF2B5EF4-FFF2-40B4-BE49-F238E27FC236}">
              <a16:creationId xmlns:a16="http://schemas.microsoft.com/office/drawing/2014/main" id="{00000000-0008-0000-0300-00005B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116" name="Line 132">
          <a:extLst>
            <a:ext uri="{FF2B5EF4-FFF2-40B4-BE49-F238E27FC236}">
              <a16:creationId xmlns:a16="http://schemas.microsoft.com/office/drawing/2014/main" id="{00000000-0008-0000-0300-00005C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117" name="Line 151">
          <a:extLst>
            <a:ext uri="{FF2B5EF4-FFF2-40B4-BE49-F238E27FC236}">
              <a16:creationId xmlns:a16="http://schemas.microsoft.com/office/drawing/2014/main" id="{00000000-0008-0000-0300-00005D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118" name="Line 132">
          <a:extLst>
            <a:ext uri="{FF2B5EF4-FFF2-40B4-BE49-F238E27FC236}">
              <a16:creationId xmlns:a16="http://schemas.microsoft.com/office/drawing/2014/main" id="{00000000-0008-0000-0300-00005E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119" name="Line 151">
          <a:extLst>
            <a:ext uri="{FF2B5EF4-FFF2-40B4-BE49-F238E27FC236}">
              <a16:creationId xmlns:a16="http://schemas.microsoft.com/office/drawing/2014/main" id="{00000000-0008-0000-0300-00005F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120" name="Line 132">
          <a:extLst>
            <a:ext uri="{FF2B5EF4-FFF2-40B4-BE49-F238E27FC236}">
              <a16:creationId xmlns:a16="http://schemas.microsoft.com/office/drawing/2014/main" id="{00000000-0008-0000-0300-000060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121" name="Line 151">
          <a:extLst>
            <a:ext uri="{FF2B5EF4-FFF2-40B4-BE49-F238E27FC236}">
              <a16:creationId xmlns:a16="http://schemas.microsoft.com/office/drawing/2014/main" id="{00000000-0008-0000-0300-000061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122" name="Line 132">
          <a:extLst>
            <a:ext uri="{FF2B5EF4-FFF2-40B4-BE49-F238E27FC236}">
              <a16:creationId xmlns:a16="http://schemas.microsoft.com/office/drawing/2014/main" id="{00000000-0008-0000-0300-000062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123" name="Line 151">
          <a:extLst>
            <a:ext uri="{FF2B5EF4-FFF2-40B4-BE49-F238E27FC236}">
              <a16:creationId xmlns:a16="http://schemas.microsoft.com/office/drawing/2014/main" id="{00000000-0008-0000-0300-000063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1124" name="Line 766">
          <a:extLst>
            <a:ext uri="{FF2B5EF4-FFF2-40B4-BE49-F238E27FC236}">
              <a16:creationId xmlns:a16="http://schemas.microsoft.com/office/drawing/2014/main" id="{00000000-0008-0000-0300-00006404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1125" name="Line 1009">
          <a:extLst>
            <a:ext uri="{FF2B5EF4-FFF2-40B4-BE49-F238E27FC236}">
              <a16:creationId xmlns:a16="http://schemas.microsoft.com/office/drawing/2014/main" id="{00000000-0008-0000-0300-00006504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1126" name="Line 132">
          <a:extLst>
            <a:ext uri="{FF2B5EF4-FFF2-40B4-BE49-F238E27FC236}">
              <a16:creationId xmlns:a16="http://schemas.microsoft.com/office/drawing/2014/main" id="{00000000-0008-0000-0300-00006604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1127" name="Line 151">
          <a:extLst>
            <a:ext uri="{FF2B5EF4-FFF2-40B4-BE49-F238E27FC236}">
              <a16:creationId xmlns:a16="http://schemas.microsoft.com/office/drawing/2014/main" id="{00000000-0008-0000-0300-00006704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1128" name="Line 132">
          <a:extLst>
            <a:ext uri="{FF2B5EF4-FFF2-40B4-BE49-F238E27FC236}">
              <a16:creationId xmlns:a16="http://schemas.microsoft.com/office/drawing/2014/main" id="{00000000-0008-0000-0300-00006804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1129" name="Line 151">
          <a:extLst>
            <a:ext uri="{FF2B5EF4-FFF2-40B4-BE49-F238E27FC236}">
              <a16:creationId xmlns:a16="http://schemas.microsoft.com/office/drawing/2014/main" id="{00000000-0008-0000-0300-00006904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130" name="Line 132">
          <a:extLst>
            <a:ext uri="{FF2B5EF4-FFF2-40B4-BE49-F238E27FC236}">
              <a16:creationId xmlns:a16="http://schemas.microsoft.com/office/drawing/2014/main" id="{00000000-0008-0000-0300-00006A04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131" name="Line 151">
          <a:extLst>
            <a:ext uri="{FF2B5EF4-FFF2-40B4-BE49-F238E27FC236}">
              <a16:creationId xmlns:a16="http://schemas.microsoft.com/office/drawing/2014/main" id="{00000000-0008-0000-0300-00006B04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1132" name="Line 132">
          <a:extLst>
            <a:ext uri="{FF2B5EF4-FFF2-40B4-BE49-F238E27FC236}">
              <a16:creationId xmlns:a16="http://schemas.microsoft.com/office/drawing/2014/main" id="{00000000-0008-0000-0300-00006C04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1133" name="Line 151">
          <a:extLst>
            <a:ext uri="{FF2B5EF4-FFF2-40B4-BE49-F238E27FC236}">
              <a16:creationId xmlns:a16="http://schemas.microsoft.com/office/drawing/2014/main" id="{00000000-0008-0000-0300-00006D04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134" name="Line 132">
          <a:extLst>
            <a:ext uri="{FF2B5EF4-FFF2-40B4-BE49-F238E27FC236}">
              <a16:creationId xmlns:a16="http://schemas.microsoft.com/office/drawing/2014/main" id="{00000000-0008-0000-0300-00006E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135" name="Line 151">
          <a:extLst>
            <a:ext uri="{FF2B5EF4-FFF2-40B4-BE49-F238E27FC236}">
              <a16:creationId xmlns:a16="http://schemas.microsoft.com/office/drawing/2014/main" id="{00000000-0008-0000-0300-00006F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136" name="Line 132">
          <a:extLst>
            <a:ext uri="{FF2B5EF4-FFF2-40B4-BE49-F238E27FC236}">
              <a16:creationId xmlns:a16="http://schemas.microsoft.com/office/drawing/2014/main" id="{00000000-0008-0000-0300-000070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137" name="Line 151">
          <a:extLst>
            <a:ext uri="{FF2B5EF4-FFF2-40B4-BE49-F238E27FC236}">
              <a16:creationId xmlns:a16="http://schemas.microsoft.com/office/drawing/2014/main" id="{00000000-0008-0000-0300-000071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138" name="Line 132">
          <a:extLst>
            <a:ext uri="{FF2B5EF4-FFF2-40B4-BE49-F238E27FC236}">
              <a16:creationId xmlns:a16="http://schemas.microsoft.com/office/drawing/2014/main" id="{00000000-0008-0000-0300-000072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139" name="Line 151">
          <a:extLst>
            <a:ext uri="{FF2B5EF4-FFF2-40B4-BE49-F238E27FC236}">
              <a16:creationId xmlns:a16="http://schemas.microsoft.com/office/drawing/2014/main" id="{00000000-0008-0000-0300-000073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140" name="Line 132">
          <a:extLst>
            <a:ext uri="{FF2B5EF4-FFF2-40B4-BE49-F238E27FC236}">
              <a16:creationId xmlns:a16="http://schemas.microsoft.com/office/drawing/2014/main" id="{00000000-0008-0000-0300-000074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141" name="Line 151">
          <a:extLst>
            <a:ext uri="{FF2B5EF4-FFF2-40B4-BE49-F238E27FC236}">
              <a16:creationId xmlns:a16="http://schemas.microsoft.com/office/drawing/2014/main" id="{00000000-0008-0000-0300-000075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142" name="Line 132">
          <a:extLst>
            <a:ext uri="{FF2B5EF4-FFF2-40B4-BE49-F238E27FC236}">
              <a16:creationId xmlns:a16="http://schemas.microsoft.com/office/drawing/2014/main" id="{00000000-0008-0000-0300-000076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143" name="Line 151">
          <a:extLst>
            <a:ext uri="{FF2B5EF4-FFF2-40B4-BE49-F238E27FC236}">
              <a16:creationId xmlns:a16="http://schemas.microsoft.com/office/drawing/2014/main" id="{00000000-0008-0000-0300-000077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144" name="Line 132">
          <a:extLst>
            <a:ext uri="{FF2B5EF4-FFF2-40B4-BE49-F238E27FC236}">
              <a16:creationId xmlns:a16="http://schemas.microsoft.com/office/drawing/2014/main" id="{00000000-0008-0000-0300-000078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145" name="Line 151">
          <a:extLst>
            <a:ext uri="{FF2B5EF4-FFF2-40B4-BE49-F238E27FC236}">
              <a16:creationId xmlns:a16="http://schemas.microsoft.com/office/drawing/2014/main" id="{00000000-0008-0000-0300-000079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146" name="Line 132">
          <a:extLst>
            <a:ext uri="{FF2B5EF4-FFF2-40B4-BE49-F238E27FC236}">
              <a16:creationId xmlns:a16="http://schemas.microsoft.com/office/drawing/2014/main" id="{00000000-0008-0000-0300-00007A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147" name="Line 151">
          <a:extLst>
            <a:ext uri="{FF2B5EF4-FFF2-40B4-BE49-F238E27FC236}">
              <a16:creationId xmlns:a16="http://schemas.microsoft.com/office/drawing/2014/main" id="{00000000-0008-0000-0300-00007B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148" name="Line 132">
          <a:extLst>
            <a:ext uri="{FF2B5EF4-FFF2-40B4-BE49-F238E27FC236}">
              <a16:creationId xmlns:a16="http://schemas.microsoft.com/office/drawing/2014/main" id="{00000000-0008-0000-0300-00007C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149" name="Line 151">
          <a:extLst>
            <a:ext uri="{FF2B5EF4-FFF2-40B4-BE49-F238E27FC236}">
              <a16:creationId xmlns:a16="http://schemas.microsoft.com/office/drawing/2014/main" id="{00000000-0008-0000-0300-00007D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150" name="Line 132">
          <a:extLst>
            <a:ext uri="{FF2B5EF4-FFF2-40B4-BE49-F238E27FC236}">
              <a16:creationId xmlns:a16="http://schemas.microsoft.com/office/drawing/2014/main" id="{00000000-0008-0000-0300-00007E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151" name="Line 151">
          <a:extLst>
            <a:ext uri="{FF2B5EF4-FFF2-40B4-BE49-F238E27FC236}">
              <a16:creationId xmlns:a16="http://schemas.microsoft.com/office/drawing/2014/main" id="{00000000-0008-0000-0300-00007F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152" name="Line 766">
          <a:extLst>
            <a:ext uri="{FF2B5EF4-FFF2-40B4-BE49-F238E27FC236}">
              <a16:creationId xmlns:a16="http://schemas.microsoft.com/office/drawing/2014/main" id="{00000000-0008-0000-0300-00008004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153" name="Line 1009">
          <a:extLst>
            <a:ext uri="{FF2B5EF4-FFF2-40B4-BE49-F238E27FC236}">
              <a16:creationId xmlns:a16="http://schemas.microsoft.com/office/drawing/2014/main" id="{00000000-0008-0000-0300-00008104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154" name="Line 132">
          <a:extLst>
            <a:ext uri="{FF2B5EF4-FFF2-40B4-BE49-F238E27FC236}">
              <a16:creationId xmlns:a16="http://schemas.microsoft.com/office/drawing/2014/main" id="{00000000-0008-0000-0300-00008204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155" name="Line 151">
          <a:extLst>
            <a:ext uri="{FF2B5EF4-FFF2-40B4-BE49-F238E27FC236}">
              <a16:creationId xmlns:a16="http://schemas.microsoft.com/office/drawing/2014/main" id="{00000000-0008-0000-0300-00008304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156" name="Line 132">
          <a:extLst>
            <a:ext uri="{FF2B5EF4-FFF2-40B4-BE49-F238E27FC236}">
              <a16:creationId xmlns:a16="http://schemas.microsoft.com/office/drawing/2014/main" id="{00000000-0008-0000-0300-000084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157" name="Line 151">
          <a:extLst>
            <a:ext uri="{FF2B5EF4-FFF2-40B4-BE49-F238E27FC236}">
              <a16:creationId xmlns:a16="http://schemas.microsoft.com/office/drawing/2014/main" id="{00000000-0008-0000-0300-000085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158" name="Line 132">
          <a:extLst>
            <a:ext uri="{FF2B5EF4-FFF2-40B4-BE49-F238E27FC236}">
              <a16:creationId xmlns:a16="http://schemas.microsoft.com/office/drawing/2014/main" id="{00000000-0008-0000-0300-000086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159" name="Line 151">
          <a:extLst>
            <a:ext uri="{FF2B5EF4-FFF2-40B4-BE49-F238E27FC236}">
              <a16:creationId xmlns:a16="http://schemas.microsoft.com/office/drawing/2014/main" id="{00000000-0008-0000-0300-000087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160" name="Line 132">
          <a:extLst>
            <a:ext uri="{FF2B5EF4-FFF2-40B4-BE49-F238E27FC236}">
              <a16:creationId xmlns:a16="http://schemas.microsoft.com/office/drawing/2014/main" id="{00000000-0008-0000-0300-000088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161" name="Line 151">
          <a:extLst>
            <a:ext uri="{FF2B5EF4-FFF2-40B4-BE49-F238E27FC236}">
              <a16:creationId xmlns:a16="http://schemas.microsoft.com/office/drawing/2014/main" id="{00000000-0008-0000-0300-000089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162" name="Line 132">
          <a:extLst>
            <a:ext uri="{FF2B5EF4-FFF2-40B4-BE49-F238E27FC236}">
              <a16:creationId xmlns:a16="http://schemas.microsoft.com/office/drawing/2014/main" id="{00000000-0008-0000-0300-00008A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163" name="Line 151">
          <a:extLst>
            <a:ext uri="{FF2B5EF4-FFF2-40B4-BE49-F238E27FC236}">
              <a16:creationId xmlns:a16="http://schemas.microsoft.com/office/drawing/2014/main" id="{00000000-0008-0000-0300-00008B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164" name="Line 132">
          <a:extLst>
            <a:ext uri="{FF2B5EF4-FFF2-40B4-BE49-F238E27FC236}">
              <a16:creationId xmlns:a16="http://schemas.microsoft.com/office/drawing/2014/main" id="{00000000-0008-0000-0300-00008C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165" name="Line 151">
          <a:extLst>
            <a:ext uri="{FF2B5EF4-FFF2-40B4-BE49-F238E27FC236}">
              <a16:creationId xmlns:a16="http://schemas.microsoft.com/office/drawing/2014/main" id="{00000000-0008-0000-0300-00008D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166" name="Line 132">
          <a:extLst>
            <a:ext uri="{FF2B5EF4-FFF2-40B4-BE49-F238E27FC236}">
              <a16:creationId xmlns:a16="http://schemas.microsoft.com/office/drawing/2014/main" id="{00000000-0008-0000-0300-00008E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167" name="Line 151">
          <a:extLst>
            <a:ext uri="{FF2B5EF4-FFF2-40B4-BE49-F238E27FC236}">
              <a16:creationId xmlns:a16="http://schemas.microsoft.com/office/drawing/2014/main" id="{00000000-0008-0000-0300-00008F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168" name="Line 132">
          <a:extLst>
            <a:ext uri="{FF2B5EF4-FFF2-40B4-BE49-F238E27FC236}">
              <a16:creationId xmlns:a16="http://schemas.microsoft.com/office/drawing/2014/main" id="{00000000-0008-0000-0300-000090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169" name="Line 151">
          <a:extLst>
            <a:ext uri="{FF2B5EF4-FFF2-40B4-BE49-F238E27FC236}">
              <a16:creationId xmlns:a16="http://schemas.microsoft.com/office/drawing/2014/main" id="{00000000-0008-0000-0300-000091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170" name="Line 132">
          <a:extLst>
            <a:ext uri="{FF2B5EF4-FFF2-40B4-BE49-F238E27FC236}">
              <a16:creationId xmlns:a16="http://schemas.microsoft.com/office/drawing/2014/main" id="{00000000-0008-0000-0300-000092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171" name="Line 151">
          <a:extLst>
            <a:ext uri="{FF2B5EF4-FFF2-40B4-BE49-F238E27FC236}">
              <a16:creationId xmlns:a16="http://schemas.microsoft.com/office/drawing/2014/main" id="{00000000-0008-0000-0300-000093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172" name="Line 132">
          <a:extLst>
            <a:ext uri="{FF2B5EF4-FFF2-40B4-BE49-F238E27FC236}">
              <a16:creationId xmlns:a16="http://schemas.microsoft.com/office/drawing/2014/main" id="{00000000-0008-0000-0300-000094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173" name="Line 151">
          <a:extLst>
            <a:ext uri="{FF2B5EF4-FFF2-40B4-BE49-F238E27FC236}">
              <a16:creationId xmlns:a16="http://schemas.microsoft.com/office/drawing/2014/main" id="{00000000-0008-0000-0300-000095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174" name="Line 132">
          <a:extLst>
            <a:ext uri="{FF2B5EF4-FFF2-40B4-BE49-F238E27FC236}">
              <a16:creationId xmlns:a16="http://schemas.microsoft.com/office/drawing/2014/main" id="{00000000-0008-0000-0300-000096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175" name="Line 151">
          <a:extLst>
            <a:ext uri="{FF2B5EF4-FFF2-40B4-BE49-F238E27FC236}">
              <a16:creationId xmlns:a16="http://schemas.microsoft.com/office/drawing/2014/main" id="{00000000-0008-0000-0300-000097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176" name="Line 132">
          <a:extLst>
            <a:ext uri="{FF2B5EF4-FFF2-40B4-BE49-F238E27FC236}">
              <a16:creationId xmlns:a16="http://schemas.microsoft.com/office/drawing/2014/main" id="{00000000-0008-0000-0300-000098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177" name="Line 151">
          <a:extLst>
            <a:ext uri="{FF2B5EF4-FFF2-40B4-BE49-F238E27FC236}">
              <a16:creationId xmlns:a16="http://schemas.microsoft.com/office/drawing/2014/main" id="{00000000-0008-0000-0300-000099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178" name="Line 132">
          <a:extLst>
            <a:ext uri="{FF2B5EF4-FFF2-40B4-BE49-F238E27FC236}">
              <a16:creationId xmlns:a16="http://schemas.microsoft.com/office/drawing/2014/main" id="{00000000-0008-0000-0300-00009A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179" name="Line 151">
          <a:extLst>
            <a:ext uri="{FF2B5EF4-FFF2-40B4-BE49-F238E27FC236}">
              <a16:creationId xmlns:a16="http://schemas.microsoft.com/office/drawing/2014/main" id="{00000000-0008-0000-0300-00009B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180" name="Line 132">
          <a:extLst>
            <a:ext uri="{FF2B5EF4-FFF2-40B4-BE49-F238E27FC236}">
              <a16:creationId xmlns:a16="http://schemas.microsoft.com/office/drawing/2014/main" id="{00000000-0008-0000-0300-00009C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181" name="Line 151">
          <a:extLst>
            <a:ext uri="{FF2B5EF4-FFF2-40B4-BE49-F238E27FC236}">
              <a16:creationId xmlns:a16="http://schemas.microsoft.com/office/drawing/2014/main" id="{00000000-0008-0000-0300-00009D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182" name="Line 132">
          <a:extLst>
            <a:ext uri="{FF2B5EF4-FFF2-40B4-BE49-F238E27FC236}">
              <a16:creationId xmlns:a16="http://schemas.microsoft.com/office/drawing/2014/main" id="{00000000-0008-0000-0300-00009E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183" name="Line 151">
          <a:extLst>
            <a:ext uri="{FF2B5EF4-FFF2-40B4-BE49-F238E27FC236}">
              <a16:creationId xmlns:a16="http://schemas.microsoft.com/office/drawing/2014/main" id="{00000000-0008-0000-0300-00009F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184" name="Line 132">
          <a:extLst>
            <a:ext uri="{FF2B5EF4-FFF2-40B4-BE49-F238E27FC236}">
              <a16:creationId xmlns:a16="http://schemas.microsoft.com/office/drawing/2014/main" id="{00000000-0008-0000-0300-0000A0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185" name="Line 151">
          <a:extLst>
            <a:ext uri="{FF2B5EF4-FFF2-40B4-BE49-F238E27FC236}">
              <a16:creationId xmlns:a16="http://schemas.microsoft.com/office/drawing/2014/main" id="{00000000-0008-0000-0300-0000A1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186" name="Line 132">
          <a:extLst>
            <a:ext uri="{FF2B5EF4-FFF2-40B4-BE49-F238E27FC236}">
              <a16:creationId xmlns:a16="http://schemas.microsoft.com/office/drawing/2014/main" id="{00000000-0008-0000-0300-0000A2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187" name="Line 151">
          <a:extLst>
            <a:ext uri="{FF2B5EF4-FFF2-40B4-BE49-F238E27FC236}">
              <a16:creationId xmlns:a16="http://schemas.microsoft.com/office/drawing/2014/main" id="{00000000-0008-0000-0300-0000A3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188" name="Line 132">
          <a:extLst>
            <a:ext uri="{FF2B5EF4-FFF2-40B4-BE49-F238E27FC236}">
              <a16:creationId xmlns:a16="http://schemas.microsoft.com/office/drawing/2014/main" id="{00000000-0008-0000-0300-0000A4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189" name="Line 151">
          <a:extLst>
            <a:ext uri="{FF2B5EF4-FFF2-40B4-BE49-F238E27FC236}">
              <a16:creationId xmlns:a16="http://schemas.microsoft.com/office/drawing/2014/main" id="{00000000-0008-0000-0300-0000A5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190" name="Line 132">
          <a:extLst>
            <a:ext uri="{FF2B5EF4-FFF2-40B4-BE49-F238E27FC236}">
              <a16:creationId xmlns:a16="http://schemas.microsoft.com/office/drawing/2014/main" id="{00000000-0008-0000-0300-0000A6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191" name="Line 151">
          <a:extLst>
            <a:ext uri="{FF2B5EF4-FFF2-40B4-BE49-F238E27FC236}">
              <a16:creationId xmlns:a16="http://schemas.microsoft.com/office/drawing/2014/main" id="{00000000-0008-0000-0300-0000A7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192" name="Line 132">
          <a:extLst>
            <a:ext uri="{FF2B5EF4-FFF2-40B4-BE49-F238E27FC236}">
              <a16:creationId xmlns:a16="http://schemas.microsoft.com/office/drawing/2014/main" id="{00000000-0008-0000-0300-0000A8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193" name="Line 151">
          <a:extLst>
            <a:ext uri="{FF2B5EF4-FFF2-40B4-BE49-F238E27FC236}">
              <a16:creationId xmlns:a16="http://schemas.microsoft.com/office/drawing/2014/main" id="{00000000-0008-0000-0300-0000A9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194" name="Line 132">
          <a:extLst>
            <a:ext uri="{FF2B5EF4-FFF2-40B4-BE49-F238E27FC236}">
              <a16:creationId xmlns:a16="http://schemas.microsoft.com/office/drawing/2014/main" id="{00000000-0008-0000-0300-0000AA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195" name="Line 151">
          <a:extLst>
            <a:ext uri="{FF2B5EF4-FFF2-40B4-BE49-F238E27FC236}">
              <a16:creationId xmlns:a16="http://schemas.microsoft.com/office/drawing/2014/main" id="{00000000-0008-0000-0300-0000AB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196" name="Line 132">
          <a:extLst>
            <a:ext uri="{FF2B5EF4-FFF2-40B4-BE49-F238E27FC236}">
              <a16:creationId xmlns:a16="http://schemas.microsoft.com/office/drawing/2014/main" id="{00000000-0008-0000-0300-0000AC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197" name="Line 151">
          <a:extLst>
            <a:ext uri="{FF2B5EF4-FFF2-40B4-BE49-F238E27FC236}">
              <a16:creationId xmlns:a16="http://schemas.microsoft.com/office/drawing/2014/main" id="{00000000-0008-0000-0300-0000AD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198" name="Line 132">
          <a:extLst>
            <a:ext uri="{FF2B5EF4-FFF2-40B4-BE49-F238E27FC236}">
              <a16:creationId xmlns:a16="http://schemas.microsoft.com/office/drawing/2014/main" id="{00000000-0008-0000-0300-0000AE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199" name="Line 151">
          <a:extLst>
            <a:ext uri="{FF2B5EF4-FFF2-40B4-BE49-F238E27FC236}">
              <a16:creationId xmlns:a16="http://schemas.microsoft.com/office/drawing/2014/main" id="{00000000-0008-0000-0300-0000AF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200" name="Line 132">
          <a:extLst>
            <a:ext uri="{FF2B5EF4-FFF2-40B4-BE49-F238E27FC236}">
              <a16:creationId xmlns:a16="http://schemas.microsoft.com/office/drawing/2014/main" id="{00000000-0008-0000-0300-0000B0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201" name="Line 151">
          <a:extLst>
            <a:ext uri="{FF2B5EF4-FFF2-40B4-BE49-F238E27FC236}">
              <a16:creationId xmlns:a16="http://schemas.microsoft.com/office/drawing/2014/main" id="{00000000-0008-0000-0300-0000B1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202" name="Line 132">
          <a:extLst>
            <a:ext uri="{FF2B5EF4-FFF2-40B4-BE49-F238E27FC236}">
              <a16:creationId xmlns:a16="http://schemas.microsoft.com/office/drawing/2014/main" id="{00000000-0008-0000-0300-0000B2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203" name="Line 151">
          <a:extLst>
            <a:ext uri="{FF2B5EF4-FFF2-40B4-BE49-F238E27FC236}">
              <a16:creationId xmlns:a16="http://schemas.microsoft.com/office/drawing/2014/main" id="{00000000-0008-0000-0300-0000B3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204" name="Line 132">
          <a:extLst>
            <a:ext uri="{FF2B5EF4-FFF2-40B4-BE49-F238E27FC236}">
              <a16:creationId xmlns:a16="http://schemas.microsoft.com/office/drawing/2014/main" id="{00000000-0008-0000-0300-0000B4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205" name="Line 151">
          <a:extLst>
            <a:ext uri="{FF2B5EF4-FFF2-40B4-BE49-F238E27FC236}">
              <a16:creationId xmlns:a16="http://schemas.microsoft.com/office/drawing/2014/main" id="{00000000-0008-0000-0300-0000B5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206" name="Line 132">
          <a:extLst>
            <a:ext uri="{FF2B5EF4-FFF2-40B4-BE49-F238E27FC236}">
              <a16:creationId xmlns:a16="http://schemas.microsoft.com/office/drawing/2014/main" id="{00000000-0008-0000-0300-0000B6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207" name="Line 151">
          <a:extLst>
            <a:ext uri="{FF2B5EF4-FFF2-40B4-BE49-F238E27FC236}">
              <a16:creationId xmlns:a16="http://schemas.microsoft.com/office/drawing/2014/main" id="{00000000-0008-0000-0300-0000B7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208" name="Line 132">
          <a:extLst>
            <a:ext uri="{FF2B5EF4-FFF2-40B4-BE49-F238E27FC236}">
              <a16:creationId xmlns:a16="http://schemas.microsoft.com/office/drawing/2014/main" id="{00000000-0008-0000-0300-0000B8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209" name="Line 151">
          <a:extLst>
            <a:ext uri="{FF2B5EF4-FFF2-40B4-BE49-F238E27FC236}">
              <a16:creationId xmlns:a16="http://schemas.microsoft.com/office/drawing/2014/main" id="{00000000-0008-0000-0300-0000B9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210" name="Line 132">
          <a:extLst>
            <a:ext uri="{FF2B5EF4-FFF2-40B4-BE49-F238E27FC236}">
              <a16:creationId xmlns:a16="http://schemas.microsoft.com/office/drawing/2014/main" id="{00000000-0008-0000-0300-0000BA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211" name="Line 151">
          <a:extLst>
            <a:ext uri="{FF2B5EF4-FFF2-40B4-BE49-F238E27FC236}">
              <a16:creationId xmlns:a16="http://schemas.microsoft.com/office/drawing/2014/main" id="{00000000-0008-0000-0300-0000BB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212" name="Line 132">
          <a:extLst>
            <a:ext uri="{FF2B5EF4-FFF2-40B4-BE49-F238E27FC236}">
              <a16:creationId xmlns:a16="http://schemas.microsoft.com/office/drawing/2014/main" id="{00000000-0008-0000-0300-0000BC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213" name="Line 151">
          <a:extLst>
            <a:ext uri="{FF2B5EF4-FFF2-40B4-BE49-F238E27FC236}">
              <a16:creationId xmlns:a16="http://schemas.microsoft.com/office/drawing/2014/main" id="{00000000-0008-0000-0300-0000BD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214" name="Line 132">
          <a:extLst>
            <a:ext uri="{FF2B5EF4-FFF2-40B4-BE49-F238E27FC236}">
              <a16:creationId xmlns:a16="http://schemas.microsoft.com/office/drawing/2014/main" id="{00000000-0008-0000-0300-0000BE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215" name="Line 151">
          <a:extLst>
            <a:ext uri="{FF2B5EF4-FFF2-40B4-BE49-F238E27FC236}">
              <a16:creationId xmlns:a16="http://schemas.microsoft.com/office/drawing/2014/main" id="{00000000-0008-0000-0300-0000BF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216" name="Line 132">
          <a:extLst>
            <a:ext uri="{FF2B5EF4-FFF2-40B4-BE49-F238E27FC236}">
              <a16:creationId xmlns:a16="http://schemas.microsoft.com/office/drawing/2014/main" id="{00000000-0008-0000-0300-0000C0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217" name="Line 151">
          <a:extLst>
            <a:ext uri="{FF2B5EF4-FFF2-40B4-BE49-F238E27FC236}">
              <a16:creationId xmlns:a16="http://schemas.microsoft.com/office/drawing/2014/main" id="{00000000-0008-0000-0300-0000C1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218" name="Line 132">
          <a:extLst>
            <a:ext uri="{FF2B5EF4-FFF2-40B4-BE49-F238E27FC236}">
              <a16:creationId xmlns:a16="http://schemas.microsoft.com/office/drawing/2014/main" id="{00000000-0008-0000-0300-0000C2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219" name="Line 151">
          <a:extLst>
            <a:ext uri="{FF2B5EF4-FFF2-40B4-BE49-F238E27FC236}">
              <a16:creationId xmlns:a16="http://schemas.microsoft.com/office/drawing/2014/main" id="{00000000-0008-0000-0300-0000C3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220" name="Line 132">
          <a:extLst>
            <a:ext uri="{FF2B5EF4-FFF2-40B4-BE49-F238E27FC236}">
              <a16:creationId xmlns:a16="http://schemas.microsoft.com/office/drawing/2014/main" id="{00000000-0008-0000-0300-0000C4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221" name="Line 151">
          <a:extLst>
            <a:ext uri="{FF2B5EF4-FFF2-40B4-BE49-F238E27FC236}">
              <a16:creationId xmlns:a16="http://schemas.microsoft.com/office/drawing/2014/main" id="{00000000-0008-0000-0300-0000C5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222" name="Line 132">
          <a:extLst>
            <a:ext uri="{FF2B5EF4-FFF2-40B4-BE49-F238E27FC236}">
              <a16:creationId xmlns:a16="http://schemas.microsoft.com/office/drawing/2014/main" id="{00000000-0008-0000-0300-0000C6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223" name="Line 151">
          <a:extLst>
            <a:ext uri="{FF2B5EF4-FFF2-40B4-BE49-F238E27FC236}">
              <a16:creationId xmlns:a16="http://schemas.microsoft.com/office/drawing/2014/main" id="{00000000-0008-0000-0300-0000C7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224" name="Line 132">
          <a:extLst>
            <a:ext uri="{FF2B5EF4-FFF2-40B4-BE49-F238E27FC236}">
              <a16:creationId xmlns:a16="http://schemas.microsoft.com/office/drawing/2014/main" id="{00000000-0008-0000-0300-0000C8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225" name="Line 151">
          <a:extLst>
            <a:ext uri="{FF2B5EF4-FFF2-40B4-BE49-F238E27FC236}">
              <a16:creationId xmlns:a16="http://schemas.microsoft.com/office/drawing/2014/main" id="{00000000-0008-0000-0300-0000C9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226" name="Line 132">
          <a:extLst>
            <a:ext uri="{FF2B5EF4-FFF2-40B4-BE49-F238E27FC236}">
              <a16:creationId xmlns:a16="http://schemas.microsoft.com/office/drawing/2014/main" id="{00000000-0008-0000-0300-0000CA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227" name="Line 151">
          <a:extLst>
            <a:ext uri="{FF2B5EF4-FFF2-40B4-BE49-F238E27FC236}">
              <a16:creationId xmlns:a16="http://schemas.microsoft.com/office/drawing/2014/main" id="{00000000-0008-0000-0300-0000CB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228" name="Line 132">
          <a:extLst>
            <a:ext uri="{FF2B5EF4-FFF2-40B4-BE49-F238E27FC236}">
              <a16:creationId xmlns:a16="http://schemas.microsoft.com/office/drawing/2014/main" id="{00000000-0008-0000-0300-0000CC04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229" name="Line 151">
          <a:extLst>
            <a:ext uri="{FF2B5EF4-FFF2-40B4-BE49-F238E27FC236}">
              <a16:creationId xmlns:a16="http://schemas.microsoft.com/office/drawing/2014/main" id="{00000000-0008-0000-0300-0000CD04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1230" name="Line 132">
          <a:extLst>
            <a:ext uri="{FF2B5EF4-FFF2-40B4-BE49-F238E27FC236}">
              <a16:creationId xmlns:a16="http://schemas.microsoft.com/office/drawing/2014/main" id="{00000000-0008-0000-0300-0000CE04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1231" name="Line 151">
          <a:extLst>
            <a:ext uri="{FF2B5EF4-FFF2-40B4-BE49-F238E27FC236}">
              <a16:creationId xmlns:a16="http://schemas.microsoft.com/office/drawing/2014/main" id="{00000000-0008-0000-0300-0000CF04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232" name="Line 132">
          <a:extLst>
            <a:ext uri="{FF2B5EF4-FFF2-40B4-BE49-F238E27FC236}">
              <a16:creationId xmlns:a16="http://schemas.microsoft.com/office/drawing/2014/main" id="{00000000-0008-0000-0300-0000D0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233" name="Line 151">
          <a:extLst>
            <a:ext uri="{FF2B5EF4-FFF2-40B4-BE49-F238E27FC236}">
              <a16:creationId xmlns:a16="http://schemas.microsoft.com/office/drawing/2014/main" id="{00000000-0008-0000-0300-0000D1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234" name="Line 132">
          <a:extLst>
            <a:ext uri="{FF2B5EF4-FFF2-40B4-BE49-F238E27FC236}">
              <a16:creationId xmlns:a16="http://schemas.microsoft.com/office/drawing/2014/main" id="{00000000-0008-0000-0300-0000D2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235" name="Line 151">
          <a:extLst>
            <a:ext uri="{FF2B5EF4-FFF2-40B4-BE49-F238E27FC236}">
              <a16:creationId xmlns:a16="http://schemas.microsoft.com/office/drawing/2014/main" id="{00000000-0008-0000-0300-0000D3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236" name="Line 132">
          <a:extLst>
            <a:ext uri="{FF2B5EF4-FFF2-40B4-BE49-F238E27FC236}">
              <a16:creationId xmlns:a16="http://schemas.microsoft.com/office/drawing/2014/main" id="{00000000-0008-0000-0300-0000D4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237" name="Line 151">
          <a:extLst>
            <a:ext uri="{FF2B5EF4-FFF2-40B4-BE49-F238E27FC236}">
              <a16:creationId xmlns:a16="http://schemas.microsoft.com/office/drawing/2014/main" id="{00000000-0008-0000-0300-0000D5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238" name="Line 132">
          <a:extLst>
            <a:ext uri="{FF2B5EF4-FFF2-40B4-BE49-F238E27FC236}">
              <a16:creationId xmlns:a16="http://schemas.microsoft.com/office/drawing/2014/main" id="{00000000-0008-0000-0300-0000D6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239" name="Line 151">
          <a:extLst>
            <a:ext uri="{FF2B5EF4-FFF2-40B4-BE49-F238E27FC236}">
              <a16:creationId xmlns:a16="http://schemas.microsoft.com/office/drawing/2014/main" id="{00000000-0008-0000-0300-0000D7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240" name="Line 132">
          <a:extLst>
            <a:ext uri="{FF2B5EF4-FFF2-40B4-BE49-F238E27FC236}">
              <a16:creationId xmlns:a16="http://schemas.microsoft.com/office/drawing/2014/main" id="{00000000-0008-0000-0300-0000D8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241" name="Line 151">
          <a:extLst>
            <a:ext uri="{FF2B5EF4-FFF2-40B4-BE49-F238E27FC236}">
              <a16:creationId xmlns:a16="http://schemas.microsoft.com/office/drawing/2014/main" id="{00000000-0008-0000-0300-0000D9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1242" name="Line 766">
          <a:extLst>
            <a:ext uri="{FF2B5EF4-FFF2-40B4-BE49-F238E27FC236}">
              <a16:creationId xmlns:a16="http://schemas.microsoft.com/office/drawing/2014/main" id="{00000000-0008-0000-0300-0000DA04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1243" name="Line 1009">
          <a:extLst>
            <a:ext uri="{FF2B5EF4-FFF2-40B4-BE49-F238E27FC236}">
              <a16:creationId xmlns:a16="http://schemas.microsoft.com/office/drawing/2014/main" id="{00000000-0008-0000-0300-0000DB04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1244" name="Line 132">
          <a:extLst>
            <a:ext uri="{FF2B5EF4-FFF2-40B4-BE49-F238E27FC236}">
              <a16:creationId xmlns:a16="http://schemas.microsoft.com/office/drawing/2014/main" id="{00000000-0008-0000-0300-0000DC04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56</xdr:row>
      <xdr:rowOff>95250</xdr:rowOff>
    </xdr:from>
    <xdr:to>
      <xdr:col>2</xdr:col>
      <xdr:colOff>190500</xdr:colOff>
      <xdr:row>56</xdr:row>
      <xdr:rowOff>95250</xdr:rowOff>
    </xdr:to>
    <xdr:sp macro="" textlink="">
      <xdr:nvSpPr>
        <xdr:cNvPr id="1245" name="Line 151">
          <a:extLst>
            <a:ext uri="{FF2B5EF4-FFF2-40B4-BE49-F238E27FC236}">
              <a16:creationId xmlns:a16="http://schemas.microsoft.com/office/drawing/2014/main" id="{00000000-0008-0000-0300-0000DD040000}"/>
            </a:ext>
          </a:extLst>
        </xdr:cNvPr>
        <xdr:cNvSpPr>
          <a:spLocks noChangeShapeType="1"/>
        </xdr:cNvSpPr>
      </xdr:nvSpPr>
      <xdr:spPr bwMode="auto">
        <a:xfrm>
          <a:off x="1000125"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1246" name="Line 132">
          <a:extLst>
            <a:ext uri="{FF2B5EF4-FFF2-40B4-BE49-F238E27FC236}">
              <a16:creationId xmlns:a16="http://schemas.microsoft.com/office/drawing/2014/main" id="{00000000-0008-0000-0300-0000DE04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95250</xdr:rowOff>
    </xdr:from>
    <xdr:to>
      <xdr:col>2</xdr:col>
      <xdr:colOff>190500</xdr:colOff>
      <xdr:row>57</xdr:row>
      <xdr:rowOff>95250</xdr:rowOff>
    </xdr:to>
    <xdr:sp macro="" textlink="">
      <xdr:nvSpPr>
        <xdr:cNvPr id="1247" name="Line 151">
          <a:extLst>
            <a:ext uri="{FF2B5EF4-FFF2-40B4-BE49-F238E27FC236}">
              <a16:creationId xmlns:a16="http://schemas.microsoft.com/office/drawing/2014/main" id="{00000000-0008-0000-0300-0000DF040000}"/>
            </a:ext>
          </a:extLst>
        </xdr:cNvPr>
        <xdr:cNvSpPr>
          <a:spLocks noChangeShapeType="1"/>
        </xdr:cNvSpPr>
      </xdr:nvSpPr>
      <xdr:spPr bwMode="auto">
        <a:xfrm>
          <a:off x="1000125" y="105156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248" name="Line 132">
          <a:extLst>
            <a:ext uri="{FF2B5EF4-FFF2-40B4-BE49-F238E27FC236}">
              <a16:creationId xmlns:a16="http://schemas.microsoft.com/office/drawing/2014/main" id="{00000000-0008-0000-0300-0000E004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249" name="Line 151">
          <a:extLst>
            <a:ext uri="{FF2B5EF4-FFF2-40B4-BE49-F238E27FC236}">
              <a16:creationId xmlns:a16="http://schemas.microsoft.com/office/drawing/2014/main" id="{00000000-0008-0000-0300-0000E104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1250" name="Line 132">
          <a:extLst>
            <a:ext uri="{FF2B5EF4-FFF2-40B4-BE49-F238E27FC236}">
              <a16:creationId xmlns:a16="http://schemas.microsoft.com/office/drawing/2014/main" id="{00000000-0008-0000-0300-0000E204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52</xdr:row>
      <xdr:rowOff>95250</xdr:rowOff>
    </xdr:from>
    <xdr:to>
      <xdr:col>3</xdr:col>
      <xdr:colOff>190500</xdr:colOff>
      <xdr:row>52</xdr:row>
      <xdr:rowOff>95250</xdr:rowOff>
    </xdr:to>
    <xdr:sp macro="" textlink="">
      <xdr:nvSpPr>
        <xdr:cNvPr id="1251" name="Line 151">
          <a:extLst>
            <a:ext uri="{FF2B5EF4-FFF2-40B4-BE49-F238E27FC236}">
              <a16:creationId xmlns:a16="http://schemas.microsoft.com/office/drawing/2014/main" id="{00000000-0008-0000-0300-0000E3040000}"/>
            </a:ext>
          </a:extLst>
        </xdr:cNvPr>
        <xdr:cNvSpPr>
          <a:spLocks noChangeShapeType="1"/>
        </xdr:cNvSpPr>
      </xdr:nvSpPr>
      <xdr:spPr bwMode="auto">
        <a:xfrm>
          <a:off x="1238250" y="94964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252" name="Line 132">
          <a:extLst>
            <a:ext uri="{FF2B5EF4-FFF2-40B4-BE49-F238E27FC236}">
              <a16:creationId xmlns:a16="http://schemas.microsoft.com/office/drawing/2014/main" id="{00000000-0008-0000-0300-0000E4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253" name="Line 151">
          <a:extLst>
            <a:ext uri="{FF2B5EF4-FFF2-40B4-BE49-F238E27FC236}">
              <a16:creationId xmlns:a16="http://schemas.microsoft.com/office/drawing/2014/main" id="{00000000-0008-0000-0300-0000E5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254" name="Line 132">
          <a:extLst>
            <a:ext uri="{FF2B5EF4-FFF2-40B4-BE49-F238E27FC236}">
              <a16:creationId xmlns:a16="http://schemas.microsoft.com/office/drawing/2014/main" id="{00000000-0008-0000-0300-0000E6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255" name="Line 151">
          <a:extLst>
            <a:ext uri="{FF2B5EF4-FFF2-40B4-BE49-F238E27FC236}">
              <a16:creationId xmlns:a16="http://schemas.microsoft.com/office/drawing/2014/main" id="{00000000-0008-0000-0300-0000E7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256" name="Line 132">
          <a:extLst>
            <a:ext uri="{FF2B5EF4-FFF2-40B4-BE49-F238E27FC236}">
              <a16:creationId xmlns:a16="http://schemas.microsoft.com/office/drawing/2014/main" id="{00000000-0008-0000-0300-0000E8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257" name="Line 151">
          <a:extLst>
            <a:ext uri="{FF2B5EF4-FFF2-40B4-BE49-F238E27FC236}">
              <a16:creationId xmlns:a16="http://schemas.microsoft.com/office/drawing/2014/main" id="{00000000-0008-0000-0300-0000E9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258" name="Line 132">
          <a:extLst>
            <a:ext uri="{FF2B5EF4-FFF2-40B4-BE49-F238E27FC236}">
              <a16:creationId xmlns:a16="http://schemas.microsoft.com/office/drawing/2014/main" id="{00000000-0008-0000-0300-0000EA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259" name="Line 151">
          <a:extLst>
            <a:ext uri="{FF2B5EF4-FFF2-40B4-BE49-F238E27FC236}">
              <a16:creationId xmlns:a16="http://schemas.microsoft.com/office/drawing/2014/main" id="{00000000-0008-0000-0300-0000EB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260" name="Line 132">
          <a:extLst>
            <a:ext uri="{FF2B5EF4-FFF2-40B4-BE49-F238E27FC236}">
              <a16:creationId xmlns:a16="http://schemas.microsoft.com/office/drawing/2014/main" id="{00000000-0008-0000-0300-0000EC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261" name="Line 151">
          <a:extLst>
            <a:ext uri="{FF2B5EF4-FFF2-40B4-BE49-F238E27FC236}">
              <a16:creationId xmlns:a16="http://schemas.microsoft.com/office/drawing/2014/main" id="{00000000-0008-0000-0300-0000ED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262" name="Line 132">
          <a:extLst>
            <a:ext uri="{FF2B5EF4-FFF2-40B4-BE49-F238E27FC236}">
              <a16:creationId xmlns:a16="http://schemas.microsoft.com/office/drawing/2014/main" id="{00000000-0008-0000-0300-0000EE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263" name="Line 151">
          <a:extLst>
            <a:ext uri="{FF2B5EF4-FFF2-40B4-BE49-F238E27FC236}">
              <a16:creationId xmlns:a16="http://schemas.microsoft.com/office/drawing/2014/main" id="{00000000-0008-0000-0300-0000EF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264" name="Line 132">
          <a:extLst>
            <a:ext uri="{FF2B5EF4-FFF2-40B4-BE49-F238E27FC236}">
              <a16:creationId xmlns:a16="http://schemas.microsoft.com/office/drawing/2014/main" id="{00000000-0008-0000-0300-0000F0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265" name="Line 151">
          <a:extLst>
            <a:ext uri="{FF2B5EF4-FFF2-40B4-BE49-F238E27FC236}">
              <a16:creationId xmlns:a16="http://schemas.microsoft.com/office/drawing/2014/main" id="{00000000-0008-0000-0300-0000F104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266" name="Line 132">
          <a:extLst>
            <a:ext uri="{FF2B5EF4-FFF2-40B4-BE49-F238E27FC236}">
              <a16:creationId xmlns:a16="http://schemas.microsoft.com/office/drawing/2014/main" id="{00000000-0008-0000-0300-0000F2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267" name="Line 151">
          <a:extLst>
            <a:ext uri="{FF2B5EF4-FFF2-40B4-BE49-F238E27FC236}">
              <a16:creationId xmlns:a16="http://schemas.microsoft.com/office/drawing/2014/main" id="{00000000-0008-0000-0300-0000F304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268" name="Line 132">
          <a:extLst>
            <a:ext uri="{FF2B5EF4-FFF2-40B4-BE49-F238E27FC236}">
              <a16:creationId xmlns:a16="http://schemas.microsoft.com/office/drawing/2014/main" id="{00000000-0008-0000-0300-0000F4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269" name="Line 151">
          <a:extLst>
            <a:ext uri="{FF2B5EF4-FFF2-40B4-BE49-F238E27FC236}">
              <a16:creationId xmlns:a16="http://schemas.microsoft.com/office/drawing/2014/main" id="{00000000-0008-0000-0300-0000F504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270" name="Line 766">
          <a:extLst>
            <a:ext uri="{FF2B5EF4-FFF2-40B4-BE49-F238E27FC236}">
              <a16:creationId xmlns:a16="http://schemas.microsoft.com/office/drawing/2014/main" id="{00000000-0008-0000-0300-0000F604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271" name="Line 1009">
          <a:extLst>
            <a:ext uri="{FF2B5EF4-FFF2-40B4-BE49-F238E27FC236}">
              <a16:creationId xmlns:a16="http://schemas.microsoft.com/office/drawing/2014/main" id="{00000000-0008-0000-0300-0000F704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272" name="Line 132">
          <a:extLst>
            <a:ext uri="{FF2B5EF4-FFF2-40B4-BE49-F238E27FC236}">
              <a16:creationId xmlns:a16="http://schemas.microsoft.com/office/drawing/2014/main" id="{00000000-0008-0000-0300-0000F804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1273" name="Line 151">
          <a:extLst>
            <a:ext uri="{FF2B5EF4-FFF2-40B4-BE49-F238E27FC236}">
              <a16:creationId xmlns:a16="http://schemas.microsoft.com/office/drawing/2014/main" id="{00000000-0008-0000-0300-0000F904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274" name="Line 132">
          <a:extLst>
            <a:ext uri="{FF2B5EF4-FFF2-40B4-BE49-F238E27FC236}">
              <a16:creationId xmlns:a16="http://schemas.microsoft.com/office/drawing/2014/main" id="{00000000-0008-0000-0300-0000FA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275" name="Line 151">
          <a:extLst>
            <a:ext uri="{FF2B5EF4-FFF2-40B4-BE49-F238E27FC236}">
              <a16:creationId xmlns:a16="http://schemas.microsoft.com/office/drawing/2014/main" id="{00000000-0008-0000-0300-0000FB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276" name="Line 132">
          <a:extLst>
            <a:ext uri="{FF2B5EF4-FFF2-40B4-BE49-F238E27FC236}">
              <a16:creationId xmlns:a16="http://schemas.microsoft.com/office/drawing/2014/main" id="{00000000-0008-0000-0300-0000FC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277" name="Line 151">
          <a:extLst>
            <a:ext uri="{FF2B5EF4-FFF2-40B4-BE49-F238E27FC236}">
              <a16:creationId xmlns:a16="http://schemas.microsoft.com/office/drawing/2014/main" id="{00000000-0008-0000-0300-0000FD04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278" name="Line 132">
          <a:extLst>
            <a:ext uri="{FF2B5EF4-FFF2-40B4-BE49-F238E27FC236}">
              <a16:creationId xmlns:a16="http://schemas.microsoft.com/office/drawing/2014/main" id="{00000000-0008-0000-0300-0000FE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279" name="Line 151">
          <a:extLst>
            <a:ext uri="{FF2B5EF4-FFF2-40B4-BE49-F238E27FC236}">
              <a16:creationId xmlns:a16="http://schemas.microsoft.com/office/drawing/2014/main" id="{00000000-0008-0000-0300-0000FF04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280" name="Line 132">
          <a:extLst>
            <a:ext uri="{FF2B5EF4-FFF2-40B4-BE49-F238E27FC236}">
              <a16:creationId xmlns:a16="http://schemas.microsoft.com/office/drawing/2014/main" id="{00000000-0008-0000-0300-00000005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281" name="Line 151">
          <a:extLst>
            <a:ext uri="{FF2B5EF4-FFF2-40B4-BE49-F238E27FC236}">
              <a16:creationId xmlns:a16="http://schemas.microsoft.com/office/drawing/2014/main" id="{00000000-0008-0000-0300-00000105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282" name="Line 132">
          <a:extLst>
            <a:ext uri="{FF2B5EF4-FFF2-40B4-BE49-F238E27FC236}">
              <a16:creationId xmlns:a16="http://schemas.microsoft.com/office/drawing/2014/main" id="{00000000-0008-0000-0300-000002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283" name="Line 151">
          <a:extLst>
            <a:ext uri="{FF2B5EF4-FFF2-40B4-BE49-F238E27FC236}">
              <a16:creationId xmlns:a16="http://schemas.microsoft.com/office/drawing/2014/main" id="{00000000-0008-0000-0300-000003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284" name="Line 132">
          <a:extLst>
            <a:ext uri="{FF2B5EF4-FFF2-40B4-BE49-F238E27FC236}">
              <a16:creationId xmlns:a16="http://schemas.microsoft.com/office/drawing/2014/main" id="{00000000-0008-0000-0300-000004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285" name="Line 151">
          <a:extLst>
            <a:ext uri="{FF2B5EF4-FFF2-40B4-BE49-F238E27FC236}">
              <a16:creationId xmlns:a16="http://schemas.microsoft.com/office/drawing/2014/main" id="{00000000-0008-0000-0300-000005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286" name="Line 132">
          <a:extLst>
            <a:ext uri="{FF2B5EF4-FFF2-40B4-BE49-F238E27FC236}">
              <a16:creationId xmlns:a16="http://schemas.microsoft.com/office/drawing/2014/main" id="{00000000-0008-0000-0300-00000605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287" name="Line 151">
          <a:extLst>
            <a:ext uri="{FF2B5EF4-FFF2-40B4-BE49-F238E27FC236}">
              <a16:creationId xmlns:a16="http://schemas.microsoft.com/office/drawing/2014/main" id="{00000000-0008-0000-0300-00000705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288" name="Line 132">
          <a:extLst>
            <a:ext uri="{FF2B5EF4-FFF2-40B4-BE49-F238E27FC236}">
              <a16:creationId xmlns:a16="http://schemas.microsoft.com/office/drawing/2014/main" id="{00000000-0008-0000-0300-00000805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289" name="Line 151">
          <a:extLst>
            <a:ext uri="{FF2B5EF4-FFF2-40B4-BE49-F238E27FC236}">
              <a16:creationId xmlns:a16="http://schemas.microsoft.com/office/drawing/2014/main" id="{00000000-0008-0000-0300-00000905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290" name="Line 132">
          <a:extLst>
            <a:ext uri="{FF2B5EF4-FFF2-40B4-BE49-F238E27FC236}">
              <a16:creationId xmlns:a16="http://schemas.microsoft.com/office/drawing/2014/main" id="{00000000-0008-0000-0300-00000A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291" name="Line 151">
          <a:extLst>
            <a:ext uri="{FF2B5EF4-FFF2-40B4-BE49-F238E27FC236}">
              <a16:creationId xmlns:a16="http://schemas.microsoft.com/office/drawing/2014/main" id="{00000000-0008-0000-0300-00000B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292" name="Line 132">
          <a:extLst>
            <a:ext uri="{FF2B5EF4-FFF2-40B4-BE49-F238E27FC236}">
              <a16:creationId xmlns:a16="http://schemas.microsoft.com/office/drawing/2014/main" id="{00000000-0008-0000-0300-00000C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293" name="Line 151">
          <a:extLst>
            <a:ext uri="{FF2B5EF4-FFF2-40B4-BE49-F238E27FC236}">
              <a16:creationId xmlns:a16="http://schemas.microsoft.com/office/drawing/2014/main" id="{00000000-0008-0000-0300-00000D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294" name="Line 132">
          <a:extLst>
            <a:ext uri="{FF2B5EF4-FFF2-40B4-BE49-F238E27FC236}">
              <a16:creationId xmlns:a16="http://schemas.microsoft.com/office/drawing/2014/main" id="{00000000-0008-0000-0300-00000E05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295" name="Line 151">
          <a:extLst>
            <a:ext uri="{FF2B5EF4-FFF2-40B4-BE49-F238E27FC236}">
              <a16:creationId xmlns:a16="http://schemas.microsoft.com/office/drawing/2014/main" id="{00000000-0008-0000-0300-00000F05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296" name="Line 132">
          <a:extLst>
            <a:ext uri="{FF2B5EF4-FFF2-40B4-BE49-F238E27FC236}">
              <a16:creationId xmlns:a16="http://schemas.microsoft.com/office/drawing/2014/main" id="{00000000-0008-0000-0300-00001005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53</xdr:row>
      <xdr:rowOff>95250</xdr:rowOff>
    </xdr:from>
    <xdr:to>
      <xdr:col>3</xdr:col>
      <xdr:colOff>190500</xdr:colOff>
      <xdr:row>53</xdr:row>
      <xdr:rowOff>95250</xdr:rowOff>
    </xdr:to>
    <xdr:sp macro="" textlink="">
      <xdr:nvSpPr>
        <xdr:cNvPr id="1297" name="Line 151">
          <a:extLst>
            <a:ext uri="{FF2B5EF4-FFF2-40B4-BE49-F238E27FC236}">
              <a16:creationId xmlns:a16="http://schemas.microsoft.com/office/drawing/2014/main" id="{00000000-0008-0000-0300-000011050000}"/>
            </a:ext>
          </a:extLst>
        </xdr:cNvPr>
        <xdr:cNvSpPr>
          <a:spLocks noChangeShapeType="1"/>
        </xdr:cNvSpPr>
      </xdr:nvSpPr>
      <xdr:spPr bwMode="auto">
        <a:xfrm>
          <a:off x="1238250" y="96964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298" name="Line 132">
          <a:extLst>
            <a:ext uri="{FF2B5EF4-FFF2-40B4-BE49-F238E27FC236}">
              <a16:creationId xmlns:a16="http://schemas.microsoft.com/office/drawing/2014/main" id="{00000000-0008-0000-0300-00001205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299" name="Line 151">
          <a:extLst>
            <a:ext uri="{FF2B5EF4-FFF2-40B4-BE49-F238E27FC236}">
              <a16:creationId xmlns:a16="http://schemas.microsoft.com/office/drawing/2014/main" id="{00000000-0008-0000-0300-00001305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300" name="Line 132">
          <a:extLst>
            <a:ext uri="{FF2B5EF4-FFF2-40B4-BE49-F238E27FC236}">
              <a16:creationId xmlns:a16="http://schemas.microsoft.com/office/drawing/2014/main" id="{00000000-0008-0000-0300-00001405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301" name="Line 151">
          <a:extLst>
            <a:ext uri="{FF2B5EF4-FFF2-40B4-BE49-F238E27FC236}">
              <a16:creationId xmlns:a16="http://schemas.microsoft.com/office/drawing/2014/main" id="{00000000-0008-0000-0300-00001505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302" name="Line 132">
          <a:extLst>
            <a:ext uri="{FF2B5EF4-FFF2-40B4-BE49-F238E27FC236}">
              <a16:creationId xmlns:a16="http://schemas.microsoft.com/office/drawing/2014/main" id="{00000000-0008-0000-0300-000016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303" name="Line 151">
          <a:extLst>
            <a:ext uri="{FF2B5EF4-FFF2-40B4-BE49-F238E27FC236}">
              <a16:creationId xmlns:a16="http://schemas.microsoft.com/office/drawing/2014/main" id="{00000000-0008-0000-0300-000017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304" name="Line 132">
          <a:extLst>
            <a:ext uri="{FF2B5EF4-FFF2-40B4-BE49-F238E27FC236}">
              <a16:creationId xmlns:a16="http://schemas.microsoft.com/office/drawing/2014/main" id="{00000000-0008-0000-0300-000018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305" name="Line 151">
          <a:extLst>
            <a:ext uri="{FF2B5EF4-FFF2-40B4-BE49-F238E27FC236}">
              <a16:creationId xmlns:a16="http://schemas.microsoft.com/office/drawing/2014/main" id="{00000000-0008-0000-0300-000019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306" name="Line 132">
          <a:extLst>
            <a:ext uri="{FF2B5EF4-FFF2-40B4-BE49-F238E27FC236}">
              <a16:creationId xmlns:a16="http://schemas.microsoft.com/office/drawing/2014/main" id="{00000000-0008-0000-0300-00001A05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307" name="Line 151">
          <a:extLst>
            <a:ext uri="{FF2B5EF4-FFF2-40B4-BE49-F238E27FC236}">
              <a16:creationId xmlns:a16="http://schemas.microsoft.com/office/drawing/2014/main" id="{00000000-0008-0000-0300-00001B05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308" name="Line 132">
          <a:extLst>
            <a:ext uri="{FF2B5EF4-FFF2-40B4-BE49-F238E27FC236}">
              <a16:creationId xmlns:a16="http://schemas.microsoft.com/office/drawing/2014/main" id="{00000000-0008-0000-0300-00001C05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309" name="Line 151">
          <a:extLst>
            <a:ext uri="{FF2B5EF4-FFF2-40B4-BE49-F238E27FC236}">
              <a16:creationId xmlns:a16="http://schemas.microsoft.com/office/drawing/2014/main" id="{00000000-0008-0000-0300-00001D05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310" name="Line 132">
          <a:extLst>
            <a:ext uri="{FF2B5EF4-FFF2-40B4-BE49-F238E27FC236}">
              <a16:creationId xmlns:a16="http://schemas.microsoft.com/office/drawing/2014/main" id="{00000000-0008-0000-0300-00001E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311" name="Line 151">
          <a:extLst>
            <a:ext uri="{FF2B5EF4-FFF2-40B4-BE49-F238E27FC236}">
              <a16:creationId xmlns:a16="http://schemas.microsoft.com/office/drawing/2014/main" id="{00000000-0008-0000-0300-00001F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312" name="Line 132">
          <a:extLst>
            <a:ext uri="{FF2B5EF4-FFF2-40B4-BE49-F238E27FC236}">
              <a16:creationId xmlns:a16="http://schemas.microsoft.com/office/drawing/2014/main" id="{00000000-0008-0000-0300-000020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313" name="Line 151">
          <a:extLst>
            <a:ext uri="{FF2B5EF4-FFF2-40B4-BE49-F238E27FC236}">
              <a16:creationId xmlns:a16="http://schemas.microsoft.com/office/drawing/2014/main" id="{00000000-0008-0000-0300-000021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314" name="Line 132">
          <a:extLst>
            <a:ext uri="{FF2B5EF4-FFF2-40B4-BE49-F238E27FC236}">
              <a16:creationId xmlns:a16="http://schemas.microsoft.com/office/drawing/2014/main" id="{00000000-0008-0000-0300-00002205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315" name="Line 151">
          <a:extLst>
            <a:ext uri="{FF2B5EF4-FFF2-40B4-BE49-F238E27FC236}">
              <a16:creationId xmlns:a16="http://schemas.microsoft.com/office/drawing/2014/main" id="{00000000-0008-0000-0300-00002305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316" name="Line 132">
          <a:extLst>
            <a:ext uri="{FF2B5EF4-FFF2-40B4-BE49-F238E27FC236}">
              <a16:creationId xmlns:a16="http://schemas.microsoft.com/office/drawing/2014/main" id="{00000000-0008-0000-0300-000024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317" name="Line 151">
          <a:extLst>
            <a:ext uri="{FF2B5EF4-FFF2-40B4-BE49-F238E27FC236}">
              <a16:creationId xmlns:a16="http://schemas.microsoft.com/office/drawing/2014/main" id="{00000000-0008-0000-0300-000025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318" name="Line 132">
          <a:extLst>
            <a:ext uri="{FF2B5EF4-FFF2-40B4-BE49-F238E27FC236}">
              <a16:creationId xmlns:a16="http://schemas.microsoft.com/office/drawing/2014/main" id="{00000000-0008-0000-0300-00002605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319" name="Line 151">
          <a:extLst>
            <a:ext uri="{FF2B5EF4-FFF2-40B4-BE49-F238E27FC236}">
              <a16:creationId xmlns:a16="http://schemas.microsoft.com/office/drawing/2014/main" id="{00000000-0008-0000-0300-00002705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320" name="Line 132">
          <a:extLst>
            <a:ext uri="{FF2B5EF4-FFF2-40B4-BE49-F238E27FC236}">
              <a16:creationId xmlns:a16="http://schemas.microsoft.com/office/drawing/2014/main" id="{00000000-0008-0000-0300-000028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321" name="Line 151">
          <a:extLst>
            <a:ext uri="{FF2B5EF4-FFF2-40B4-BE49-F238E27FC236}">
              <a16:creationId xmlns:a16="http://schemas.microsoft.com/office/drawing/2014/main" id="{00000000-0008-0000-0300-000029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322" name="Line 132">
          <a:extLst>
            <a:ext uri="{FF2B5EF4-FFF2-40B4-BE49-F238E27FC236}">
              <a16:creationId xmlns:a16="http://schemas.microsoft.com/office/drawing/2014/main" id="{00000000-0008-0000-0300-00002A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323" name="Line 151">
          <a:extLst>
            <a:ext uri="{FF2B5EF4-FFF2-40B4-BE49-F238E27FC236}">
              <a16:creationId xmlns:a16="http://schemas.microsoft.com/office/drawing/2014/main" id="{00000000-0008-0000-0300-00002B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324" name="Line 132">
          <a:extLst>
            <a:ext uri="{FF2B5EF4-FFF2-40B4-BE49-F238E27FC236}">
              <a16:creationId xmlns:a16="http://schemas.microsoft.com/office/drawing/2014/main" id="{00000000-0008-0000-0300-00002C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325" name="Line 151">
          <a:extLst>
            <a:ext uri="{FF2B5EF4-FFF2-40B4-BE49-F238E27FC236}">
              <a16:creationId xmlns:a16="http://schemas.microsoft.com/office/drawing/2014/main" id="{00000000-0008-0000-0300-00002D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326" name="Line 132">
          <a:extLst>
            <a:ext uri="{FF2B5EF4-FFF2-40B4-BE49-F238E27FC236}">
              <a16:creationId xmlns:a16="http://schemas.microsoft.com/office/drawing/2014/main" id="{00000000-0008-0000-0300-00002E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327" name="Line 151">
          <a:extLst>
            <a:ext uri="{FF2B5EF4-FFF2-40B4-BE49-F238E27FC236}">
              <a16:creationId xmlns:a16="http://schemas.microsoft.com/office/drawing/2014/main" id="{00000000-0008-0000-0300-00002F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328" name="Line 132">
          <a:extLst>
            <a:ext uri="{FF2B5EF4-FFF2-40B4-BE49-F238E27FC236}">
              <a16:creationId xmlns:a16="http://schemas.microsoft.com/office/drawing/2014/main" id="{00000000-0008-0000-0300-000030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329" name="Line 151">
          <a:extLst>
            <a:ext uri="{FF2B5EF4-FFF2-40B4-BE49-F238E27FC236}">
              <a16:creationId xmlns:a16="http://schemas.microsoft.com/office/drawing/2014/main" id="{00000000-0008-0000-0300-000031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330" name="Line 132">
          <a:extLst>
            <a:ext uri="{FF2B5EF4-FFF2-40B4-BE49-F238E27FC236}">
              <a16:creationId xmlns:a16="http://schemas.microsoft.com/office/drawing/2014/main" id="{00000000-0008-0000-0300-00003205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331" name="Line 151">
          <a:extLst>
            <a:ext uri="{FF2B5EF4-FFF2-40B4-BE49-F238E27FC236}">
              <a16:creationId xmlns:a16="http://schemas.microsoft.com/office/drawing/2014/main" id="{00000000-0008-0000-0300-00003305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332" name="Line 132">
          <a:extLst>
            <a:ext uri="{FF2B5EF4-FFF2-40B4-BE49-F238E27FC236}">
              <a16:creationId xmlns:a16="http://schemas.microsoft.com/office/drawing/2014/main" id="{00000000-0008-0000-0300-000034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333" name="Line 151">
          <a:extLst>
            <a:ext uri="{FF2B5EF4-FFF2-40B4-BE49-F238E27FC236}">
              <a16:creationId xmlns:a16="http://schemas.microsoft.com/office/drawing/2014/main" id="{00000000-0008-0000-0300-000035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334" name="Line 132">
          <a:extLst>
            <a:ext uri="{FF2B5EF4-FFF2-40B4-BE49-F238E27FC236}">
              <a16:creationId xmlns:a16="http://schemas.microsoft.com/office/drawing/2014/main" id="{00000000-0008-0000-0300-00003605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335" name="Line 151">
          <a:extLst>
            <a:ext uri="{FF2B5EF4-FFF2-40B4-BE49-F238E27FC236}">
              <a16:creationId xmlns:a16="http://schemas.microsoft.com/office/drawing/2014/main" id="{00000000-0008-0000-0300-00003705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336" name="Line 132">
          <a:extLst>
            <a:ext uri="{FF2B5EF4-FFF2-40B4-BE49-F238E27FC236}">
              <a16:creationId xmlns:a16="http://schemas.microsoft.com/office/drawing/2014/main" id="{00000000-0008-0000-0300-000038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337" name="Line 151">
          <a:extLst>
            <a:ext uri="{FF2B5EF4-FFF2-40B4-BE49-F238E27FC236}">
              <a16:creationId xmlns:a16="http://schemas.microsoft.com/office/drawing/2014/main" id="{00000000-0008-0000-0300-000039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338" name="Line 132">
          <a:extLst>
            <a:ext uri="{FF2B5EF4-FFF2-40B4-BE49-F238E27FC236}">
              <a16:creationId xmlns:a16="http://schemas.microsoft.com/office/drawing/2014/main" id="{00000000-0008-0000-0300-00003A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339" name="Line 151">
          <a:extLst>
            <a:ext uri="{FF2B5EF4-FFF2-40B4-BE49-F238E27FC236}">
              <a16:creationId xmlns:a16="http://schemas.microsoft.com/office/drawing/2014/main" id="{00000000-0008-0000-0300-00003B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340" name="Line 132">
          <a:extLst>
            <a:ext uri="{FF2B5EF4-FFF2-40B4-BE49-F238E27FC236}">
              <a16:creationId xmlns:a16="http://schemas.microsoft.com/office/drawing/2014/main" id="{00000000-0008-0000-0300-00003C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341" name="Line 151">
          <a:extLst>
            <a:ext uri="{FF2B5EF4-FFF2-40B4-BE49-F238E27FC236}">
              <a16:creationId xmlns:a16="http://schemas.microsoft.com/office/drawing/2014/main" id="{00000000-0008-0000-0300-00003D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342" name="Line 132">
          <a:extLst>
            <a:ext uri="{FF2B5EF4-FFF2-40B4-BE49-F238E27FC236}">
              <a16:creationId xmlns:a16="http://schemas.microsoft.com/office/drawing/2014/main" id="{00000000-0008-0000-0300-00003E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343" name="Line 151">
          <a:extLst>
            <a:ext uri="{FF2B5EF4-FFF2-40B4-BE49-F238E27FC236}">
              <a16:creationId xmlns:a16="http://schemas.microsoft.com/office/drawing/2014/main" id="{00000000-0008-0000-0300-00003F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344" name="Line 132">
          <a:extLst>
            <a:ext uri="{FF2B5EF4-FFF2-40B4-BE49-F238E27FC236}">
              <a16:creationId xmlns:a16="http://schemas.microsoft.com/office/drawing/2014/main" id="{00000000-0008-0000-0300-000040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345" name="Line 151">
          <a:extLst>
            <a:ext uri="{FF2B5EF4-FFF2-40B4-BE49-F238E27FC236}">
              <a16:creationId xmlns:a16="http://schemas.microsoft.com/office/drawing/2014/main" id="{00000000-0008-0000-0300-000041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346" name="Line 132">
          <a:extLst>
            <a:ext uri="{FF2B5EF4-FFF2-40B4-BE49-F238E27FC236}">
              <a16:creationId xmlns:a16="http://schemas.microsoft.com/office/drawing/2014/main" id="{00000000-0008-0000-0300-00004205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347" name="Line 151">
          <a:extLst>
            <a:ext uri="{FF2B5EF4-FFF2-40B4-BE49-F238E27FC236}">
              <a16:creationId xmlns:a16="http://schemas.microsoft.com/office/drawing/2014/main" id="{00000000-0008-0000-0300-00004305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348" name="Line 132">
          <a:extLst>
            <a:ext uri="{FF2B5EF4-FFF2-40B4-BE49-F238E27FC236}">
              <a16:creationId xmlns:a16="http://schemas.microsoft.com/office/drawing/2014/main" id="{00000000-0008-0000-0300-000044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349" name="Line 151">
          <a:extLst>
            <a:ext uri="{FF2B5EF4-FFF2-40B4-BE49-F238E27FC236}">
              <a16:creationId xmlns:a16="http://schemas.microsoft.com/office/drawing/2014/main" id="{00000000-0008-0000-0300-000045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350" name="Line 132">
          <a:extLst>
            <a:ext uri="{FF2B5EF4-FFF2-40B4-BE49-F238E27FC236}">
              <a16:creationId xmlns:a16="http://schemas.microsoft.com/office/drawing/2014/main" id="{00000000-0008-0000-0300-00004605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54</xdr:row>
      <xdr:rowOff>95250</xdr:rowOff>
    </xdr:from>
    <xdr:to>
      <xdr:col>3</xdr:col>
      <xdr:colOff>190500</xdr:colOff>
      <xdr:row>54</xdr:row>
      <xdr:rowOff>95250</xdr:rowOff>
    </xdr:to>
    <xdr:sp macro="" textlink="">
      <xdr:nvSpPr>
        <xdr:cNvPr id="1351" name="Line 151">
          <a:extLst>
            <a:ext uri="{FF2B5EF4-FFF2-40B4-BE49-F238E27FC236}">
              <a16:creationId xmlns:a16="http://schemas.microsoft.com/office/drawing/2014/main" id="{00000000-0008-0000-0300-000047050000}"/>
            </a:ext>
          </a:extLst>
        </xdr:cNvPr>
        <xdr:cNvSpPr>
          <a:spLocks noChangeShapeType="1"/>
        </xdr:cNvSpPr>
      </xdr:nvSpPr>
      <xdr:spPr bwMode="auto">
        <a:xfrm>
          <a:off x="1238250" y="9906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352" name="Line 132">
          <a:extLst>
            <a:ext uri="{FF2B5EF4-FFF2-40B4-BE49-F238E27FC236}">
              <a16:creationId xmlns:a16="http://schemas.microsoft.com/office/drawing/2014/main" id="{00000000-0008-0000-0300-000048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353" name="Line 151">
          <a:extLst>
            <a:ext uri="{FF2B5EF4-FFF2-40B4-BE49-F238E27FC236}">
              <a16:creationId xmlns:a16="http://schemas.microsoft.com/office/drawing/2014/main" id="{00000000-0008-0000-0300-000049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354" name="Line 132">
          <a:extLst>
            <a:ext uri="{FF2B5EF4-FFF2-40B4-BE49-F238E27FC236}">
              <a16:creationId xmlns:a16="http://schemas.microsoft.com/office/drawing/2014/main" id="{00000000-0008-0000-0300-00004A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355" name="Line 151">
          <a:extLst>
            <a:ext uri="{FF2B5EF4-FFF2-40B4-BE49-F238E27FC236}">
              <a16:creationId xmlns:a16="http://schemas.microsoft.com/office/drawing/2014/main" id="{00000000-0008-0000-0300-00004B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356" name="Line 132">
          <a:extLst>
            <a:ext uri="{FF2B5EF4-FFF2-40B4-BE49-F238E27FC236}">
              <a16:creationId xmlns:a16="http://schemas.microsoft.com/office/drawing/2014/main" id="{00000000-0008-0000-0300-00004C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357" name="Line 151">
          <a:extLst>
            <a:ext uri="{FF2B5EF4-FFF2-40B4-BE49-F238E27FC236}">
              <a16:creationId xmlns:a16="http://schemas.microsoft.com/office/drawing/2014/main" id="{00000000-0008-0000-0300-00004D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358" name="Line 132">
          <a:extLst>
            <a:ext uri="{FF2B5EF4-FFF2-40B4-BE49-F238E27FC236}">
              <a16:creationId xmlns:a16="http://schemas.microsoft.com/office/drawing/2014/main" id="{00000000-0008-0000-0300-00004E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359" name="Line 151">
          <a:extLst>
            <a:ext uri="{FF2B5EF4-FFF2-40B4-BE49-F238E27FC236}">
              <a16:creationId xmlns:a16="http://schemas.microsoft.com/office/drawing/2014/main" id="{00000000-0008-0000-0300-00004F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360" name="Line 132">
          <a:extLst>
            <a:ext uri="{FF2B5EF4-FFF2-40B4-BE49-F238E27FC236}">
              <a16:creationId xmlns:a16="http://schemas.microsoft.com/office/drawing/2014/main" id="{00000000-0008-0000-0300-000050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55</xdr:row>
      <xdr:rowOff>95250</xdr:rowOff>
    </xdr:from>
    <xdr:to>
      <xdr:col>3</xdr:col>
      <xdr:colOff>190500</xdr:colOff>
      <xdr:row>55</xdr:row>
      <xdr:rowOff>95250</xdr:rowOff>
    </xdr:to>
    <xdr:sp macro="" textlink="">
      <xdr:nvSpPr>
        <xdr:cNvPr id="1361" name="Line 151">
          <a:extLst>
            <a:ext uri="{FF2B5EF4-FFF2-40B4-BE49-F238E27FC236}">
              <a16:creationId xmlns:a16="http://schemas.microsoft.com/office/drawing/2014/main" id="{00000000-0008-0000-0300-000051050000}"/>
            </a:ext>
          </a:extLst>
        </xdr:cNvPr>
        <xdr:cNvSpPr>
          <a:spLocks noChangeShapeType="1"/>
        </xdr:cNvSpPr>
      </xdr:nvSpPr>
      <xdr:spPr bwMode="auto">
        <a:xfrm>
          <a:off x="1238250" y="101060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362" name="Line 132">
          <a:extLst>
            <a:ext uri="{FF2B5EF4-FFF2-40B4-BE49-F238E27FC236}">
              <a16:creationId xmlns:a16="http://schemas.microsoft.com/office/drawing/2014/main" id="{00000000-0008-0000-0300-00005205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363" name="Line 151">
          <a:extLst>
            <a:ext uri="{FF2B5EF4-FFF2-40B4-BE49-F238E27FC236}">
              <a16:creationId xmlns:a16="http://schemas.microsoft.com/office/drawing/2014/main" id="{00000000-0008-0000-0300-00005305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364" name="Line 132">
          <a:extLst>
            <a:ext uri="{FF2B5EF4-FFF2-40B4-BE49-F238E27FC236}">
              <a16:creationId xmlns:a16="http://schemas.microsoft.com/office/drawing/2014/main" id="{00000000-0008-0000-0300-000054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365" name="Line 151">
          <a:extLst>
            <a:ext uri="{FF2B5EF4-FFF2-40B4-BE49-F238E27FC236}">
              <a16:creationId xmlns:a16="http://schemas.microsoft.com/office/drawing/2014/main" id="{00000000-0008-0000-0300-000055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366" name="Line 132">
          <a:extLst>
            <a:ext uri="{FF2B5EF4-FFF2-40B4-BE49-F238E27FC236}">
              <a16:creationId xmlns:a16="http://schemas.microsoft.com/office/drawing/2014/main" id="{00000000-0008-0000-0300-00005605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56</xdr:row>
      <xdr:rowOff>95250</xdr:rowOff>
    </xdr:from>
    <xdr:to>
      <xdr:col>3</xdr:col>
      <xdr:colOff>190500</xdr:colOff>
      <xdr:row>56</xdr:row>
      <xdr:rowOff>95250</xdr:rowOff>
    </xdr:to>
    <xdr:sp macro="" textlink="">
      <xdr:nvSpPr>
        <xdr:cNvPr id="1367" name="Line 151">
          <a:extLst>
            <a:ext uri="{FF2B5EF4-FFF2-40B4-BE49-F238E27FC236}">
              <a16:creationId xmlns:a16="http://schemas.microsoft.com/office/drawing/2014/main" id="{00000000-0008-0000-0300-000057050000}"/>
            </a:ext>
          </a:extLst>
        </xdr:cNvPr>
        <xdr:cNvSpPr>
          <a:spLocks noChangeShapeType="1"/>
        </xdr:cNvSpPr>
      </xdr:nvSpPr>
      <xdr:spPr bwMode="auto">
        <a:xfrm>
          <a:off x="1238250" y="103060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368" name="Line 132">
          <a:extLst>
            <a:ext uri="{FF2B5EF4-FFF2-40B4-BE49-F238E27FC236}">
              <a16:creationId xmlns:a16="http://schemas.microsoft.com/office/drawing/2014/main" id="{00000000-0008-0000-0300-000058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369" name="Line 151">
          <a:extLst>
            <a:ext uri="{FF2B5EF4-FFF2-40B4-BE49-F238E27FC236}">
              <a16:creationId xmlns:a16="http://schemas.microsoft.com/office/drawing/2014/main" id="{00000000-0008-0000-0300-000059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370" name="Line 132">
          <a:extLst>
            <a:ext uri="{FF2B5EF4-FFF2-40B4-BE49-F238E27FC236}">
              <a16:creationId xmlns:a16="http://schemas.microsoft.com/office/drawing/2014/main" id="{00000000-0008-0000-0300-00005A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371" name="Line 151">
          <a:extLst>
            <a:ext uri="{FF2B5EF4-FFF2-40B4-BE49-F238E27FC236}">
              <a16:creationId xmlns:a16="http://schemas.microsoft.com/office/drawing/2014/main" id="{00000000-0008-0000-0300-00005B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372" name="Line 132">
          <a:extLst>
            <a:ext uri="{FF2B5EF4-FFF2-40B4-BE49-F238E27FC236}">
              <a16:creationId xmlns:a16="http://schemas.microsoft.com/office/drawing/2014/main" id="{00000000-0008-0000-0300-00005C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373" name="Line 151">
          <a:extLst>
            <a:ext uri="{FF2B5EF4-FFF2-40B4-BE49-F238E27FC236}">
              <a16:creationId xmlns:a16="http://schemas.microsoft.com/office/drawing/2014/main" id="{00000000-0008-0000-0300-00005D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374" name="Line 132">
          <a:extLst>
            <a:ext uri="{FF2B5EF4-FFF2-40B4-BE49-F238E27FC236}">
              <a16:creationId xmlns:a16="http://schemas.microsoft.com/office/drawing/2014/main" id="{00000000-0008-0000-0300-00005E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375" name="Line 151">
          <a:extLst>
            <a:ext uri="{FF2B5EF4-FFF2-40B4-BE49-F238E27FC236}">
              <a16:creationId xmlns:a16="http://schemas.microsoft.com/office/drawing/2014/main" id="{00000000-0008-0000-0300-00005F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376" name="Line 132">
          <a:extLst>
            <a:ext uri="{FF2B5EF4-FFF2-40B4-BE49-F238E27FC236}">
              <a16:creationId xmlns:a16="http://schemas.microsoft.com/office/drawing/2014/main" id="{00000000-0008-0000-0300-000060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190500</xdr:colOff>
      <xdr:row>57</xdr:row>
      <xdr:rowOff>104775</xdr:rowOff>
    </xdr:from>
    <xdr:to>
      <xdr:col>3</xdr:col>
      <xdr:colOff>190500</xdr:colOff>
      <xdr:row>57</xdr:row>
      <xdr:rowOff>104775</xdr:rowOff>
    </xdr:to>
    <xdr:sp macro="" textlink="">
      <xdr:nvSpPr>
        <xdr:cNvPr id="1377" name="Line 151">
          <a:extLst>
            <a:ext uri="{FF2B5EF4-FFF2-40B4-BE49-F238E27FC236}">
              <a16:creationId xmlns:a16="http://schemas.microsoft.com/office/drawing/2014/main" id="{00000000-0008-0000-0300-000061050000}"/>
            </a:ext>
          </a:extLst>
        </xdr:cNvPr>
        <xdr:cNvSpPr>
          <a:spLocks noChangeShapeType="1"/>
        </xdr:cNvSpPr>
      </xdr:nvSpPr>
      <xdr:spPr bwMode="auto">
        <a:xfrm>
          <a:off x="1238250"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14</xdr:row>
      <xdr:rowOff>9525</xdr:rowOff>
    </xdr:from>
    <xdr:to>
      <xdr:col>12</xdr:col>
      <xdr:colOff>19050</xdr:colOff>
      <xdr:row>14</xdr:row>
      <xdr:rowOff>19050</xdr:rowOff>
    </xdr:to>
    <xdr:sp macro="" textlink="">
      <xdr:nvSpPr>
        <xdr:cNvPr id="1665" name="Line 130">
          <a:extLst>
            <a:ext uri="{FF2B5EF4-FFF2-40B4-BE49-F238E27FC236}">
              <a16:creationId xmlns:a16="http://schemas.microsoft.com/office/drawing/2014/main" id="{00000000-0008-0000-0300-000081060000}"/>
            </a:ext>
          </a:extLst>
        </xdr:cNvPr>
        <xdr:cNvSpPr>
          <a:spLocks noChangeShapeType="1"/>
        </xdr:cNvSpPr>
      </xdr:nvSpPr>
      <xdr:spPr bwMode="auto">
        <a:xfrm>
          <a:off x="3295650" y="178117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66" name="Line 150">
          <a:extLst>
            <a:ext uri="{FF2B5EF4-FFF2-40B4-BE49-F238E27FC236}">
              <a16:creationId xmlns:a16="http://schemas.microsoft.com/office/drawing/2014/main" id="{00000000-0008-0000-0300-000082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67" name="Line 130">
          <a:extLst>
            <a:ext uri="{FF2B5EF4-FFF2-40B4-BE49-F238E27FC236}">
              <a16:creationId xmlns:a16="http://schemas.microsoft.com/office/drawing/2014/main" id="{00000000-0008-0000-0300-000083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68" name="Line 130">
          <a:extLst>
            <a:ext uri="{FF2B5EF4-FFF2-40B4-BE49-F238E27FC236}">
              <a16:creationId xmlns:a16="http://schemas.microsoft.com/office/drawing/2014/main" id="{00000000-0008-0000-0300-000084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69" name="Line 130">
          <a:extLst>
            <a:ext uri="{FF2B5EF4-FFF2-40B4-BE49-F238E27FC236}">
              <a16:creationId xmlns:a16="http://schemas.microsoft.com/office/drawing/2014/main" id="{00000000-0008-0000-0300-000085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70" name="Line 130">
          <a:extLst>
            <a:ext uri="{FF2B5EF4-FFF2-40B4-BE49-F238E27FC236}">
              <a16:creationId xmlns:a16="http://schemas.microsoft.com/office/drawing/2014/main" id="{00000000-0008-0000-0300-000086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71" name="Line 130">
          <a:extLst>
            <a:ext uri="{FF2B5EF4-FFF2-40B4-BE49-F238E27FC236}">
              <a16:creationId xmlns:a16="http://schemas.microsoft.com/office/drawing/2014/main" id="{00000000-0008-0000-0300-000087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72" name="Line 1008">
          <a:extLst>
            <a:ext uri="{FF2B5EF4-FFF2-40B4-BE49-F238E27FC236}">
              <a16:creationId xmlns:a16="http://schemas.microsoft.com/office/drawing/2014/main" id="{00000000-0008-0000-0300-000088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73" name="Line 150">
          <a:extLst>
            <a:ext uri="{FF2B5EF4-FFF2-40B4-BE49-F238E27FC236}">
              <a16:creationId xmlns:a16="http://schemas.microsoft.com/office/drawing/2014/main" id="{00000000-0008-0000-0300-000089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74" name="Line 130">
          <a:extLst>
            <a:ext uri="{FF2B5EF4-FFF2-40B4-BE49-F238E27FC236}">
              <a16:creationId xmlns:a16="http://schemas.microsoft.com/office/drawing/2014/main" id="{00000000-0008-0000-0300-00008A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75" name="Line 130">
          <a:extLst>
            <a:ext uri="{FF2B5EF4-FFF2-40B4-BE49-F238E27FC236}">
              <a16:creationId xmlns:a16="http://schemas.microsoft.com/office/drawing/2014/main" id="{00000000-0008-0000-0300-00008B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76" name="Line 130">
          <a:extLst>
            <a:ext uri="{FF2B5EF4-FFF2-40B4-BE49-F238E27FC236}">
              <a16:creationId xmlns:a16="http://schemas.microsoft.com/office/drawing/2014/main" id="{00000000-0008-0000-0300-00008C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14</xdr:row>
      <xdr:rowOff>9525</xdr:rowOff>
    </xdr:from>
    <xdr:to>
      <xdr:col>12</xdr:col>
      <xdr:colOff>19050</xdr:colOff>
      <xdr:row>14</xdr:row>
      <xdr:rowOff>19050</xdr:rowOff>
    </xdr:to>
    <xdr:sp macro="" textlink="">
      <xdr:nvSpPr>
        <xdr:cNvPr id="1677" name="Line 130">
          <a:extLst>
            <a:ext uri="{FF2B5EF4-FFF2-40B4-BE49-F238E27FC236}">
              <a16:creationId xmlns:a16="http://schemas.microsoft.com/office/drawing/2014/main" id="{00000000-0008-0000-0300-00008D060000}"/>
            </a:ext>
          </a:extLst>
        </xdr:cNvPr>
        <xdr:cNvSpPr>
          <a:spLocks noChangeShapeType="1"/>
        </xdr:cNvSpPr>
      </xdr:nvSpPr>
      <xdr:spPr bwMode="auto">
        <a:xfrm>
          <a:off x="3295650" y="178117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78" name="Line 150">
          <a:extLst>
            <a:ext uri="{FF2B5EF4-FFF2-40B4-BE49-F238E27FC236}">
              <a16:creationId xmlns:a16="http://schemas.microsoft.com/office/drawing/2014/main" id="{00000000-0008-0000-0300-00008E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79" name="Line 130">
          <a:extLst>
            <a:ext uri="{FF2B5EF4-FFF2-40B4-BE49-F238E27FC236}">
              <a16:creationId xmlns:a16="http://schemas.microsoft.com/office/drawing/2014/main" id="{00000000-0008-0000-0300-00008F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80" name="Line 130">
          <a:extLst>
            <a:ext uri="{FF2B5EF4-FFF2-40B4-BE49-F238E27FC236}">
              <a16:creationId xmlns:a16="http://schemas.microsoft.com/office/drawing/2014/main" id="{00000000-0008-0000-0300-000090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81" name="Line 130">
          <a:extLst>
            <a:ext uri="{FF2B5EF4-FFF2-40B4-BE49-F238E27FC236}">
              <a16:creationId xmlns:a16="http://schemas.microsoft.com/office/drawing/2014/main" id="{00000000-0008-0000-0300-000091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82" name="Line 130">
          <a:extLst>
            <a:ext uri="{FF2B5EF4-FFF2-40B4-BE49-F238E27FC236}">
              <a16:creationId xmlns:a16="http://schemas.microsoft.com/office/drawing/2014/main" id="{00000000-0008-0000-0300-000092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83" name="Line 130">
          <a:extLst>
            <a:ext uri="{FF2B5EF4-FFF2-40B4-BE49-F238E27FC236}">
              <a16:creationId xmlns:a16="http://schemas.microsoft.com/office/drawing/2014/main" id="{00000000-0008-0000-0300-000093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84" name="Line 1008">
          <a:extLst>
            <a:ext uri="{FF2B5EF4-FFF2-40B4-BE49-F238E27FC236}">
              <a16:creationId xmlns:a16="http://schemas.microsoft.com/office/drawing/2014/main" id="{00000000-0008-0000-0300-000094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85" name="Line 150">
          <a:extLst>
            <a:ext uri="{FF2B5EF4-FFF2-40B4-BE49-F238E27FC236}">
              <a16:creationId xmlns:a16="http://schemas.microsoft.com/office/drawing/2014/main" id="{00000000-0008-0000-0300-000095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86" name="Line 130">
          <a:extLst>
            <a:ext uri="{FF2B5EF4-FFF2-40B4-BE49-F238E27FC236}">
              <a16:creationId xmlns:a16="http://schemas.microsoft.com/office/drawing/2014/main" id="{00000000-0008-0000-0300-000096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87" name="Line 130">
          <a:extLst>
            <a:ext uri="{FF2B5EF4-FFF2-40B4-BE49-F238E27FC236}">
              <a16:creationId xmlns:a16="http://schemas.microsoft.com/office/drawing/2014/main" id="{00000000-0008-0000-0300-000097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88" name="Line 130">
          <a:extLst>
            <a:ext uri="{FF2B5EF4-FFF2-40B4-BE49-F238E27FC236}">
              <a16:creationId xmlns:a16="http://schemas.microsoft.com/office/drawing/2014/main" id="{00000000-0008-0000-0300-000098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89" name="Line 130">
          <a:extLst>
            <a:ext uri="{FF2B5EF4-FFF2-40B4-BE49-F238E27FC236}">
              <a16:creationId xmlns:a16="http://schemas.microsoft.com/office/drawing/2014/main" id="{00000000-0008-0000-0300-000099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90" name="Line 130">
          <a:extLst>
            <a:ext uri="{FF2B5EF4-FFF2-40B4-BE49-F238E27FC236}">
              <a16:creationId xmlns:a16="http://schemas.microsoft.com/office/drawing/2014/main" id="{00000000-0008-0000-0300-00009A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91" name="Line 130">
          <a:extLst>
            <a:ext uri="{FF2B5EF4-FFF2-40B4-BE49-F238E27FC236}">
              <a16:creationId xmlns:a16="http://schemas.microsoft.com/office/drawing/2014/main" id="{00000000-0008-0000-0300-00009B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92" name="Line 130">
          <a:extLst>
            <a:ext uri="{FF2B5EF4-FFF2-40B4-BE49-F238E27FC236}">
              <a16:creationId xmlns:a16="http://schemas.microsoft.com/office/drawing/2014/main" id="{00000000-0008-0000-0300-00009C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93" name="Line 1008">
          <a:extLst>
            <a:ext uri="{FF2B5EF4-FFF2-40B4-BE49-F238E27FC236}">
              <a16:creationId xmlns:a16="http://schemas.microsoft.com/office/drawing/2014/main" id="{00000000-0008-0000-0300-00009D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94" name="Line 150">
          <a:extLst>
            <a:ext uri="{FF2B5EF4-FFF2-40B4-BE49-F238E27FC236}">
              <a16:creationId xmlns:a16="http://schemas.microsoft.com/office/drawing/2014/main" id="{00000000-0008-0000-0300-00009E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95" name="Line 130">
          <a:extLst>
            <a:ext uri="{FF2B5EF4-FFF2-40B4-BE49-F238E27FC236}">
              <a16:creationId xmlns:a16="http://schemas.microsoft.com/office/drawing/2014/main" id="{00000000-0008-0000-0300-00009F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96" name="Line 130">
          <a:extLst>
            <a:ext uri="{FF2B5EF4-FFF2-40B4-BE49-F238E27FC236}">
              <a16:creationId xmlns:a16="http://schemas.microsoft.com/office/drawing/2014/main" id="{00000000-0008-0000-0300-0000A0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697" name="Line 130">
          <a:extLst>
            <a:ext uri="{FF2B5EF4-FFF2-40B4-BE49-F238E27FC236}">
              <a16:creationId xmlns:a16="http://schemas.microsoft.com/office/drawing/2014/main" id="{00000000-0008-0000-0300-0000A1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17</xdr:row>
      <xdr:rowOff>9525</xdr:rowOff>
    </xdr:from>
    <xdr:to>
      <xdr:col>12</xdr:col>
      <xdr:colOff>19050</xdr:colOff>
      <xdr:row>17</xdr:row>
      <xdr:rowOff>19050</xdr:rowOff>
    </xdr:to>
    <xdr:sp macro="" textlink="">
      <xdr:nvSpPr>
        <xdr:cNvPr id="1698" name="Line 130">
          <a:extLst>
            <a:ext uri="{FF2B5EF4-FFF2-40B4-BE49-F238E27FC236}">
              <a16:creationId xmlns:a16="http://schemas.microsoft.com/office/drawing/2014/main" id="{00000000-0008-0000-0300-0000A2060000}"/>
            </a:ext>
          </a:extLst>
        </xdr:cNvPr>
        <xdr:cNvSpPr>
          <a:spLocks noChangeShapeType="1"/>
        </xdr:cNvSpPr>
      </xdr:nvSpPr>
      <xdr:spPr bwMode="auto">
        <a:xfrm>
          <a:off x="3295650" y="239077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17</xdr:row>
      <xdr:rowOff>9525</xdr:rowOff>
    </xdr:from>
    <xdr:to>
      <xdr:col>12</xdr:col>
      <xdr:colOff>19050</xdr:colOff>
      <xdr:row>17</xdr:row>
      <xdr:rowOff>19050</xdr:rowOff>
    </xdr:to>
    <xdr:sp macro="" textlink="">
      <xdr:nvSpPr>
        <xdr:cNvPr id="1699" name="Line 130">
          <a:extLst>
            <a:ext uri="{FF2B5EF4-FFF2-40B4-BE49-F238E27FC236}">
              <a16:creationId xmlns:a16="http://schemas.microsoft.com/office/drawing/2014/main" id="{00000000-0008-0000-0300-0000A3060000}"/>
            </a:ext>
          </a:extLst>
        </xdr:cNvPr>
        <xdr:cNvSpPr>
          <a:spLocks noChangeShapeType="1"/>
        </xdr:cNvSpPr>
      </xdr:nvSpPr>
      <xdr:spPr bwMode="auto">
        <a:xfrm>
          <a:off x="3295650" y="239077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17</xdr:row>
      <xdr:rowOff>9525</xdr:rowOff>
    </xdr:from>
    <xdr:to>
      <xdr:col>12</xdr:col>
      <xdr:colOff>19050</xdr:colOff>
      <xdr:row>17</xdr:row>
      <xdr:rowOff>19050</xdr:rowOff>
    </xdr:to>
    <xdr:sp macro="" textlink="">
      <xdr:nvSpPr>
        <xdr:cNvPr id="1700" name="Line 130">
          <a:extLst>
            <a:ext uri="{FF2B5EF4-FFF2-40B4-BE49-F238E27FC236}">
              <a16:creationId xmlns:a16="http://schemas.microsoft.com/office/drawing/2014/main" id="{00000000-0008-0000-0300-0000A4060000}"/>
            </a:ext>
          </a:extLst>
        </xdr:cNvPr>
        <xdr:cNvSpPr>
          <a:spLocks noChangeShapeType="1"/>
        </xdr:cNvSpPr>
      </xdr:nvSpPr>
      <xdr:spPr bwMode="auto">
        <a:xfrm>
          <a:off x="3295650" y="239077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17</xdr:row>
      <xdr:rowOff>9525</xdr:rowOff>
    </xdr:from>
    <xdr:to>
      <xdr:col>12</xdr:col>
      <xdr:colOff>19050</xdr:colOff>
      <xdr:row>17</xdr:row>
      <xdr:rowOff>19050</xdr:rowOff>
    </xdr:to>
    <xdr:sp macro="" textlink="">
      <xdr:nvSpPr>
        <xdr:cNvPr id="1701" name="Line 130">
          <a:extLst>
            <a:ext uri="{FF2B5EF4-FFF2-40B4-BE49-F238E27FC236}">
              <a16:creationId xmlns:a16="http://schemas.microsoft.com/office/drawing/2014/main" id="{00000000-0008-0000-0300-0000A5060000}"/>
            </a:ext>
          </a:extLst>
        </xdr:cNvPr>
        <xdr:cNvSpPr>
          <a:spLocks noChangeShapeType="1"/>
        </xdr:cNvSpPr>
      </xdr:nvSpPr>
      <xdr:spPr bwMode="auto">
        <a:xfrm>
          <a:off x="3295650" y="239077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17</xdr:row>
      <xdr:rowOff>9525</xdr:rowOff>
    </xdr:from>
    <xdr:to>
      <xdr:col>12</xdr:col>
      <xdr:colOff>19050</xdr:colOff>
      <xdr:row>17</xdr:row>
      <xdr:rowOff>19050</xdr:rowOff>
    </xdr:to>
    <xdr:sp macro="" textlink="">
      <xdr:nvSpPr>
        <xdr:cNvPr id="1702" name="Line 1008">
          <a:extLst>
            <a:ext uri="{FF2B5EF4-FFF2-40B4-BE49-F238E27FC236}">
              <a16:creationId xmlns:a16="http://schemas.microsoft.com/office/drawing/2014/main" id="{00000000-0008-0000-0300-0000A6060000}"/>
            </a:ext>
          </a:extLst>
        </xdr:cNvPr>
        <xdr:cNvSpPr>
          <a:spLocks noChangeShapeType="1"/>
        </xdr:cNvSpPr>
      </xdr:nvSpPr>
      <xdr:spPr bwMode="auto">
        <a:xfrm>
          <a:off x="3295650" y="239077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17</xdr:row>
      <xdr:rowOff>9525</xdr:rowOff>
    </xdr:from>
    <xdr:to>
      <xdr:col>12</xdr:col>
      <xdr:colOff>19050</xdr:colOff>
      <xdr:row>17</xdr:row>
      <xdr:rowOff>19050</xdr:rowOff>
    </xdr:to>
    <xdr:sp macro="" textlink="">
      <xdr:nvSpPr>
        <xdr:cNvPr id="1703" name="Line 150">
          <a:extLst>
            <a:ext uri="{FF2B5EF4-FFF2-40B4-BE49-F238E27FC236}">
              <a16:creationId xmlns:a16="http://schemas.microsoft.com/office/drawing/2014/main" id="{00000000-0008-0000-0300-0000A7060000}"/>
            </a:ext>
          </a:extLst>
        </xdr:cNvPr>
        <xdr:cNvSpPr>
          <a:spLocks noChangeShapeType="1"/>
        </xdr:cNvSpPr>
      </xdr:nvSpPr>
      <xdr:spPr bwMode="auto">
        <a:xfrm>
          <a:off x="3295650" y="239077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17</xdr:row>
      <xdr:rowOff>9525</xdr:rowOff>
    </xdr:from>
    <xdr:to>
      <xdr:col>12</xdr:col>
      <xdr:colOff>19050</xdr:colOff>
      <xdr:row>17</xdr:row>
      <xdr:rowOff>19050</xdr:rowOff>
    </xdr:to>
    <xdr:sp macro="" textlink="">
      <xdr:nvSpPr>
        <xdr:cNvPr id="1704" name="Line 130">
          <a:extLst>
            <a:ext uri="{FF2B5EF4-FFF2-40B4-BE49-F238E27FC236}">
              <a16:creationId xmlns:a16="http://schemas.microsoft.com/office/drawing/2014/main" id="{00000000-0008-0000-0300-0000A8060000}"/>
            </a:ext>
          </a:extLst>
        </xdr:cNvPr>
        <xdr:cNvSpPr>
          <a:spLocks noChangeShapeType="1"/>
        </xdr:cNvSpPr>
      </xdr:nvSpPr>
      <xdr:spPr bwMode="auto">
        <a:xfrm>
          <a:off x="3295650" y="239077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17</xdr:row>
      <xdr:rowOff>9525</xdr:rowOff>
    </xdr:from>
    <xdr:to>
      <xdr:col>12</xdr:col>
      <xdr:colOff>19050</xdr:colOff>
      <xdr:row>17</xdr:row>
      <xdr:rowOff>19050</xdr:rowOff>
    </xdr:to>
    <xdr:sp macro="" textlink="">
      <xdr:nvSpPr>
        <xdr:cNvPr id="1705" name="Line 130">
          <a:extLst>
            <a:ext uri="{FF2B5EF4-FFF2-40B4-BE49-F238E27FC236}">
              <a16:creationId xmlns:a16="http://schemas.microsoft.com/office/drawing/2014/main" id="{00000000-0008-0000-0300-0000A9060000}"/>
            </a:ext>
          </a:extLst>
        </xdr:cNvPr>
        <xdr:cNvSpPr>
          <a:spLocks noChangeShapeType="1"/>
        </xdr:cNvSpPr>
      </xdr:nvSpPr>
      <xdr:spPr bwMode="auto">
        <a:xfrm>
          <a:off x="3295650" y="239077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17</xdr:row>
      <xdr:rowOff>9525</xdr:rowOff>
    </xdr:from>
    <xdr:to>
      <xdr:col>12</xdr:col>
      <xdr:colOff>19050</xdr:colOff>
      <xdr:row>17</xdr:row>
      <xdr:rowOff>19050</xdr:rowOff>
    </xdr:to>
    <xdr:sp macro="" textlink="">
      <xdr:nvSpPr>
        <xdr:cNvPr id="1706" name="Line 130">
          <a:extLst>
            <a:ext uri="{FF2B5EF4-FFF2-40B4-BE49-F238E27FC236}">
              <a16:creationId xmlns:a16="http://schemas.microsoft.com/office/drawing/2014/main" id="{00000000-0008-0000-0300-0000AA060000}"/>
            </a:ext>
          </a:extLst>
        </xdr:cNvPr>
        <xdr:cNvSpPr>
          <a:spLocks noChangeShapeType="1"/>
        </xdr:cNvSpPr>
      </xdr:nvSpPr>
      <xdr:spPr bwMode="auto">
        <a:xfrm>
          <a:off x="3295650" y="239077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707" name="Line 130">
          <a:extLst>
            <a:ext uri="{FF2B5EF4-FFF2-40B4-BE49-F238E27FC236}">
              <a16:creationId xmlns:a16="http://schemas.microsoft.com/office/drawing/2014/main" id="{00000000-0008-0000-0300-0000AB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708" name="Line 130">
          <a:extLst>
            <a:ext uri="{FF2B5EF4-FFF2-40B4-BE49-F238E27FC236}">
              <a16:creationId xmlns:a16="http://schemas.microsoft.com/office/drawing/2014/main" id="{00000000-0008-0000-0300-0000AC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709" name="Line 130">
          <a:extLst>
            <a:ext uri="{FF2B5EF4-FFF2-40B4-BE49-F238E27FC236}">
              <a16:creationId xmlns:a16="http://schemas.microsoft.com/office/drawing/2014/main" id="{00000000-0008-0000-0300-0000AD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710" name="Line 130">
          <a:extLst>
            <a:ext uri="{FF2B5EF4-FFF2-40B4-BE49-F238E27FC236}">
              <a16:creationId xmlns:a16="http://schemas.microsoft.com/office/drawing/2014/main" id="{00000000-0008-0000-0300-0000AE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711" name="Line 1008">
          <a:extLst>
            <a:ext uri="{FF2B5EF4-FFF2-40B4-BE49-F238E27FC236}">
              <a16:creationId xmlns:a16="http://schemas.microsoft.com/office/drawing/2014/main" id="{00000000-0008-0000-0300-0000AF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712" name="Line 150">
          <a:extLst>
            <a:ext uri="{FF2B5EF4-FFF2-40B4-BE49-F238E27FC236}">
              <a16:creationId xmlns:a16="http://schemas.microsoft.com/office/drawing/2014/main" id="{00000000-0008-0000-0300-0000B0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713" name="Line 130">
          <a:extLst>
            <a:ext uri="{FF2B5EF4-FFF2-40B4-BE49-F238E27FC236}">
              <a16:creationId xmlns:a16="http://schemas.microsoft.com/office/drawing/2014/main" id="{00000000-0008-0000-0300-0000B1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714" name="Line 130">
          <a:extLst>
            <a:ext uri="{FF2B5EF4-FFF2-40B4-BE49-F238E27FC236}">
              <a16:creationId xmlns:a16="http://schemas.microsoft.com/office/drawing/2014/main" id="{00000000-0008-0000-0300-0000B2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715" name="Line 130">
          <a:extLst>
            <a:ext uri="{FF2B5EF4-FFF2-40B4-BE49-F238E27FC236}">
              <a16:creationId xmlns:a16="http://schemas.microsoft.com/office/drawing/2014/main" id="{00000000-0008-0000-0300-0000B3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17</xdr:row>
      <xdr:rowOff>9525</xdr:rowOff>
    </xdr:from>
    <xdr:to>
      <xdr:col>12</xdr:col>
      <xdr:colOff>19050</xdr:colOff>
      <xdr:row>17</xdr:row>
      <xdr:rowOff>19050</xdr:rowOff>
    </xdr:to>
    <xdr:sp macro="" textlink="">
      <xdr:nvSpPr>
        <xdr:cNvPr id="1716" name="Line 130">
          <a:extLst>
            <a:ext uri="{FF2B5EF4-FFF2-40B4-BE49-F238E27FC236}">
              <a16:creationId xmlns:a16="http://schemas.microsoft.com/office/drawing/2014/main" id="{00000000-0008-0000-0300-0000B4060000}"/>
            </a:ext>
          </a:extLst>
        </xdr:cNvPr>
        <xdr:cNvSpPr>
          <a:spLocks noChangeShapeType="1"/>
        </xdr:cNvSpPr>
      </xdr:nvSpPr>
      <xdr:spPr bwMode="auto">
        <a:xfrm>
          <a:off x="3295650" y="239077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17</xdr:row>
      <xdr:rowOff>9525</xdr:rowOff>
    </xdr:from>
    <xdr:to>
      <xdr:col>12</xdr:col>
      <xdr:colOff>19050</xdr:colOff>
      <xdr:row>17</xdr:row>
      <xdr:rowOff>19050</xdr:rowOff>
    </xdr:to>
    <xdr:sp macro="" textlink="">
      <xdr:nvSpPr>
        <xdr:cNvPr id="1717" name="Line 130">
          <a:extLst>
            <a:ext uri="{FF2B5EF4-FFF2-40B4-BE49-F238E27FC236}">
              <a16:creationId xmlns:a16="http://schemas.microsoft.com/office/drawing/2014/main" id="{00000000-0008-0000-0300-0000B5060000}"/>
            </a:ext>
          </a:extLst>
        </xdr:cNvPr>
        <xdr:cNvSpPr>
          <a:spLocks noChangeShapeType="1"/>
        </xdr:cNvSpPr>
      </xdr:nvSpPr>
      <xdr:spPr bwMode="auto">
        <a:xfrm>
          <a:off x="3295650" y="239077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17</xdr:row>
      <xdr:rowOff>9525</xdr:rowOff>
    </xdr:from>
    <xdr:to>
      <xdr:col>12</xdr:col>
      <xdr:colOff>19050</xdr:colOff>
      <xdr:row>17</xdr:row>
      <xdr:rowOff>19050</xdr:rowOff>
    </xdr:to>
    <xdr:sp macro="" textlink="">
      <xdr:nvSpPr>
        <xdr:cNvPr id="1718" name="Line 130">
          <a:extLst>
            <a:ext uri="{FF2B5EF4-FFF2-40B4-BE49-F238E27FC236}">
              <a16:creationId xmlns:a16="http://schemas.microsoft.com/office/drawing/2014/main" id="{00000000-0008-0000-0300-0000B6060000}"/>
            </a:ext>
          </a:extLst>
        </xdr:cNvPr>
        <xdr:cNvSpPr>
          <a:spLocks noChangeShapeType="1"/>
        </xdr:cNvSpPr>
      </xdr:nvSpPr>
      <xdr:spPr bwMode="auto">
        <a:xfrm>
          <a:off x="3295650" y="239077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17</xdr:row>
      <xdr:rowOff>9525</xdr:rowOff>
    </xdr:from>
    <xdr:to>
      <xdr:col>12</xdr:col>
      <xdr:colOff>19050</xdr:colOff>
      <xdr:row>17</xdr:row>
      <xdr:rowOff>19050</xdr:rowOff>
    </xdr:to>
    <xdr:sp macro="" textlink="">
      <xdr:nvSpPr>
        <xdr:cNvPr id="1719" name="Line 130">
          <a:extLst>
            <a:ext uri="{FF2B5EF4-FFF2-40B4-BE49-F238E27FC236}">
              <a16:creationId xmlns:a16="http://schemas.microsoft.com/office/drawing/2014/main" id="{00000000-0008-0000-0300-0000B7060000}"/>
            </a:ext>
          </a:extLst>
        </xdr:cNvPr>
        <xdr:cNvSpPr>
          <a:spLocks noChangeShapeType="1"/>
        </xdr:cNvSpPr>
      </xdr:nvSpPr>
      <xdr:spPr bwMode="auto">
        <a:xfrm>
          <a:off x="3295650" y="239077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17</xdr:row>
      <xdr:rowOff>9525</xdr:rowOff>
    </xdr:from>
    <xdr:to>
      <xdr:col>12</xdr:col>
      <xdr:colOff>19050</xdr:colOff>
      <xdr:row>17</xdr:row>
      <xdr:rowOff>19050</xdr:rowOff>
    </xdr:to>
    <xdr:sp macro="" textlink="">
      <xdr:nvSpPr>
        <xdr:cNvPr id="1720" name="Line 1008">
          <a:extLst>
            <a:ext uri="{FF2B5EF4-FFF2-40B4-BE49-F238E27FC236}">
              <a16:creationId xmlns:a16="http://schemas.microsoft.com/office/drawing/2014/main" id="{00000000-0008-0000-0300-0000B8060000}"/>
            </a:ext>
          </a:extLst>
        </xdr:cNvPr>
        <xdr:cNvSpPr>
          <a:spLocks noChangeShapeType="1"/>
        </xdr:cNvSpPr>
      </xdr:nvSpPr>
      <xdr:spPr bwMode="auto">
        <a:xfrm>
          <a:off x="3295650" y="239077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17</xdr:row>
      <xdr:rowOff>9525</xdr:rowOff>
    </xdr:from>
    <xdr:to>
      <xdr:col>12</xdr:col>
      <xdr:colOff>19050</xdr:colOff>
      <xdr:row>17</xdr:row>
      <xdr:rowOff>19050</xdr:rowOff>
    </xdr:to>
    <xdr:sp macro="" textlink="">
      <xdr:nvSpPr>
        <xdr:cNvPr id="1721" name="Line 150">
          <a:extLst>
            <a:ext uri="{FF2B5EF4-FFF2-40B4-BE49-F238E27FC236}">
              <a16:creationId xmlns:a16="http://schemas.microsoft.com/office/drawing/2014/main" id="{00000000-0008-0000-0300-0000B9060000}"/>
            </a:ext>
          </a:extLst>
        </xdr:cNvPr>
        <xdr:cNvSpPr>
          <a:spLocks noChangeShapeType="1"/>
        </xdr:cNvSpPr>
      </xdr:nvSpPr>
      <xdr:spPr bwMode="auto">
        <a:xfrm>
          <a:off x="3295650" y="239077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17</xdr:row>
      <xdr:rowOff>9525</xdr:rowOff>
    </xdr:from>
    <xdr:to>
      <xdr:col>12</xdr:col>
      <xdr:colOff>19050</xdr:colOff>
      <xdr:row>17</xdr:row>
      <xdr:rowOff>19050</xdr:rowOff>
    </xdr:to>
    <xdr:sp macro="" textlink="">
      <xdr:nvSpPr>
        <xdr:cNvPr id="1722" name="Line 130">
          <a:extLst>
            <a:ext uri="{FF2B5EF4-FFF2-40B4-BE49-F238E27FC236}">
              <a16:creationId xmlns:a16="http://schemas.microsoft.com/office/drawing/2014/main" id="{00000000-0008-0000-0300-0000BA060000}"/>
            </a:ext>
          </a:extLst>
        </xdr:cNvPr>
        <xdr:cNvSpPr>
          <a:spLocks noChangeShapeType="1"/>
        </xdr:cNvSpPr>
      </xdr:nvSpPr>
      <xdr:spPr bwMode="auto">
        <a:xfrm>
          <a:off x="3295650" y="239077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17</xdr:row>
      <xdr:rowOff>9525</xdr:rowOff>
    </xdr:from>
    <xdr:to>
      <xdr:col>12</xdr:col>
      <xdr:colOff>19050</xdr:colOff>
      <xdr:row>17</xdr:row>
      <xdr:rowOff>19050</xdr:rowOff>
    </xdr:to>
    <xdr:sp macro="" textlink="">
      <xdr:nvSpPr>
        <xdr:cNvPr id="1723" name="Line 130">
          <a:extLst>
            <a:ext uri="{FF2B5EF4-FFF2-40B4-BE49-F238E27FC236}">
              <a16:creationId xmlns:a16="http://schemas.microsoft.com/office/drawing/2014/main" id="{00000000-0008-0000-0300-0000BB060000}"/>
            </a:ext>
          </a:extLst>
        </xdr:cNvPr>
        <xdr:cNvSpPr>
          <a:spLocks noChangeShapeType="1"/>
        </xdr:cNvSpPr>
      </xdr:nvSpPr>
      <xdr:spPr bwMode="auto">
        <a:xfrm>
          <a:off x="3295650" y="239077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17</xdr:row>
      <xdr:rowOff>9525</xdr:rowOff>
    </xdr:from>
    <xdr:to>
      <xdr:col>12</xdr:col>
      <xdr:colOff>19050</xdr:colOff>
      <xdr:row>17</xdr:row>
      <xdr:rowOff>19050</xdr:rowOff>
    </xdr:to>
    <xdr:sp macro="" textlink="">
      <xdr:nvSpPr>
        <xdr:cNvPr id="1724" name="Line 130">
          <a:extLst>
            <a:ext uri="{FF2B5EF4-FFF2-40B4-BE49-F238E27FC236}">
              <a16:creationId xmlns:a16="http://schemas.microsoft.com/office/drawing/2014/main" id="{00000000-0008-0000-0300-0000BC060000}"/>
            </a:ext>
          </a:extLst>
        </xdr:cNvPr>
        <xdr:cNvSpPr>
          <a:spLocks noChangeShapeType="1"/>
        </xdr:cNvSpPr>
      </xdr:nvSpPr>
      <xdr:spPr bwMode="auto">
        <a:xfrm>
          <a:off x="3295650" y="239077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18</xdr:row>
      <xdr:rowOff>9525</xdr:rowOff>
    </xdr:from>
    <xdr:to>
      <xdr:col>12</xdr:col>
      <xdr:colOff>19050</xdr:colOff>
      <xdr:row>18</xdr:row>
      <xdr:rowOff>19050</xdr:rowOff>
    </xdr:to>
    <xdr:sp macro="" textlink="">
      <xdr:nvSpPr>
        <xdr:cNvPr id="1725" name="Line 130">
          <a:extLst>
            <a:ext uri="{FF2B5EF4-FFF2-40B4-BE49-F238E27FC236}">
              <a16:creationId xmlns:a16="http://schemas.microsoft.com/office/drawing/2014/main" id="{00000000-0008-0000-0300-0000BD060000}"/>
            </a:ext>
          </a:extLst>
        </xdr:cNvPr>
        <xdr:cNvSpPr>
          <a:spLocks noChangeShapeType="1"/>
        </xdr:cNvSpPr>
      </xdr:nvSpPr>
      <xdr:spPr bwMode="auto">
        <a:xfrm>
          <a:off x="3295650" y="26003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18</xdr:row>
      <xdr:rowOff>9525</xdr:rowOff>
    </xdr:from>
    <xdr:to>
      <xdr:col>12</xdr:col>
      <xdr:colOff>19050</xdr:colOff>
      <xdr:row>18</xdr:row>
      <xdr:rowOff>19050</xdr:rowOff>
    </xdr:to>
    <xdr:sp macro="" textlink="">
      <xdr:nvSpPr>
        <xdr:cNvPr id="1726" name="Line 130">
          <a:extLst>
            <a:ext uri="{FF2B5EF4-FFF2-40B4-BE49-F238E27FC236}">
              <a16:creationId xmlns:a16="http://schemas.microsoft.com/office/drawing/2014/main" id="{00000000-0008-0000-0300-0000BE060000}"/>
            </a:ext>
          </a:extLst>
        </xdr:cNvPr>
        <xdr:cNvSpPr>
          <a:spLocks noChangeShapeType="1"/>
        </xdr:cNvSpPr>
      </xdr:nvSpPr>
      <xdr:spPr bwMode="auto">
        <a:xfrm>
          <a:off x="3295650" y="26003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18</xdr:row>
      <xdr:rowOff>9525</xdr:rowOff>
    </xdr:from>
    <xdr:to>
      <xdr:col>12</xdr:col>
      <xdr:colOff>19050</xdr:colOff>
      <xdr:row>18</xdr:row>
      <xdr:rowOff>19050</xdr:rowOff>
    </xdr:to>
    <xdr:sp macro="" textlink="">
      <xdr:nvSpPr>
        <xdr:cNvPr id="1727" name="Line 130">
          <a:extLst>
            <a:ext uri="{FF2B5EF4-FFF2-40B4-BE49-F238E27FC236}">
              <a16:creationId xmlns:a16="http://schemas.microsoft.com/office/drawing/2014/main" id="{00000000-0008-0000-0300-0000BF060000}"/>
            </a:ext>
          </a:extLst>
        </xdr:cNvPr>
        <xdr:cNvSpPr>
          <a:spLocks noChangeShapeType="1"/>
        </xdr:cNvSpPr>
      </xdr:nvSpPr>
      <xdr:spPr bwMode="auto">
        <a:xfrm>
          <a:off x="3295650" y="26003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18</xdr:row>
      <xdr:rowOff>9525</xdr:rowOff>
    </xdr:from>
    <xdr:to>
      <xdr:col>12</xdr:col>
      <xdr:colOff>19050</xdr:colOff>
      <xdr:row>18</xdr:row>
      <xdr:rowOff>19050</xdr:rowOff>
    </xdr:to>
    <xdr:sp macro="" textlink="">
      <xdr:nvSpPr>
        <xdr:cNvPr id="1728" name="Line 130">
          <a:extLst>
            <a:ext uri="{FF2B5EF4-FFF2-40B4-BE49-F238E27FC236}">
              <a16:creationId xmlns:a16="http://schemas.microsoft.com/office/drawing/2014/main" id="{00000000-0008-0000-0300-0000C0060000}"/>
            </a:ext>
          </a:extLst>
        </xdr:cNvPr>
        <xdr:cNvSpPr>
          <a:spLocks noChangeShapeType="1"/>
        </xdr:cNvSpPr>
      </xdr:nvSpPr>
      <xdr:spPr bwMode="auto">
        <a:xfrm>
          <a:off x="3295650" y="26003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18</xdr:row>
      <xdr:rowOff>9525</xdr:rowOff>
    </xdr:from>
    <xdr:to>
      <xdr:col>12</xdr:col>
      <xdr:colOff>19050</xdr:colOff>
      <xdr:row>18</xdr:row>
      <xdr:rowOff>19050</xdr:rowOff>
    </xdr:to>
    <xdr:sp macro="" textlink="">
      <xdr:nvSpPr>
        <xdr:cNvPr id="1729" name="Line 1008">
          <a:extLst>
            <a:ext uri="{FF2B5EF4-FFF2-40B4-BE49-F238E27FC236}">
              <a16:creationId xmlns:a16="http://schemas.microsoft.com/office/drawing/2014/main" id="{00000000-0008-0000-0300-0000C1060000}"/>
            </a:ext>
          </a:extLst>
        </xdr:cNvPr>
        <xdr:cNvSpPr>
          <a:spLocks noChangeShapeType="1"/>
        </xdr:cNvSpPr>
      </xdr:nvSpPr>
      <xdr:spPr bwMode="auto">
        <a:xfrm>
          <a:off x="3295650" y="26003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18</xdr:row>
      <xdr:rowOff>9525</xdr:rowOff>
    </xdr:from>
    <xdr:to>
      <xdr:col>12</xdr:col>
      <xdr:colOff>19050</xdr:colOff>
      <xdr:row>18</xdr:row>
      <xdr:rowOff>19050</xdr:rowOff>
    </xdr:to>
    <xdr:sp macro="" textlink="">
      <xdr:nvSpPr>
        <xdr:cNvPr id="1730" name="Line 150">
          <a:extLst>
            <a:ext uri="{FF2B5EF4-FFF2-40B4-BE49-F238E27FC236}">
              <a16:creationId xmlns:a16="http://schemas.microsoft.com/office/drawing/2014/main" id="{00000000-0008-0000-0300-0000C2060000}"/>
            </a:ext>
          </a:extLst>
        </xdr:cNvPr>
        <xdr:cNvSpPr>
          <a:spLocks noChangeShapeType="1"/>
        </xdr:cNvSpPr>
      </xdr:nvSpPr>
      <xdr:spPr bwMode="auto">
        <a:xfrm>
          <a:off x="3295650" y="26003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18</xdr:row>
      <xdr:rowOff>9525</xdr:rowOff>
    </xdr:from>
    <xdr:to>
      <xdr:col>12</xdr:col>
      <xdr:colOff>19050</xdr:colOff>
      <xdr:row>18</xdr:row>
      <xdr:rowOff>19050</xdr:rowOff>
    </xdr:to>
    <xdr:sp macro="" textlink="">
      <xdr:nvSpPr>
        <xdr:cNvPr id="1731" name="Line 130">
          <a:extLst>
            <a:ext uri="{FF2B5EF4-FFF2-40B4-BE49-F238E27FC236}">
              <a16:creationId xmlns:a16="http://schemas.microsoft.com/office/drawing/2014/main" id="{00000000-0008-0000-0300-0000C3060000}"/>
            </a:ext>
          </a:extLst>
        </xdr:cNvPr>
        <xdr:cNvSpPr>
          <a:spLocks noChangeShapeType="1"/>
        </xdr:cNvSpPr>
      </xdr:nvSpPr>
      <xdr:spPr bwMode="auto">
        <a:xfrm>
          <a:off x="3295650" y="26003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18</xdr:row>
      <xdr:rowOff>9525</xdr:rowOff>
    </xdr:from>
    <xdr:to>
      <xdr:col>12</xdr:col>
      <xdr:colOff>19050</xdr:colOff>
      <xdr:row>18</xdr:row>
      <xdr:rowOff>19050</xdr:rowOff>
    </xdr:to>
    <xdr:sp macro="" textlink="">
      <xdr:nvSpPr>
        <xdr:cNvPr id="1732" name="Line 130">
          <a:extLst>
            <a:ext uri="{FF2B5EF4-FFF2-40B4-BE49-F238E27FC236}">
              <a16:creationId xmlns:a16="http://schemas.microsoft.com/office/drawing/2014/main" id="{00000000-0008-0000-0300-0000C4060000}"/>
            </a:ext>
          </a:extLst>
        </xdr:cNvPr>
        <xdr:cNvSpPr>
          <a:spLocks noChangeShapeType="1"/>
        </xdr:cNvSpPr>
      </xdr:nvSpPr>
      <xdr:spPr bwMode="auto">
        <a:xfrm>
          <a:off x="3295650" y="26003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18</xdr:row>
      <xdr:rowOff>9525</xdr:rowOff>
    </xdr:from>
    <xdr:to>
      <xdr:col>12</xdr:col>
      <xdr:colOff>19050</xdr:colOff>
      <xdr:row>18</xdr:row>
      <xdr:rowOff>19050</xdr:rowOff>
    </xdr:to>
    <xdr:sp macro="" textlink="">
      <xdr:nvSpPr>
        <xdr:cNvPr id="1733" name="Line 130">
          <a:extLst>
            <a:ext uri="{FF2B5EF4-FFF2-40B4-BE49-F238E27FC236}">
              <a16:creationId xmlns:a16="http://schemas.microsoft.com/office/drawing/2014/main" id="{00000000-0008-0000-0300-0000C5060000}"/>
            </a:ext>
          </a:extLst>
        </xdr:cNvPr>
        <xdr:cNvSpPr>
          <a:spLocks noChangeShapeType="1"/>
        </xdr:cNvSpPr>
      </xdr:nvSpPr>
      <xdr:spPr bwMode="auto">
        <a:xfrm>
          <a:off x="3295650" y="26003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734" name="Line 130">
          <a:extLst>
            <a:ext uri="{FF2B5EF4-FFF2-40B4-BE49-F238E27FC236}">
              <a16:creationId xmlns:a16="http://schemas.microsoft.com/office/drawing/2014/main" id="{00000000-0008-0000-0300-0000C6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735" name="Line 130">
          <a:extLst>
            <a:ext uri="{FF2B5EF4-FFF2-40B4-BE49-F238E27FC236}">
              <a16:creationId xmlns:a16="http://schemas.microsoft.com/office/drawing/2014/main" id="{00000000-0008-0000-0300-0000C7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736" name="Line 130">
          <a:extLst>
            <a:ext uri="{FF2B5EF4-FFF2-40B4-BE49-F238E27FC236}">
              <a16:creationId xmlns:a16="http://schemas.microsoft.com/office/drawing/2014/main" id="{00000000-0008-0000-0300-0000C8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737" name="Line 130">
          <a:extLst>
            <a:ext uri="{FF2B5EF4-FFF2-40B4-BE49-F238E27FC236}">
              <a16:creationId xmlns:a16="http://schemas.microsoft.com/office/drawing/2014/main" id="{00000000-0008-0000-0300-0000C9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738" name="Line 1008">
          <a:extLst>
            <a:ext uri="{FF2B5EF4-FFF2-40B4-BE49-F238E27FC236}">
              <a16:creationId xmlns:a16="http://schemas.microsoft.com/office/drawing/2014/main" id="{00000000-0008-0000-0300-0000CA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739" name="Line 150">
          <a:extLst>
            <a:ext uri="{FF2B5EF4-FFF2-40B4-BE49-F238E27FC236}">
              <a16:creationId xmlns:a16="http://schemas.microsoft.com/office/drawing/2014/main" id="{00000000-0008-0000-0300-0000CB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740" name="Line 130">
          <a:extLst>
            <a:ext uri="{FF2B5EF4-FFF2-40B4-BE49-F238E27FC236}">
              <a16:creationId xmlns:a16="http://schemas.microsoft.com/office/drawing/2014/main" id="{00000000-0008-0000-0300-0000CC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741" name="Line 130">
          <a:extLst>
            <a:ext uri="{FF2B5EF4-FFF2-40B4-BE49-F238E27FC236}">
              <a16:creationId xmlns:a16="http://schemas.microsoft.com/office/drawing/2014/main" id="{00000000-0008-0000-0300-0000CD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9525</xdr:rowOff>
    </xdr:from>
    <xdr:to>
      <xdr:col>12</xdr:col>
      <xdr:colOff>19050</xdr:colOff>
      <xdr:row>15</xdr:row>
      <xdr:rowOff>19050</xdr:rowOff>
    </xdr:to>
    <xdr:sp macro="" textlink="">
      <xdr:nvSpPr>
        <xdr:cNvPr id="1742" name="Line 130">
          <a:extLst>
            <a:ext uri="{FF2B5EF4-FFF2-40B4-BE49-F238E27FC236}">
              <a16:creationId xmlns:a16="http://schemas.microsoft.com/office/drawing/2014/main" id="{00000000-0008-0000-0300-0000CE060000}"/>
            </a:ext>
          </a:extLst>
        </xdr:cNvPr>
        <xdr:cNvSpPr>
          <a:spLocks noChangeShapeType="1"/>
        </xdr:cNvSpPr>
      </xdr:nvSpPr>
      <xdr:spPr bwMode="auto">
        <a:xfrm>
          <a:off x="3295650" y="19907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17</xdr:row>
      <xdr:rowOff>9525</xdr:rowOff>
    </xdr:from>
    <xdr:to>
      <xdr:col>12</xdr:col>
      <xdr:colOff>19050</xdr:colOff>
      <xdr:row>17</xdr:row>
      <xdr:rowOff>19050</xdr:rowOff>
    </xdr:to>
    <xdr:sp macro="" textlink="">
      <xdr:nvSpPr>
        <xdr:cNvPr id="1743" name="Line 130">
          <a:extLst>
            <a:ext uri="{FF2B5EF4-FFF2-40B4-BE49-F238E27FC236}">
              <a16:creationId xmlns:a16="http://schemas.microsoft.com/office/drawing/2014/main" id="{00000000-0008-0000-0300-0000CF060000}"/>
            </a:ext>
          </a:extLst>
        </xdr:cNvPr>
        <xdr:cNvSpPr>
          <a:spLocks noChangeShapeType="1"/>
        </xdr:cNvSpPr>
      </xdr:nvSpPr>
      <xdr:spPr bwMode="auto">
        <a:xfrm>
          <a:off x="3295650" y="239077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17</xdr:row>
      <xdr:rowOff>9525</xdr:rowOff>
    </xdr:from>
    <xdr:to>
      <xdr:col>12</xdr:col>
      <xdr:colOff>19050</xdr:colOff>
      <xdr:row>17</xdr:row>
      <xdr:rowOff>19050</xdr:rowOff>
    </xdr:to>
    <xdr:sp macro="" textlink="">
      <xdr:nvSpPr>
        <xdr:cNvPr id="1744" name="Line 130">
          <a:extLst>
            <a:ext uri="{FF2B5EF4-FFF2-40B4-BE49-F238E27FC236}">
              <a16:creationId xmlns:a16="http://schemas.microsoft.com/office/drawing/2014/main" id="{00000000-0008-0000-0300-0000D0060000}"/>
            </a:ext>
          </a:extLst>
        </xdr:cNvPr>
        <xdr:cNvSpPr>
          <a:spLocks noChangeShapeType="1"/>
        </xdr:cNvSpPr>
      </xdr:nvSpPr>
      <xdr:spPr bwMode="auto">
        <a:xfrm>
          <a:off x="3295650" y="239077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17</xdr:row>
      <xdr:rowOff>9525</xdr:rowOff>
    </xdr:from>
    <xdr:to>
      <xdr:col>12</xdr:col>
      <xdr:colOff>19050</xdr:colOff>
      <xdr:row>17</xdr:row>
      <xdr:rowOff>19050</xdr:rowOff>
    </xdr:to>
    <xdr:sp macro="" textlink="">
      <xdr:nvSpPr>
        <xdr:cNvPr id="1745" name="Line 130">
          <a:extLst>
            <a:ext uri="{FF2B5EF4-FFF2-40B4-BE49-F238E27FC236}">
              <a16:creationId xmlns:a16="http://schemas.microsoft.com/office/drawing/2014/main" id="{00000000-0008-0000-0300-0000D1060000}"/>
            </a:ext>
          </a:extLst>
        </xdr:cNvPr>
        <xdr:cNvSpPr>
          <a:spLocks noChangeShapeType="1"/>
        </xdr:cNvSpPr>
      </xdr:nvSpPr>
      <xdr:spPr bwMode="auto">
        <a:xfrm>
          <a:off x="3295650" y="239077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17</xdr:row>
      <xdr:rowOff>9525</xdr:rowOff>
    </xdr:from>
    <xdr:to>
      <xdr:col>12</xdr:col>
      <xdr:colOff>19050</xdr:colOff>
      <xdr:row>17</xdr:row>
      <xdr:rowOff>19050</xdr:rowOff>
    </xdr:to>
    <xdr:sp macro="" textlink="">
      <xdr:nvSpPr>
        <xdr:cNvPr id="1746" name="Line 130">
          <a:extLst>
            <a:ext uri="{FF2B5EF4-FFF2-40B4-BE49-F238E27FC236}">
              <a16:creationId xmlns:a16="http://schemas.microsoft.com/office/drawing/2014/main" id="{00000000-0008-0000-0300-0000D2060000}"/>
            </a:ext>
          </a:extLst>
        </xdr:cNvPr>
        <xdr:cNvSpPr>
          <a:spLocks noChangeShapeType="1"/>
        </xdr:cNvSpPr>
      </xdr:nvSpPr>
      <xdr:spPr bwMode="auto">
        <a:xfrm>
          <a:off x="3295650" y="239077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17</xdr:row>
      <xdr:rowOff>9525</xdr:rowOff>
    </xdr:from>
    <xdr:to>
      <xdr:col>12</xdr:col>
      <xdr:colOff>19050</xdr:colOff>
      <xdr:row>17</xdr:row>
      <xdr:rowOff>19050</xdr:rowOff>
    </xdr:to>
    <xdr:sp macro="" textlink="">
      <xdr:nvSpPr>
        <xdr:cNvPr id="1747" name="Line 1008">
          <a:extLst>
            <a:ext uri="{FF2B5EF4-FFF2-40B4-BE49-F238E27FC236}">
              <a16:creationId xmlns:a16="http://schemas.microsoft.com/office/drawing/2014/main" id="{00000000-0008-0000-0300-0000D3060000}"/>
            </a:ext>
          </a:extLst>
        </xdr:cNvPr>
        <xdr:cNvSpPr>
          <a:spLocks noChangeShapeType="1"/>
        </xdr:cNvSpPr>
      </xdr:nvSpPr>
      <xdr:spPr bwMode="auto">
        <a:xfrm>
          <a:off x="3295650" y="239077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17</xdr:row>
      <xdr:rowOff>9525</xdr:rowOff>
    </xdr:from>
    <xdr:to>
      <xdr:col>12</xdr:col>
      <xdr:colOff>19050</xdr:colOff>
      <xdr:row>17</xdr:row>
      <xdr:rowOff>19050</xdr:rowOff>
    </xdr:to>
    <xdr:sp macro="" textlink="">
      <xdr:nvSpPr>
        <xdr:cNvPr id="1748" name="Line 150">
          <a:extLst>
            <a:ext uri="{FF2B5EF4-FFF2-40B4-BE49-F238E27FC236}">
              <a16:creationId xmlns:a16="http://schemas.microsoft.com/office/drawing/2014/main" id="{00000000-0008-0000-0300-0000D4060000}"/>
            </a:ext>
          </a:extLst>
        </xdr:cNvPr>
        <xdr:cNvSpPr>
          <a:spLocks noChangeShapeType="1"/>
        </xdr:cNvSpPr>
      </xdr:nvSpPr>
      <xdr:spPr bwMode="auto">
        <a:xfrm>
          <a:off x="3295650" y="239077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17</xdr:row>
      <xdr:rowOff>9525</xdr:rowOff>
    </xdr:from>
    <xdr:to>
      <xdr:col>12</xdr:col>
      <xdr:colOff>19050</xdr:colOff>
      <xdr:row>17</xdr:row>
      <xdr:rowOff>19050</xdr:rowOff>
    </xdr:to>
    <xdr:sp macro="" textlink="">
      <xdr:nvSpPr>
        <xdr:cNvPr id="1749" name="Line 130">
          <a:extLst>
            <a:ext uri="{FF2B5EF4-FFF2-40B4-BE49-F238E27FC236}">
              <a16:creationId xmlns:a16="http://schemas.microsoft.com/office/drawing/2014/main" id="{00000000-0008-0000-0300-0000D5060000}"/>
            </a:ext>
          </a:extLst>
        </xdr:cNvPr>
        <xdr:cNvSpPr>
          <a:spLocks noChangeShapeType="1"/>
        </xdr:cNvSpPr>
      </xdr:nvSpPr>
      <xdr:spPr bwMode="auto">
        <a:xfrm>
          <a:off x="3295650" y="239077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17</xdr:row>
      <xdr:rowOff>9525</xdr:rowOff>
    </xdr:from>
    <xdr:to>
      <xdr:col>12</xdr:col>
      <xdr:colOff>19050</xdr:colOff>
      <xdr:row>17</xdr:row>
      <xdr:rowOff>19050</xdr:rowOff>
    </xdr:to>
    <xdr:sp macro="" textlink="">
      <xdr:nvSpPr>
        <xdr:cNvPr id="1750" name="Line 130">
          <a:extLst>
            <a:ext uri="{FF2B5EF4-FFF2-40B4-BE49-F238E27FC236}">
              <a16:creationId xmlns:a16="http://schemas.microsoft.com/office/drawing/2014/main" id="{00000000-0008-0000-0300-0000D6060000}"/>
            </a:ext>
          </a:extLst>
        </xdr:cNvPr>
        <xdr:cNvSpPr>
          <a:spLocks noChangeShapeType="1"/>
        </xdr:cNvSpPr>
      </xdr:nvSpPr>
      <xdr:spPr bwMode="auto">
        <a:xfrm>
          <a:off x="3295650" y="239077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17</xdr:row>
      <xdr:rowOff>9525</xdr:rowOff>
    </xdr:from>
    <xdr:to>
      <xdr:col>12</xdr:col>
      <xdr:colOff>19050</xdr:colOff>
      <xdr:row>17</xdr:row>
      <xdr:rowOff>19050</xdr:rowOff>
    </xdr:to>
    <xdr:sp macro="" textlink="">
      <xdr:nvSpPr>
        <xdr:cNvPr id="1751" name="Line 130">
          <a:extLst>
            <a:ext uri="{FF2B5EF4-FFF2-40B4-BE49-F238E27FC236}">
              <a16:creationId xmlns:a16="http://schemas.microsoft.com/office/drawing/2014/main" id="{00000000-0008-0000-0300-0000D7060000}"/>
            </a:ext>
          </a:extLst>
        </xdr:cNvPr>
        <xdr:cNvSpPr>
          <a:spLocks noChangeShapeType="1"/>
        </xdr:cNvSpPr>
      </xdr:nvSpPr>
      <xdr:spPr bwMode="auto">
        <a:xfrm>
          <a:off x="3295650" y="239077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18</xdr:row>
      <xdr:rowOff>9525</xdr:rowOff>
    </xdr:from>
    <xdr:to>
      <xdr:col>12</xdr:col>
      <xdr:colOff>19050</xdr:colOff>
      <xdr:row>18</xdr:row>
      <xdr:rowOff>19050</xdr:rowOff>
    </xdr:to>
    <xdr:sp macro="" textlink="">
      <xdr:nvSpPr>
        <xdr:cNvPr id="1752" name="Line 130">
          <a:extLst>
            <a:ext uri="{FF2B5EF4-FFF2-40B4-BE49-F238E27FC236}">
              <a16:creationId xmlns:a16="http://schemas.microsoft.com/office/drawing/2014/main" id="{00000000-0008-0000-0300-0000D8060000}"/>
            </a:ext>
          </a:extLst>
        </xdr:cNvPr>
        <xdr:cNvSpPr>
          <a:spLocks noChangeShapeType="1"/>
        </xdr:cNvSpPr>
      </xdr:nvSpPr>
      <xdr:spPr bwMode="auto">
        <a:xfrm>
          <a:off x="3295650" y="26003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18</xdr:row>
      <xdr:rowOff>9525</xdr:rowOff>
    </xdr:from>
    <xdr:to>
      <xdr:col>12</xdr:col>
      <xdr:colOff>19050</xdr:colOff>
      <xdr:row>18</xdr:row>
      <xdr:rowOff>19050</xdr:rowOff>
    </xdr:to>
    <xdr:sp macro="" textlink="">
      <xdr:nvSpPr>
        <xdr:cNvPr id="1753" name="Line 130">
          <a:extLst>
            <a:ext uri="{FF2B5EF4-FFF2-40B4-BE49-F238E27FC236}">
              <a16:creationId xmlns:a16="http://schemas.microsoft.com/office/drawing/2014/main" id="{00000000-0008-0000-0300-0000D9060000}"/>
            </a:ext>
          </a:extLst>
        </xdr:cNvPr>
        <xdr:cNvSpPr>
          <a:spLocks noChangeShapeType="1"/>
        </xdr:cNvSpPr>
      </xdr:nvSpPr>
      <xdr:spPr bwMode="auto">
        <a:xfrm>
          <a:off x="3295650" y="26003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18</xdr:row>
      <xdr:rowOff>9525</xdr:rowOff>
    </xdr:from>
    <xdr:to>
      <xdr:col>12</xdr:col>
      <xdr:colOff>19050</xdr:colOff>
      <xdr:row>18</xdr:row>
      <xdr:rowOff>19050</xdr:rowOff>
    </xdr:to>
    <xdr:sp macro="" textlink="">
      <xdr:nvSpPr>
        <xdr:cNvPr id="1754" name="Line 130">
          <a:extLst>
            <a:ext uri="{FF2B5EF4-FFF2-40B4-BE49-F238E27FC236}">
              <a16:creationId xmlns:a16="http://schemas.microsoft.com/office/drawing/2014/main" id="{00000000-0008-0000-0300-0000DA060000}"/>
            </a:ext>
          </a:extLst>
        </xdr:cNvPr>
        <xdr:cNvSpPr>
          <a:spLocks noChangeShapeType="1"/>
        </xdr:cNvSpPr>
      </xdr:nvSpPr>
      <xdr:spPr bwMode="auto">
        <a:xfrm>
          <a:off x="3295650" y="26003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18</xdr:row>
      <xdr:rowOff>9525</xdr:rowOff>
    </xdr:from>
    <xdr:to>
      <xdr:col>12</xdr:col>
      <xdr:colOff>19050</xdr:colOff>
      <xdr:row>18</xdr:row>
      <xdr:rowOff>19050</xdr:rowOff>
    </xdr:to>
    <xdr:sp macro="" textlink="">
      <xdr:nvSpPr>
        <xdr:cNvPr id="1755" name="Line 130">
          <a:extLst>
            <a:ext uri="{FF2B5EF4-FFF2-40B4-BE49-F238E27FC236}">
              <a16:creationId xmlns:a16="http://schemas.microsoft.com/office/drawing/2014/main" id="{00000000-0008-0000-0300-0000DB060000}"/>
            </a:ext>
          </a:extLst>
        </xdr:cNvPr>
        <xdr:cNvSpPr>
          <a:spLocks noChangeShapeType="1"/>
        </xdr:cNvSpPr>
      </xdr:nvSpPr>
      <xdr:spPr bwMode="auto">
        <a:xfrm>
          <a:off x="3295650" y="26003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18</xdr:row>
      <xdr:rowOff>9525</xdr:rowOff>
    </xdr:from>
    <xdr:to>
      <xdr:col>12</xdr:col>
      <xdr:colOff>19050</xdr:colOff>
      <xdr:row>18</xdr:row>
      <xdr:rowOff>19050</xdr:rowOff>
    </xdr:to>
    <xdr:sp macro="" textlink="">
      <xdr:nvSpPr>
        <xdr:cNvPr id="1756" name="Line 1008">
          <a:extLst>
            <a:ext uri="{FF2B5EF4-FFF2-40B4-BE49-F238E27FC236}">
              <a16:creationId xmlns:a16="http://schemas.microsoft.com/office/drawing/2014/main" id="{00000000-0008-0000-0300-0000DC060000}"/>
            </a:ext>
          </a:extLst>
        </xdr:cNvPr>
        <xdr:cNvSpPr>
          <a:spLocks noChangeShapeType="1"/>
        </xdr:cNvSpPr>
      </xdr:nvSpPr>
      <xdr:spPr bwMode="auto">
        <a:xfrm>
          <a:off x="3295650" y="26003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18</xdr:row>
      <xdr:rowOff>9525</xdr:rowOff>
    </xdr:from>
    <xdr:to>
      <xdr:col>12</xdr:col>
      <xdr:colOff>19050</xdr:colOff>
      <xdr:row>18</xdr:row>
      <xdr:rowOff>19050</xdr:rowOff>
    </xdr:to>
    <xdr:sp macro="" textlink="">
      <xdr:nvSpPr>
        <xdr:cNvPr id="1757" name="Line 150">
          <a:extLst>
            <a:ext uri="{FF2B5EF4-FFF2-40B4-BE49-F238E27FC236}">
              <a16:creationId xmlns:a16="http://schemas.microsoft.com/office/drawing/2014/main" id="{00000000-0008-0000-0300-0000DD060000}"/>
            </a:ext>
          </a:extLst>
        </xdr:cNvPr>
        <xdr:cNvSpPr>
          <a:spLocks noChangeShapeType="1"/>
        </xdr:cNvSpPr>
      </xdr:nvSpPr>
      <xdr:spPr bwMode="auto">
        <a:xfrm>
          <a:off x="3295650" y="26003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18</xdr:row>
      <xdr:rowOff>9525</xdr:rowOff>
    </xdr:from>
    <xdr:to>
      <xdr:col>12</xdr:col>
      <xdr:colOff>19050</xdr:colOff>
      <xdr:row>18</xdr:row>
      <xdr:rowOff>19050</xdr:rowOff>
    </xdr:to>
    <xdr:sp macro="" textlink="">
      <xdr:nvSpPr>
        <xdr:cNvPr id="1758" name="Line 130">
          <a:extLst>
            <a:ext uri="{FF2B5EF4-FFF2-40B4-BE49-F238E27FC236}">
              <a16:creationId xmlns:a16="http://schemas.microsoft.com/office/drawing/2014/main" id="{00000000-0008-0000-0300-0000DE060000}"/>
            </a:ext>
          </a:extLst>
        </xdr:cNvPr>
        <xdr:cNvSpPr>
          <a:spLocks noChangeShapeType="1"/>
        </xdr:cNvSpPr>
      </xdr:nvSpPr>
      <xdr:spPr bwMode="auto">
        <a:xfrm>
          <a:off x="3295650" y="26003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18</xdr:row>
      <xdr:rowOff>9525</xdr:rowOff>
    </xdr:from>
    <xdr:to>
      <xdr:col>12</xdr:col>
      <xdr:colOff>19050</xdr:colOff>
      <xdr:row>18</xdr:row>
      <xdr:rowOff>19050</xdr:rowOff>
    </xdr:to>
    <xdr:sp macro="" textlink="">
      <xdr:nvSpPr>
        <xdr:cNvPr id="1759" name="Line 130">
          <a:extLst>
            <a:ext uri="{FF2B5EF4-FFF2-40B4-BE49-F238E27FC236}">
              <a16:creationId xmlns:a16="http://schemas.microsoft.com/office/drawing/2014/main" id="{00000000-0008-0000-0300-0000DF060000}"/>
            </a:ext>
          </a:extLst>
        </xdr:cNvPr>
        <xdr:cNvSpPr>
          <a:spLocks noChangeShapeType="1"/>
        </xdr:cNvSpPr>
      </xdr:nvSpPr>
      <xdr:spPr bwMode="auto">
        <a:xfrm>
          <a:off x="3295650" y="26003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12</xdr:col>
      <xdr:colOff>0</xdr:colOff>
      <xdr:row>18</xdr:row>
      <xdr:rowOff>9525</xdr:rowOff>
    </xdr:from>
    <xdr:to>
      <xdr:col>12</xdr:col>
      <xdr:colOff>19050</xdr:colOff>
      <xdr:row>18</xdr:row>
      <xdr:rowOff>19050</xdr:rowOff>
    </xdr:to>
    <xdr:sp macro="" textlink="">
      <xdr:nvSpPr>
        <xdr:cNvPr id="1760" name="Line 130">
          <a:extLst>
            <a:ext uri="{FF2B5EF4-FFF2-40B4-BE49-F238E27FC236}">
              <a16:creationId xmlns:a16="http://schemas.microsoft.com/office/drawing/2014/main" id="{00000000-0008-0000-0300-0000E0060000}"/>
            </a:ext>
          </a:extLst>
        </xdr:cNvPr>
        <xdr:cNvSpPr>
          <a:spLocks noChangeShapeType="1"/>
        </xdr:cNvSpPr>
      </xdr:nvSpPr>
      <xdr:spPr bwMode="auto">
        <a:xfrm>
          <a:off x="3295650" y="2600325"/>
          <a:ext cx="19050" cy="952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04" name="Line 766">
          <a:extLst>
            <a:ext uri="{FF2B5EF4-FFF2-40B4-BE49-F238E27FC236}">
              <a16:creationId xmlns:a16="http://schemas.microsoft.com/office/drawing/2014/main" id="{00000000-0008-0000-0300-0000BC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05" name="Line 1009">
          <a:extLst>
            <a:ext uri="{FF2B5EF4-FFF2-40B4-BE49-F238E27FC236}">
              <a16:creationId xmlns:a16="http://schemas.microsoft.com/office/drawing/2014/main" id="{00000000-0008-0000-0300-0000BD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06" name="Line 132">
          <a:extLst>
            <a:ext uri="{FF2B5EF4-FFF2-40B4-BE49-F238E27FC236}">
              <a16:creationId xmlns:a16="http://schemas.microsoft.com/office/drawing/2014/main" id="{00000000-0008-0000-0300-0000BE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07" name="Line 151">
          <a:extLst>
            <a:ext uri="{FF2B5EF4-FFF2-40B4-BE49-F238E27FC236}">
              <a16:creationId xmlns:a16="http://schemas.microsoft.com/office/drawing/2014/main" id="{00000000-0008-0000-0300-0000BF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08" name="Line 766">
          <a:extLst>
            <a:ext uri="{FF2B5EF4-FFF2-40B4-BE49-F238E27FC236}">
              <a16:creationId xmlns:a16="http://schemas.microsoft.com/office/drawing/2014/main" id="{00000000-0008-0000-0300-0000C0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09" name="Line 1009">
          <a:extLst>
            <a:ext uri="{FF2B5EF4-FFF2-40B4-BE49-F238E27FC236}">
              <a16:creationId xmlns:a16="http://schemas.microsoft.com/office/drawing/2014/main" id="{00000000-0008-0000-0300-0000C1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10" name="Line 132">
          <a:extLst>
            <a:ext uri="{FF2B5EF4-FFF2-40B4-BE49-F238E27FC236}">
              <a16:creationId xmlns:a16="http://schemas.microsoft.com/office/drawing/2014/main" id="{00000000-0008-0000-0300-0000C2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11" name="Line 151">
          <a:extLst>
            <a:ext uri="{FF2B5EF4-FFF2-40B4-BE49-F238E27FC236}">
              <a16:creationId xmlns:a16="http://schemas.microsoft.com/office/drawing/2014/main" id="{00000000-0008-0000-0300-0000C3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12" name="Line 766">
          <a:extLst>
            <a:ext uri="{FF2B5EF4-FFF2-40B4-BE49-F238E27FC236}">
              <a16:creationId xmlns:a16="http://schemas.microsoft.com/office/drawing/2014/main" id="{00000000-0008-0000-0300-0000C4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13" name="Line 1009">
          <a:extLst>
            <a:ext uri="{FF2B5EF4-FFF2-40B4-BE49-F238E27FC236}">
              <a16:creationId xmlns:a16="http://schemas.microsoft.com/office/drawing/2014/main" id="{00000000-0008-0000-0300-0000C5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14" name="Line 132">
          <a:extLst>
            <a:ext uri="{FF2B5EF4-FFF2-40B4-BE49-F238E27FC236}">
              <a16:creationId xmlns:a16="http://schemas.microsoft.com/office/drawing/2014/main" id="{00000000-0008-0000-0300-0000C6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15" name="Line 151">
          <a:extLst>
            <a:ext uri="{FF2B5EF4-FFF2-40B4-BE49-F238E27FC236}">
              <a16:creationId xmlns:a16="http://schemas.microsoft.com/office/drawing/2014/main" id="{00000000-0008-0000-0300-0000C7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16" name="Line 766">
          <a:extLst>
            <a:ext uri="{FF2B5EF4-FFF2-40B4-BE49-F238E27FC236}">
              <a16:creationId xmlns:a16="http://schemas.microsoft.com/office/drawing/2014/main" id="{00000000-0008-0000-0300-0000C8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17" name="Line 1009">
          <a:extLst>
            <a:ext uri="{FF2B5EF4-FFF2-40B4-BE49-F238E27FC236}">
              <a16:creationId xmlns:a16="http://schemas.microsoft.com/office/drawing/2014/main" id="{00000000-0008-0000-0300-0000C9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18" name="Line 132">
          <a:extLst>
            <a:ext uri="{FF2B5EF4-FFF2-40B4-BE49-F238E27FC236}">
              <a16:creationId xmlns:a16="http://schemas.microsoft.com/office/drawing/2014/main" id="{00000000-0008-0000-0300-0000CA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19" name="Line 151">
          <a:extLst>
            <a:ext uri="{FF2B5EF4-FFF2-40B4-BE49-F238E27FC236}">
              <a16:creationId xmlns:a16="http://schemas.microsoft.com/office/drawing/2014/main" id="{00000000-0008-0000-0300-0000CB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20" name="Line 766">
          <a:extLst>
            <a:ext uri="{FF2B5EF4-FFF2-40B4-BE49-F238E27FC236}">
              <a16:creationId xmlns:a16="http://schemas.microsoft.com/office/drawing/2014/main" id="{00000000-0008-0000-0300-0000CC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21" name="Line 1009">
          <a:extLst>
            <a:ext uri="{FF2B5EF4-FFF2-40B4-BE49-F238E27FC236}">
              <a16:creationId xmlns:a16="http://schemas.microsoft.com/office/drawing/2014/main" id="{00000000-0008-0000-0300-0000CD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22" name="Line 132">
          <a:extLst>
            <a:ext uri="{FF2B5EF4-FFF2-40B4-BE49-F238E27FC236}">
              <a16:creationId xmlns:a16="http://schemas.microsoft.com/office/drawing/2014/main" id="{00000000-0008-0000-0300-0000CE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23" name="Line 151">
          <a:extLst>
            <a:ext uri="{FF2B5EF4-FFF2-40B4-BE49-F238E27FC236}">
              <a16:creationId xmlns:a16="http://schemas.microsoft.com/office/drawing/2014/main" id="{00000000-0008-0000-0300-0000CF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24" name="Line 766">
          <a:extLst>
            <a:ext uri="{FF2B5EF4-FFF2-40B4-BE49-F238E27FC236}">
              <a16:creationId xmlns:a16="http://schemas.microsoft.com/office/drawing/2014/main" id="{00000000-0008-0000-0300-0000D0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25" name="Line 1009">
          <a:extLst>
            <a:ext uri="{FF2B5EF4-FFF2-40B4-BE49-F238E27FC236}">
              <a16:creationId xmlns:a16="http://schemas.microsoft.com/office/drawing/2014/main" id="{00000000-0008-0000-0300-0000D1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26" name="Line 132">
          <a:extLst>
            <a:ext uri="{FF2B5EF4-FFF2-40B4-BE49-F238E27FC236}">
              <a16:creationId xmlns:a16="http://schemas.microsoft.com/office/drawing/2014/main" id="{00000000-0008-0000-0300-0000D2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27" name="Line 151">
          <a:extLst>
            <a:ext uri="{FF2B5EF4-FFF2-40B4-BE49-F238E27FC236}">
              <a16:creationId xmlns:a16="http://schemas.microsoft.com/office/drawing/2014/main" id="{00000000-0008-0000-0300-0000D3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28" name="Line 766">
          <a:extLst>
            <a:ext uri="{FF2B5EF4-FFF2-40B4-BE49-F238E27FC236}">
              <a16:creationId xmlns:a16="http://schemas.microsoft.com/office/drawing/2014/main" id="{00000000-0008-0000-0300-0000D4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29" name="Line 1009">
          <a:extLst>
            <a:ext uri="{FF2B5EF4-FFF2-40B4-BE49-F238E27FC236}">
              <a16:creationId xmlns:a16="http://schemas.microsoft.com/office/drawing/2014/main" id="{00000000-0008-0000-0300-0000D5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30" name="Line 132">
          <a:extLst>
            <a:ext uri="{FF2B5EF4-FFF2-40B4-BE49-F238E27FC236}">
              <a16:creationId xmlns:a16="http://schemas.microsoft.com/office/drawing/2014/main" id="{00000000-0008-0000-0300-0000D6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31" name="Line 151">
          <a:extLst>
            <a:ext uri="{FF2B5EF4-FFF2-40B4-BE49-F238E27FC236}">
              <a16:creationId xmlns:a16="http://schemas.microsoft.com/office/drawing/2014/main" id="{00000000-0008-0000-0300-0000D7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32" name="Line 766">
          <a:extLst>
            <a:ext uri="{FF2B5EF4-FFF2-40B4-BE49-F238E27FC236}">
              <a16:creationId xmlns:a16="http://schemas.microsoft.com/office/drawing/2014/main" id="{00000000-0008-0000-0300-0000D8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33" name="Line 1009">
          <a:extLst>
            <a:ext uri="{FF2B5EF4-FFF2-40B4-BE49-F238E27FC236}">
              <a16:creationId xmlns:a16="http://schemas.microsoft.com/office/drawing/2014/main" id="{00000000-0008-0000-0300-0000D9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34" name="Line 132">
          <a:extLst>
            <a:ext uri="{FF2B5EF4-FFF2-40B4-BE49-F238E27FC236}">
              <a16:creationId xmlns:a16="http://schemas.microsoft.com/office/drawing/2014/main" id="{00000000-0008-0000-0300-0000DA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35" name="Line 151">
          <a:extLst>
            <a:ext uri="{FF2B5EF4-FFF2-40B4-BE49-F238E27FC236}">
              <a16:creationId xmlns:a16="http://schemas.microsoft.com/office/drawing/2014/main" id="{00000000-0008-0000-0300-0000DB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36" name="Line 766">
          <a:extLst>
            <a:ext uri="{FF2B5EF4-FFF2-40B4-BE49-F238E27FC236}">
              <a16:creationId xmlns:a16="http://schemas.microsoft.com/office/drawing/2014/main" id="{00000000-0008-0000-0300-0000DC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37" name="Line 1009">
          <a:extLst>
            <a:ext uri="{FF2B5EF4-FFF2-40B4-BE49-F238E27FC236}">
              <a16:creationId xmlns:a16="http://schemas.microsoft.com/office/drawing/2014/main" id="{00000000-0008-0000-0300-0000DD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38" name="Line 132">
          <a:extLst>
            <a:ext uri="{FF2B5EF4-FFF2-40B4-BE49-F238E27FC236}">
              <a16:creationId xmlns:a16="http://schemas.microsoft.com/office/drawing/2014/main" id="{00000000-0008-0000-0300-0000DE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39" name="Line 151">
          <a:extLst>
            <a:ext uri="{FF2B5EF4-FFF2-40B4-BE49-F238E27FC236}">
              <a16:creationId xmlns:a16="http://schemas.microsoft.com/office/drawing/2014/main" id="{00000000-0008-0000-0300-0000DF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40" name="Line 766">
          <a:extLst>
            <a:ext uri="{FF2B5EF4-FFF2-40B4-BE49-F238E27FC236}">
              <a16:creationId xmlns:a16="http://schemas.microsoft.com/office/drawing/2014/main" id="{00000000-0008-0000-0300-0000E0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41" name="Line 1009">
          <a:extLst>
            <a:ext uri="{FF2B5EF4-FFF2-40B4-BE49-F238E27FC236}">
              <a16:creationId xmlns:a16="http://schemas.microsoft.com/office/drawing/2014/main" id="{00000000-0008-0000-0300-0000E1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42" name="Line 132">
          <a:extLst>
            <a:ext uri="{FF2B5EF4-FFF2-40B4-BE49-F238E27FC236}">
              <a16:creationId xmlns:a16="http://schemas.microsoft.com/office/drawing/2014/main" id="{00000000-0008-0000-0300-0000E2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43" name="Line 151">
          <a:extLst>
            <a:ext uri="{FF2B5EF4-FFF2-40B4-BE49-F238E27FC236}">
              <a16:creationId xmlns:a16="http://schemas.microsoft.com/office/drawing/2014/main" id="{00000000-0008-0000-0300-0000E3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44" name="Line 766">
          <a:extLst>
            <a:ext uri="{FF2B5EF4-FFF2-40B4-BE49-F238E27FC236}">
              <a16:creationId xmlns:a16="http://schemas.microsoft.com/office/drawing/2014/main" id="{00000000-0008-0000-0300-0000E4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45" name="Line 1009">
          <a:extLst>
            <a:ext uri="{FF2B5EF4-FFF2-40B4-BE49-F238E27FC236}">
              <a16:creationId xmlns:a16="http://schemas.microsoft.com/office/drawing/2014/main" id="{00000000-0008-0000-0300-0000E5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46" name="Line 132">
          <a:extLst>
            <a:ext uri="{FF2B5EF4-FFF2-40B4-BE49-F238E27FC236}">
              <a16:creationId xmlns:a16="http://schemas.microsoft.com/office/drawing/2014/main" id="{00000000-0008-0000-0300-0000E6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2</xdr:col>
      <xdr:colOff>190500</xdr:colOff>
      <xdr:row>57</xdr:row>
      <xdr:rowOff>104775</xdr:rowOff>
    </xdr:from>
    <xdr:to>
      <xdr:col>2</xdr:col>
      <xdr:colOff>190500</xdr:colOff>
      <xdr:row>57</xdr:row>
      <xdr:rowOff>104775</xdr:rowOff>
    </xdr:to>
    <xdr:sp macro="" textlink="">
      <xdr:nvSpPr>
        <xdr:cNvPr id="3047" name="Line 151">
          <a:extLst>
            <a:ext uri="{FF2B5EF4-FFF2-40B4-BE49-F238E27FC236}">
              <a16:creationId xmlns:a16="http://schemas.microsoft.com/office/drawing/2014/main" id="{00000000-0008-0000-0300-0000E70B0000}"/>
            </a:ext>
          </a:extLst>
        </xdr:cNvPr>
        <xdr:cNvSpPr>
          <a:spLocks noChangeShapeType="1"/>
        </xdr:cNvSpPr>
      </xdr:nvSpPr>
      <xdr:spPr bwMode="auto">
        <a:xfrm>
          <a:off x="1000125" y="105251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344366</xdr:colOff>
      <xdr:row>23</xdr:row>
      <xdr:rowOff>114300</xdr:rowOff>
    </xdr:from>
    <xdr:to>
      <xdr:col>5</xdr:col>
      <xdr:colOff>344366</xdr:colOff>
      <xdr:row>32</xdr:row>
      <xdr:rowOff>13190</xdr:rowOff>
    </xdr:to>
    <xdr:sp macro="" textlink="">
      <xdr:nvSpPr>
        <xdr:cNvPr id="2" name="Rectangle 1">
          <a:extLst>
            <a:ext uri="{FF2B5EF4-FFF2-40B4-BE49-F238E27FC236}">
              <a16:creationId xmlns:a16="http://schemas.microsoft.com/office/drawing/2014/main" id="{00000000-0008-0000-1C00-000002000000}"/>
            </a:ext>
          </a:extLst>
        </xdr:cNvPr>
        <xdr:cNvSpPr/>
      </xdr:nvSpPr>
      <xdr:spPr>
        <a:xfrm>
          <a:off x="2173166" y="4543425"/>
          <a:ext cx="352425" cy="1613390"/>
        </a:xfrm>
        <a:prstGeom prst="rect">
          <a:avLst/>
        </a:prstGeom>
        <a:solidFill>
          <a:schemeClr val="bg1">
            <a:lumMod val="75000"/>
          </a:schemeClr>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5</xdr:col>
      <xdr:colOff>344366</xdr:colOff>
      <xdr:row>19</xdr:row>
      <xdr:rowOff>104775</xdr:rowOff>
    </xdr:from>
    <xdr:to>
      <xdr:col>7</xdr:col>
      <xdr:colOff>0</xdr:colOff>
      <xdr:row>32</xdr:row>
      <xdr:rowOff>3664</xdr:rowOff>
    </xdr:to>
    <xdr:sp macro="" textlink="">
      <xdr:nvSpPr>
        <xdr:cNvPr id="3" name="Rectangle 2">
          <a:extLst>
            <a:ext uri="{FF2B5EF4-FFF2-40B4-BE49-F238E27FC236}">
              <a16:creationId xmlns:a16="http://schemas.microsoft.com/office/drawing/2014/main" id="{00000000-0008-0000-1C00-000003000000}"/>
            </a:ext>
          </a:extLst>
        </xdr:cNvPr>
        <xdr:cNvSpPr/>
      </xdr:nvSpPr>
      <xdr:spPr>
        <a:xfrm>
          <a:off x="2525591" y="3771900"/>
          <a:ext cx="360484" cy="2375389"/>
        </a:xfrm>
        <a:prstGeom prst="rect">
          <a:avLst/>
        </a:prstGeom>
        <a:solidFill>
          <a:schemeClr val="bg1">
            <a:lumMod val="75000"/>
          </a:schemeClr>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xdr:col>
      <xdr:colOff>180976</xdr:colOff>
      <xdr:row>14</xdr:row>
      <xdr:rowOff>76201</xdr:rowOff>
    </xdr:from>
    <xdr:to>
      <xdr:col>1</xdr:col>
      <xdr:colOff>428625</xdr:colOff>
      <xdr:row>26</xdr:row>
      <xdr:rowOff>1</xdr:rowOff>
    </xdr:to>
    <xdr:sp macro="" textlink="">
      <xdr:nvSpPr>
        <xdr:cNvPr id="49" name="Rectangle 48">
          <a:extLst>
            <a:ext uri="{FF2B5EF4-FFF2-40B4-BE49-F238E27FC236}">
              <a16:creationId xmlns:a16="http://schemas.microsoft.com/office/drawing/2014/main" id="{00000000-0008-0000-1C00-000031000000}"/>
            </a:ext>
          </a:extLst>
        </xdr:cNvPr>
        <xdr:cNvSpPr/>
      </xdr:nvSpPr>
      <xdr:spPr>
        <a:xfrm>
          <a:off x="733426" y="2790826"/>
          <a:ext cx="247649" cy="2209800"/>
        </a:xfrm>
        <a:prstGeom prst="rect">
          <a:avLst/>
        </a:prstGeom>
      </xdr:spPr>
      <xdr:style>
        <a:lnRef idx="2">
          <a:schemeClr val="accent6"/>
        </a:lnRef>
        <a:fillRef idx="1">
          <a:schemeClr val="lt1"/>
        </a:fillRef>
        <a:effectRef idx="0">
          <a:schemeClr val="accent6"/>
        </a:effectRef>
        <a:fontRef idx="minor">
          <a:schemeClr val="dk1"/>
        </a:fontRef>
      </xdr:style>
      <xdr:txBody>
        <a:bodyPr rtlCol="0" anchor="ctr"/>
        <a:lstStyle/>
        <a:p>
          <a:pPr algn="ctr"/>
          <a:r>
            <a:rPr lang="en-US" sz="1100" b="1">
              <a:solidFill>
                <a:sysClr val="windowText" lastClr="000000"/>
              </a:solidFill>
            </a:rPr>
            <a:t>Prosentase</a:t>
          </a:r>
        </a:p>
      </xdr:txBody>
    </xdr:sp>
    <xdr:clientData/>
  </xdr:twoCellAnchor>
  <xdr:twoCellAnchor>
    <xdr:from>
      <xdr:col>2</xdr:col>
      <xdr:colOff>342900</xdr:colOff>
      <xdr:row>32</xdr:row>
      <xdr:rowOff>3969</xdr:rowOff>
    </xdr:from>
    <xdr:to>
      <xdr:col>16</xdr:col>
      <xdr:colOff>9525</xdr:colOff>
      <xdr:row>32</xdr:row>
      <xdr:rowOff>9525</xdr:rowOff>
    </xdr:to>
    <xdr:cxnSp macro="">
      <xdr:nvCxnSpPr>
        <xdr:cNvPr id="50" name="Straight Connector 49">
          <a:extLst>
            <a:ext uri="{FF2B5EF4-FFF2-40B4-BE49-F238E27FC236}">
              <a16:creationId xmlns:a16="http://schemas.microsoft.com/office/drawing/2014/main" id="{00000000-0008-0000-1C00-000032000000}"/>
            </a:ext>
          </a:extLst>
        </xdr:cNvPr>
        <xdr:cNvCxnSpPr/>
      </xdr:nvCxnSpPr>
      <xdr:spPr>
        <a:xfrm>
          <a:off x="1466850" y="6147594"/>
          <a:ext cx="4619625" cy="5556"/>
        </a:xfrm>
        <a:prstGeom prst="line">
          <a:avLst/>
        </a:prstGeom>
        <a:ln>
          <a:solidFill>
            <a:schemeClr val="bg1">
              <a:lumMod val="65000"/>
            </a:schemeClr>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180976</xdr:colOff>
      <xdr:row>14</xdr:row>
      <xdr:rowOff>76201</xdr:rowOff>
    </xdr:from>
    <xdr:to>
      <xdr:col>1</xdr:col>
      <xdr:colOff>428625</xdr:colOff>
      <xdr:row>26</xdr:row>
      <xdr:rowOff>1</xdr:rowOff>
    </xdr:to>
    <xdr:sp macro="" textlink="">
      <xdr:nvSpPr>
        <xdr:cNvPr id="51" name="Rectangle 50">
          <a:extLst>
            <a:ext uri="{FF2B5EF4-FFF2-40B4-BE49-F238E27FC236}">
              <a16:creationId xmlns:a16="http://schemas.microsoft.com/office/drawing/2014/main" id="{00000000-0008-0000-1C00-000033000000}"/>
            </a:ext>
          </a:extLst>
        </xdr:cNvPr>
        <xdr:cNvSpPr/>
      </xdr:nvSpPr>
      <xdr:spPr>
        <a:xfrm>
          <a:off x="733426" y="2790826"/>
          <a:ext cx="247649" cy="2209800"/>
        </a:xfrm>
        <a:prstGeom prst="rect">
          <a:avLst/>
        </a:prstGeom>
      </xdr:spPr>
      <xdr:style>
        <a:lnRef idx="2">
          <a:schemeClr val="accent6"/>
        </a:lnRef>
        <a:fillRef idx="1">
          <a:schemeClr val="lt1"/>
        </a:fillRef>
        <a:effectRef idx="0">
          <a:schemeClr val="accent6"/>
        </a:effectRef>
        <a:fontRef idx="minor">
          <a:schemeClr val="dk1"/>
        </a:fontRef>
      </xdr:style>
      <xdr:txBody>
        <a:bodyPr rtlCol="0" anchor="ctr"/>
        <a:lstStyle/>
        <a:p>
          <a:pPr algn="ctr"/>
          <a:r>
            <a:rPr lang="en-US" sz="1100" b="1">
              <a:solidFill>
                <a:sysClr val="windowText" lastClr="000000"/>
              </a:solidFill>
            </a:rPr>
            <a:t>Prosentase</a:t>
          </a:r>
        </a:p>
      </xdr:txBody>
    </xdr:sp>
    <xdr:clientData/>
  </xdr:twoCellAnchor>
  <xdr:twoCellAnchor>
    <xdr:from>
      <xdr:col>2</xdr:col>
      <xdr:colOff>342900</xdr:colOff>
      <xdr:row>32</xdr:row>
      <xdr:rowOff>3969</xdr:rowOff>
    </xdr:from>
    <xdr:to>
      <xdr:col>16</xdr:col>
      <xdr:colOff>9525</xdr:colOff>
      <xdr:row>32</xdr:row>
      <xdr:rowOff>9525</xdr:rowOff>
    </xdr:to>
    <xdr:cxnSp macro="">
      <xdr:nvCxnSpPr>
        <xdr:cNvPr id="52" name="Straight Connector 51">
          <a:extLst>
            <a:ext uri="{FF2B5EF4-FFF2-40B4-BE49-F238E27FC236}">
              <a16:creationId xmlns:a16="http://schemas.microsoft.com/office/drawing/2014/main" id="{00000000-0008-0000-1C00-000034000000}"/>
            </a:ext>
          </a:extLst>
        </xdr:cNvPr>
        <xdr:cNvCxnSpPr/>
      </xdr:nvCxnSpPr>
      <xdr:spPr>
        <a:xfrm>
          <a:off x="1466850" y="6147594"/>
          <a:ext cx="4619625" cy="5556"/>
        </a:xfrm>
        <a:prstGeom prst="line">
          <a:avLst/>
        </a:prstGeom>
        <a:ln>
          <a:solidFill>
            <a:sysClr val="windowText" lastClr="000000"/>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7327</xdr:colOff>
      <xdr:row>26</xdr:row>
      <xdr:rowOff>161926</xdr:rowOff>
    </xdr:from>
    <xdr:to>
      <xdr:col>4</xdr:col>
      <xdr:colOff>337038</xdr:colOff>
      <xdr:row>32</xdr:row>
      <xdr:rowOff>9526</xdr:rowOff>
    </xdr:to>
    <xdr:sp macro="" textlink="">
      <xdr:nvSpPr>
        <xdr:cNvPr id="53" name="Rectangle 52">
          <a:extLst>
            <a:ext uri="{FF2B5EF4-FFF2-40B4-BE49-F238E27FC236}">
              <a16:creationId xmlns:a16="http://schemas.microsoft.com/office/drawing/2014/main" id="{00000000-0008-0000-1C00-000035000000}"/>
            </a:ext>
          </a:extLst>
        </xdr:cNvPr>
        <xdr:cNvSpPr/>
      </xdr:nvSpPr>
      <xdr:spPr>
        <a:xfrm>
          <a:off x="1836127" y="5162551"/>
          <a:ext cx="329711" cy="990600"/>
        </a:xfrm>
        <a:prstGeom prst="rect">
          <a:avLst/>
        </a:prstGeom>
        <a:solidFill>
          <a:schemeClr val="bg1">
            <a:lumMod val="75000"/>
          </a:schemeClr>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algn="l"/>
          <a:endParaRPr lang="en-US" sz="800">
            <a:solidFill>
              <a:sysClr val="windowText" lastClr="000000"/>
            </a:solidFill>
            <a:latin typeface="Bodoni MT Condensed" pitchFamily="18" charset="0"/>
          </a:endParaRPr>
        </a:p>
      </xdr:txBody>
    </xdr:sp>
    <xdr:clientData/>
  </xdr:twoCellAnchor>
  <xdr:twoCellAnchor>
    <xdr:from>
      <xdr:col>7</xdr:col>
      <xdr:colOff>5129</xdr:colOff>
      <xdr:row>18</xdr:row>
      <xdr:rowOff>47625</xdr:rowOff>
    </xdr:from>
    <xdr:to>
      <xdr:col>7</xdr:col>
      <xdr:colOff>342900</xdr:colOff>
      <xdr:row>31</xdr:row>
      <xdr:rowOff>186836</xdr:rowOff>
    </xdr:to>
    <xdr:sp macro="" textlink="">
      <xdr:nvSpPr>
        <xdr:cNvPr id="54" name="Rectangle 53">
          <a:extLst>
            <a:ext uri="{FF2B5EF4-FFF2-40B4-BE49-F238E27FC236}">
              <a16:creationId xmlns:a16="http://schemas.microsoft.com/office/drawing/2014/main" id="{00000000-0008-0000-1C00-000036000000}"/>
            </a:ext>
          </a:extLst>
        </xdr:cNvPr>
        <xdr:cNvSpPr/>
      </xdr:nvSpPr>
      <xdr:spPr>
        <a:xfrm>
          <a:off x="2891204" y="3524250"/>
          <a:ext cx="337771" cy="2615711"/>
        </a:xfrm>
        <a:prstGeom prst="rect">
          <a:avLst/>
        </a:prstGeom>
        <a:solidFill>
          <a:schemeClr val="bg1">
            <a:lumMod val="75000"/>
          </a:schemeClr>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9</xdr:col>
      <xdr:colOff>20515</xdr:colOff>
      <xdr:row>18</xdr:row>
      <xdr:rowOff>47625</xdr:rowOff>
    </xdr:from>
    <xdr:to>
      <xdr:col>10</xdr:col>
      <xdr:colOff>13189</xdr:colOff>
      <xdr:row>32</xdr:row>
      <xdr:rowOff>13188</xdr:rowOff>
    </xdr:to>
    <xdr:sp macro="" textlink="">
      <xdr:nvSpPr>
        <xdr:cNvPr id="55" name="Rectangle 54">
          <a:extLst>
            <a:ext uri="{FF2B5EF4-FFF2-40B4-BE49-F238E27FC236}">
              <a16:creationId xmlns:a16="http://schemas.microsoft.com/office/drawing/2014/main" id="{00000000-0008-0000-1C00-000037000000}"/>
            </a:ext>
          </a:extLst>
        </xdr:cNvPr>
        <xdr:cNvSpPr/>
      </xdr:nvSpPr>
      <xdr:spPr>
        <a:xfrm>
          <a:off x="3611440" y="3524250"/>
          <a:ext cx="335574" cy="2632563"/>
        </a:xfrm>
        <a:prstGeom prst="rect">
          <a:avLst/>
        </a:prstGeom>
        <a:solidFill>
          <a:schemeClr val="bg1">
            <a:lumMod val="75000"/>
          </a:schemeClr>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8</xdr:col>
      <xdr:colOff>9525</xdr:colOff>
      <xdr:row>18</xdr:row>
      <xdr:rowOff>47625</xdr:rowOff>
    </xdr:from>
    <xdr:to>
      <xdr:col>8</xdr:col>
      <xdr:colOff>346563</xdr:colOff>
      <xdr:row>32</xdr:row>
      <xdr:rowOff>5861</xdr:rowOff>
    </xdr:to>
    <xdr:sp macro="" textlink="">
      <xdr:nvSpPr>
        <xdr:cNvPr id="56" name="Rectangle 55">
          <a:extLst>
            <a:ext uri="{FF2B5EF4-FFF2-40B4-BE49-F238E27FC236}">
              <a16:creationId xmlns:a16="http://schemas.microsoft.com/office/drawing/2014/main" id="{00000000-0008-0000-1C00-000038000000}"/>
            </a:ext>
          </a:extLst>
        </xdr:cNvPr>
        <xdr:cNvSpPr/>
      </xdr:nvSpPr>
      <xdr:spPr>
        <a:xfrm>
          <a:off x="3248025" y="3524250"/>
          <a:ext cx="337038" cy="2625236"/>
        </a:xfrm>
        <a:prstGeom prst="rect">
          <a:avLst/>
        </a:prstGeom>
        <a:solidFill>
          <a:schemeClr val="bg1">
            <a:lumMod val="75000"/>
          </a:schemeClr>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10</xdr:col>
      <xdr:colOff>30040</xdr:colOff>
      <xdr:row>18</xdr:row>
      <xdr:rowOff>47626</xdr:rowOff>
    </xdr:from>
    <xdr:to>
      <xdr:col>10</xdr:col>
      <xdr:colOff>382465</xdr:colOff>
      <xdr:row>32</xdr:row>
      <xdr:rowOff>5862</xdr:rowOff>
    </xdr:to>
    <xdr:sp macro="" textlink="">
      <xdr:nvSpPr>
        <xdr:cNvPr id="57" name="Rectangle 56">
          <a:extLst>
            <a:ext uri="{FF2B5EF4-FFF2-40B4-BE49-F238E27FC236}">
              <a16:creationId xmlns:a16="http://schemas.microsoft.com/office/drawing/2014/main" id="{00000000-0008-0000-1C00-000039000000}"/>
            </a:ext>
          </a:extLst>
        </xdr:cNvPr>
        <xdr:cNvSpPr/>
      </xdr:nvSpPr>
      <xdr:spPr>
        <a:xfrm>
          <a:off x="3963865" y="3524251"/>
          <a:ext cx="314325" cy="2625236"/>
        </a:xfrm>
        <a:prstGeom prst="rect">
          <a:avLst/>
        </a:prstGeom>
        <a:solidFill>
          <a:schemeClr val="bg1">
            <a:lumMod val="75000"/>
          </a:schemeClr>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11</xdr:col>
      <xdr:colOff>0</xdr:colOff>
      <xdr:row>16</xdr:row>
      <xdr:rowOff>47625</xdr:rowOff>
    </xdr:from>
    <xdr:to>
      <xdr:col>12</xdr:col>
      <xdr:colOff>0</xdr:colOff>
      <xdr:row>32</xdr:row>
      <xdr:rowOff>5860</xdr:rowOff>
    </xdr:to>
    <xdr:sp macro="" textlink="">
      <xdr:nvSpPr>
        <xdr:cNvPr id="58" name="Rectangle 57">
          <a:extLst>
            <a:ext uri="{FF2B5EF4-FFF2-40B4-BE49-F238E27FC236}">
              <a16:creationId xmlns:a16="http://schemas.microsoft.com/office/drawing/2014/main" id="{00000000-0008-0000-1C00-00003A000000}"/>
            </a:ext>
          </a:extLst>
        </xdr:cNvPr>
        <xdr:cNvSpPr/>
      </xdr:nvSpPr>
      <xdr:spPr>
        <a:xfrm>
          <a:off x="4276725" y="3143250"/>
          <a:ext cx="390525" cy="3006235"/>
        </a:xfrm>
        <a:prstGeom prst="rect">
          <a:avLst/>
        </a:prstGeom>
        <a:solidFill>
          <a:schemeClr val="bg1">
            <a:lumMod val="75000"/>
          </a:schemeClr>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12</xdr:col>
      <xdr:colOff>0</xdr:colOff>
      <xdr:row>13</xdr:row>
      <xdr:rowOff>57150</xdr:rowOff>
    </xdr:from>
    <xdr:to>
      <xdr:col>13</xdr:col>
      <xdr:colOff>0</xdr:colOff>
      <xdr:row>32</xdr:row>
      <xdr:rowOff>5861</xdr:rowOff>
    </xdr:to>
    <xdr:sp macro="" textlink="">
      <xdr:nvSpPr>
        <xdr:cNvPr id="59" name="Rectangle 58">
          <a:extLst>
            <a:ext uri="{FF2B5EF4-FFF2-40B4-BE49-F238E27FC236}">
              <a16:creationId xmlns:a16="http://schemas.microsoft.com/office/drawing/2014/main" id="{00000000-0008-0000-1C00-00003B000000}"/>
            </a:ext>
          </a:extLst>
        </xdr:cNvPr>
        <xdr:cNvSpPr/>
      </xdr:nvSpPr>
      <xdr:spPr>
        <a:xfrm>
          <a:off x="4667250" y="2581275"/>
          <a:ext cx="352425" cy="3568211"/>
        </a:xfrm>
        <a:prstGeom prst="rect">
          <a:avLst/>
        </a:prstGeom>
        <a:solidFill>
          <a:schemeClr val="bg1">
            <a:lumMod val="75000"/>
          </a:schemeClr>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13</xdr:col>
      <xdr:colOff>0</xdr:colOff>
      <xdr:row>12</xdr:row>
      <xdr:rowOff>0</xdr:rowOff>
    </xdr:from>
    <xdr:to>
      <xdr:col>14</xdr:col>
      <xdr:colOff>0</xdr:colOff>
      <xdr:row>32</xdr:row>
      <xdr:rowOff>5862</xdr:rowOff>
    </xdr:to>
    <xdr:sp macro="" textlink="">
      <xdr:nvSpPr>
        <xdr:cNvPr id="60" name="Rectangle 59">
          <a:extLst>
            <a:ext uri="{FF2B5EF4-FFF2-40B4-BE49-F238E27FC236}">
              <a16:creationId xmlns:a16="http://schemas.microsoft.com/office/drawing/2014/main" id="{00000000-0008-0000-1C00-00003C000000}"/>
            </a:ext>
          </a:extLst>
        </xdr:cNvPr>
        <xdr:cNvSpPr/>
      </xdr:nvSpPr>
      <xdr:spPr>
        <a:xfrm>
          <a:off x="5019675" y="2333625"/>
          <a:ext cx="352425" cy="3815862"/>
        </a:xfrm>
        <a:prstGeom prst="rect">
          <a:avLst/>
        </a:prstGeom>
        <a:solidFill>
          <a:schemeClr val="bg1">
            <a:lumMod val="75000"/>
          </a:schemeClr>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14</xdr:col>
      <xdr:colOff>0</xdr:colOff>
      <xdr:row>12</xdr:row>
      <xdr:rowOff>0</xdr:rowOff>
    </xdr:from>
    <xdr:to>
      <xdr:col>15</xdr:col>
      <xdr:colOff>0</xdr:colOff>
      <xdr:row>32</xdr:row>
      <xdr:rowOff>5862</xdr:rowOff>
    </xdr:to>
    <xdr:sp macro="" textlink="">
      <xdr:nvSpPr>
        <xdr:cNvPr id="61" name="Rectangle 60">
          <a:extLst>
            <a:ext uri="{FF2B5EF4-FFF2-40B4-BE49-F238E27FC236}">
              <a16:creationId xmlns:a16="http://schemas.microsoft.com/office/drawing/2014/main" id="{00000000-0008-0000-1C00-00003D000000}"/>
            </a:ext>
          </a:extLst>
        </xdr:cNvPr>
        <xdr:cNvSpPr/>
      </xdr:nvSpPr>
      <xdr:spPr>
        <a:xfrm>
          <a:off x="5372100" y="2333625"/>
          <a:ext cx="352425" cy="3815862"/>
        </a:xfrm>
        <a:prstGeom prst="rect">
          <a:avLst/>
        </a:prstGeom>
        <a:solidFill>
          <a:schemeClr val="bg1">
            <a:lumMod val="75000"/>
          </a:schemeClr>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US" sz="1100"/>
        </a:p>
      </xdr:txBody>
    </xdr:sp>
    <xdr:clientData/>
  </xdr:twoCellAnchor>
  <xdr:twoCellAnchor>
    <xdr:from>
      <xdr:col>2</xdr:col>
      <xdr:colOff>323850</xdr:colOff>
      <xdr:row>11</xdr:row>
      <xdr:rowOff>95250</xdr:rowOff>
    </xdr:from>
    <xdr:to>
      <xdr:col>2</xdr:col>
      <xdr:colOff>342900</xdr:colOff>
      <xdr:row>32</xdr:row>
      <xdr:rowOff>38102</xdr:rowOff>
    </xdr:to>
    <xdr:cxnSp macro="">
      <xdr:nvCxnSpPr>
        <xdr:cNvPr id="62" name="Straight Connector 61">
          <a:extLst>
            <a:ext uri="{FF2B5EF4-FFF2-40B4-BE49-F238E27FC236}">
              <a16:creationId xmlns:a16="http://schemas.microsoft.com/office/drawing/2014/main" id="{00000000-0008-0000-1C00-00003E000000}"/>
            </a:ext>
          </a:extLst>
        </xdr:cNvPr>
        <xdr:cNvCxnSpPr/>
      </xdr:nvCxnSpPr>
      <xdr:spPr>
        <a:xfrm flipH="1" flipV="1">
          <a:off x="1447800" y="2238375"/>
          <a:ext cx="19050" cy="3943352"/>
        </a:xfrm>
        <a:prstGeom prst="line">
          <a:avLst/>
        </a:prstGeom>
        <a:ln>
          <a:solidFill>
            <a:sysClr val="windowText" lastClr="000000"/>
          </a:solidFill>
        </a:ln>
      </xdr:spPr>
      <xdr:style>
        <a:lnRef idx="2">
          <a:schemeClr val="dk1"/>
        </a:lnRef>
        <a:fillRef idx="0">
          <a:schemeClr val="dk1"/>
        </a:fillRef>
        <a:effectRef idx="1">
          <a:schemeClr val="dk1"/>
        </a:effectRef>
        <a:fontRef idx="minor">
          <a:schemeClr val="tx1"/>
        </a:fontRef>
      </xdr:style>
    </xdr:cxnSp>
    <xdr:clientData/>
  </xdr:twoCellAnchor>
  <xdr:twoCellAnchor>
    <xdr:from>
      <xdr:col>3</xdr:col>
      <xdr:colOff>19050</xdr:colOff>
      <xdr:row>30</xdr:row>
      <xdr:rowOff>161925</xdr:rowOff>
    </xdr:from>
    <xdr:to>
      <xdr:col>3</xdr:col>
      <xdr:colOff>348761</xdr:colOff>
      <xdr:row>32</xdr:row>
      <xdr:rowOff>0</xdr:rowOff>
    </xdr:to>
    <xdr:sp macro="" textlink="">
      <xdr:nvSpPr>
        <xdr:cNvPr id="94" name="Rectangle 93">
          <a:extLst>
            <a:ext uri="{FF2B5EF4-FFF2-40B4-BE49-F238E27FC236}">
              <a16:creationId xmlns:a16="http://schemas.microsoft.com/office/drawing/2014/main" id="{00000000-0008-0000-1C00-00005E000000}"/>
            </a:ext>
          </a:extLst>
        </xdr:cNvPr>
        <xdr:cNvSpPr/>
      </xdr:nvSpPr>
      <xdr:spPr>
        <a:xfrm>
          <a:off x="1495425" y="5924550"/>
          <a:ext cx="329711" cy="219075"/>
        </a:xfrm>
        <a:prstGeom prst="rect">
          <a:avLst/>
        </a:prstGeom>
        <a:solidFill>
          <a:schemeClr val="bg1">
            <a:lumMod val="75000"/>
          </a:schemeClr>
        </a:solid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t"/>
        <a:lstStyle/>
        <a:p>
          <a:pPr algn="l"/>
          <a:endParaRPr lang="en-US" sz="800">
            <a:solidFill>
              <a:sysClr val="windowText" lastClr="000000"/>
            </a:solidFill>
            <a:latin typeface="Bodoni MT Condensed" pitchFamily="18" charset="0"/>
          </a:endParaRPr>
        </a:p>
      </xdr:txBody>
    </xdr:sp>
    <xdr:clientData/>
  </xdr:twoCellAnchor>
  <xdr:twoCellAnchor>
    <xdr:from>
      <xdr:col>4</xdr:col>
      <xdr:colOff>9525</xdr:colOff>
      <xdr:row>26</xdr:row>
      <xdr:rowOff>57150</xdr:rowOff>
    </xdr:from>
    <xdr:to>
      <xdr:col>4</xdr:col>
      <xdr:colOff>333375</xdr:colOff>
      <xdr:row>26</xdr:row>
      <xdr:rowOff>57150</xdr:rowOff>
    </xdr:to>
    <xdr:cxnSp macro="">
      <xdr:nvCxnSpPr>
        <xdr:cNvPr id="95" name="Straight Connector 94">
          <a:extLst>
            <a:ext uri="{FF2B5EF4-FFF2-40B4-BE49-F238E27FC236}">
              <a16:creationId xmlns:a16="http://schemas.microsoft.com/office/drawing/2014/main" id="{00000000-0008-0000-1C00-00005F000000}"/>
            </a:ext>
          </a:extLst>
        </xdr:cNvPr>
        <xdr:cNvCxnSpPr/>
      </xdr:nvCxnSpPr>
      <xdr:spPr>
        <a:xfrm>
          <a:off x="1838325" y="5057775"/>
          <a:ext cx="323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20516</xdr:colOff>
      <xdr:row>24</xdr:row>
      <xdr:rowOff>38100</xdr:rowOff>
    </xdr:from>
    <xdr:to>
      <xdr:col>5</xdr:col>
      <xdr:colOff>344366</xdr:colOff>
      <xdr:row>24</xdr:row>
      <xdr:rowOff>38100</xdr:rowOff>
    </xdr:to>
    <xdr:cxnSp macro="">
      <xdr:nvCxnSpPr>
        <xdr:cNvPr id="96" name="Straight Connector 95">
          <a:extLst>
            <a:ext uri="{FF2B5EF4-FFF2-40B4-BE49-F238E27FC236}">
              <a16:creationId xmlns:a16="http://schemas.microsoft.com/office/drawing/2014/main" id="{00000000-0008-0000-1C00-000060000000}"/>
            </a:ext>
          </a:extLst>
        </xdr:cNvPr>
        <xdr:cNvCxnSpPr/>
      </xdr:nvCxnSpPr>
      <xdr:spPr>
        <a:xfrm>
          <a:off x="2201741" y="4657725"/>
          <a:ext cx="323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28575</xdr:colOff>
      <xdr:row>19</xdr:row>
      <xdr:rowOff>9525</xdr:rowOff>
    </xdr:from>
    <xdr:to>
      <xdr:col>7</xdr:col>
      <xdr:colOff>0</xdr:colOff>
      <xdr:row>19</xdr:row>
      <xdr:rowOff>9525</xdr:rowOff>
    </xdr:to>
    <xdr:cxnSp macro="">
      <xdr:nvCxnSpPr>
        <xdr:cNvPr id="97" name="Straight Connector 96">
          <a:extLst>
            <a:ext uri="{FF2B5EF4-FFF2-40B4-BE49-F238E27FC236}">
              <a16:creationId xmlns:a16="http://schemas.microsoft.com/office/drawing/2014/main" id="{00000000-0008-0000-1C00-000061000000}"/>
            </a:ext>
          </a:extLst>
        </xdr:cNvPr>
        <xdr:cNvCxnSpPr/>
      </xdr:nvCxnSpPr>
      <xdr:spPr>
        <a:xfrm>
          <a:off x="2562225" y="3676650"/>
          <a:ext cx="323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xdr:colOff>
      <xdr:row>17</xdr:row>
      <xdr:rowOff>142875</xdr:rowOff>
    </xdr:from>
    <xdr:to>
      <xdr:col>7</xdr:col>
      <xdr:colOff>342900</xdr:colOff>
      <xdr:row>17</xdr:row>
      <xdr:rowOff>142875</xdr:rowOff>
    </xdr:to>
    <xdr:cxnSp macro="">
      <xdr:nvCxnSpPr>
        <xdr:cNvPr id="98" name="Straight Connector 97">
          <a:extLst>
            <a:ext uri="{FF2B5EF4-FFF2-40B4-BE49-F238E27FC236}">
              <a16:creationId xmlns:a16="http://schemas.microsoft.com/office/drawing/2014/main" id="{00000000-0008-0000-1C00-000062000000}"/>
            </a:ext>
          </a:extLst>
        </xdr:cNvPr>
        <xdr:cNvCxnSpPr/>
      </xdr:nvCxnSpPr>
      <xdr:spPr>
        <a:xfrm>
          <a:off x="2905125" y="3429000"/>
          <a:ext cx="323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17</xdr:row>
      <xdr:rowOff>0</xdr:rowOff>
    </xdr:from>
    <xdr:to>
      <xdr:col>8</xdr:col>
      <xdr:colOff>323850</xdr:colOff>
      <xdr:row>17</xdr:row>
      <xdr:rowOff>0</xdr:rowOff>
    </xdr:to>
    <xdr:cxnSp macro="">
      <xdr:nvCxnSpPr>
        <xdr:cNvPr id="99" name="Straight Connector 98">
          <a:extLst>
            <a:ext uri="{FF2B5EF4-FFF2-40B4-BE49-F238E27FC236}">
              <a16:creationId xmlns:a16="http://schemas.microsoft.com/office/drawing/2014/main" id="{00000000-0008-0000-1C00-000063000000}"/>
            </a:ext>
          </a:extLst>
        </xdr:cNvPr>
        <xdr:cNvCxnSpPr/>
      </xdr:nvCxnSpPr>
      <xdr:spPr>
        <a:xfrm>
          <a:off x="3238500" y="3286125"/>
          <a:ext cx="323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9525</xdr:colOff>
      <xdr:row>16</xdr:row>
      <xdr:rowOff>133350</xdr:rowOff>
    </xdr:from>
    <xdr:to>
      <xdr:col>9</xdr:col>
      <xdr:colOff>333375</xdr:colOff>
      <xdr:row>16</xdr:row>
      <xdr:rowOff>133350</xdr:rowOff>
    </xdr:to>
    <xdr:cxnSp macro="">
      <xdr:nvCxnSpPr>
        <xdr:cNvPr id="100" name="Straight Connector 99">
          <a:extLst>
            <a:ext uri="{FF2B5EF4-FFF2-40B4-BE49-F238E27FC236}">
              <a16:creationId xmlns:a16="http://schemas.microsoft.com/office/drawing/2014/main" id="{00000000-0008-0000-1C00-000064000000}"/>
            </a:ext>
          </a:extLst>
        </xdr:cNvPr>
        <xdr:cNvCxnSpPr/>
      </xdr:nvCxnSpPr>
      <xdr:spPr>
        <a:xfrm>
          <a:off x="3600450" y="3228975"/>
          <a:ext cx="323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19050</xdr:colOff>
      <xdr:row>16</xdr:row>
      <xdr:rowOff>66675</xdr:rowOff>
    </xdr:from>
    <xdr:to>
      <xdr:col>10</xdr:col>
      <xdr:colOff>333375</xdr:colOff>
      <xdr:row>16</xdr:row>
      <xdr:rowOff>66675</xdr:rowOff>
    </xdr:to>
    <xdr:cxnSp macro="">
      <xdr:nvCxnSpPr>
        <xdr:cNvPr id="101" name="Straight Connector 100">
          <a:extLst>
            <a:ext uri="{FF2B5EF4-FFF2-40B4-BE49-F238E27FC236}">
              <a16:creationId xmlns:a16="http://schemas.microsoft.com/office/drawing/2014/main" id="{00000000-0008-0000-1C00-000065000000}"/>
            </a:ext>
          </a:extLst>
        </xdr:cNvPr>
        <xdr:cNvCxnSpPr/>
      </xdr:nvCxnSpPr>
      <xdr:spPr>
        <a:xfrm>
          <a:off x="3952875" y="3162300"/>
          <a:ext cx="3143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38100</xdr:colOff>
      <xdr:row>15</xdr:row>
      <xdr:rowOff>142875</xdr:rowOff>
    </xdr:from>
    <xdr:to>
      <xdr:col>11</xdr:col>
      <xdr:colOff>361950</xdr:colOff>
      <xdr:row>15</xdr:row>
      <xdr:rowOff>142875</xdr:rowOff>
    </xdr:to>
    <xdr:cxnSp macro="">
      <xdr:nvCxnSpPr>
        <xdr:cNvPr id="102" name="Straight Connector 101">
          <a:extLst>
            <a:ext uri="{FF2B5EF4-FFF2-40B4-BE49-F238E27FC236}">
              <a16:creationId xmlns:a16="http://schemas.microsoft.com/office/drawing/2014/main" id="{00000000-0008-0000-1C00-000066000000}"/>
            </a:ext>
          </a:extLst>
        </xdr:cNvPr>
        <xdr:cNvCxnSpPr/>
      </xdr:nvCxnSpPr>
      <xdr:spPr>
        <a:xfrm>
          <a:off x="4314825" y="3048000"/>
          <a:ext cx="32385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171450</xdr:colOff>
      <xdr:row>24</xdr:row>
      <xdr:rowOff>38100</xdr:rowOff>
    </xdr:from>
    <xdr:to>
      <xdr:col>5</xdr:col>
      <xdr:colOff>161925</xdr:colOff>
      <xdr:row>26</xdr:row>
      <xdr:rowOff>66676</xdr:rowOff>
    </xdr:to>
    <xdr:cxnSp macro="">
      <xdr:nvCxnSpPr>
        <xdr:cNvPr id="103" name="Straight Connector 102">
          <a:extLst>
            <a:ext uri="{FF2B5EF4-FFF2-40B4-BE49-F238E27FC236}">
              <a16:creationId xmlns:a16="http://schemas.microsoft.com/office/drawing/2014/main" id="{00000000-0008-0000-1C00-000067000000}"/>
            </a:ext>
          </a:extLst>
        </xdr:cNvPr>
        <xdr:cNvCxnSpPr/>
      </xdr:nvCxnSpPr>
      <xdr:spPr>
        <a:xfrm flipV="1">
          <a:off x="2000250" y="4657725"/>
          <a:ext cx="342900" cy="40957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161925</xdr:colOff>
      <xdr:row>19</xdr:row>
      <xdr:rowOff>9525</xdr:rowOff>
    </xdr:from>
    <xdr:to>
      <xdr:col>6</xdr:col>
      <xdr:colOff>209550</xdr:colOff>
      <xdr:row>24</xdr:row>
      <xdr:rowOff>76202</xdr:rowOff>
    </xdr:to>
    <xdr:cxnSp macro="">
      <xdr:nvCxnSpPr>
        <xdr:cNvPr id="104" name="Straight Connector 103">
          <a:extLst>
            <a:ext uri="{FF2B5EF4-FFF2-40B4-BE49-F238E27FC236}">
              <a16:creationId xmlns:a16="http://schemas.microsoft.com/office/drawing/2014/main" id="{00000000-0008-0000-1C00-000068000000}"/>
            </a:ext>
          </a:extLst>
        </xdr:cNvPr>
        <xdr:cNvCxnSpPr/>
      </xdr:nvCxnSpPr>
      <xdr:spPr>
        <a:xfrm flipV="1">
          <a:off x="2343150" y="3676650"/>
          <a:ext cx="400050" cy="101917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247650</xdr:colOff>
      <xdr:row>17</xdr:row>
      <xdr:rowOff>152400</xdr:rowOff>
    </xdr:from>
    <xdr:to>
      <xdr:col>7</xdr:col>
      <xdr:colOff>209550</xdr:colOff>
      <xdr:row>19</xdr:row>
      <xdr:rowOff>0</xdr:rowOff>
    </xdr:to>
    <xdr:cxnSp macro="">
      <xdr:nvCxnSpPr>
        <xdr:cNvPr id="105" name="Straight Connector 104">
          <a:extLst>
            <a:ext uri="{FF2B5EF4-FFF2-40B4-BE49-F238E27FC236}">
              <a16:creationId xmlns:a16="http://schemas.microsoft.com/office/drawing/2014/main" id="{00000000-0008-0000-1C00-000069000000}"/>
            </a:ext>
          </a:extLst>
        </xdr:cNvPr>
        <xdr:cNvCxnSpPr/>
      </xdr:nvCxnSpPr>
      <xdr:spPr>
        <a:xfrm flipV="1">
          <a:off x="2781300" y="3438525"/>
          <a:ext cx="314325" cy="2286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Technic">
      <a:dk1>
        <a:sysClr val="windowText" lastClr="000000"/>
      </a:dk1>
      <a:lt1>
        <a:sysClr val="window" lastClr="FFFFFF"/>
      </a:lt1>
      <a:dk2>
        <a:srgbClr val="3B3B3B"/>
      </a:dk2>
      <a:lt2>
        <a:srgbClr val="D4D2D0"/>
      </a:lt2>
      <a:accent1>
        <a:srgbClr val="6EA0B0"/>
      </a:accent1>
      <a:accent2>
        <a:srgbClr val="CCAF0A"/>
      </a:accent2>
      <a:accent3>
        <a:srgbClr val="8D89A4"/>
      </a:accent3>
      <a:accent4>
        <a:srgbClr val="748560"/>
      </a:accent4>
      <a:accent5>
        <a:srgbClr val="9E9273"/>
      </a:accent5>
      <a:accent6>
        <a:srgbClr val="7E848D"/>
      </a:accent6>
      <a:hlink>
        <a:srgbClr val="00C8C3"/>
      </a:hlink>
      <a:folHlink>
        <a:srgbClr val="A116E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0.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pageSetUpPr fitToPage="1"/>
  </sheetPr>
  <dimension ref="A1:Q47"/>
  <sheetViews>
    <sheetView zoomScale="50" zoomScaleNormal="50" workbookViewId="0">
      <selection activeCell="A4" sqref="A4"/>
    </sheetView>
  </sheetViews>
  <sheetFormatPr defaultColWidth="9.140625" defaultRowHeight="15.75" x14ac:dyDescent="0.25"/>
  <cols>
    <col min="1" max="1" width="10.5703125" style="172" customWidth="1"/>
    <col min="2" max="2" width="13.5703125" style="172" customWidth="1"/>
    <col min="3" max="3" width="4.5703125" style="172" customWidth="1"/>
    <col min="4" max="4" width="11.42578125" style="172" customWidth="1"/>
    <col min="5" max="5" width="9.140625" style="172"/>
    <col min="6" max="6" width="1.85546875" style="172" customWidth="1"/>
    <col min="7" max="9" width="9.140625" style="172"/>
    <col min="10" max="10" width="10.5703125" style="172" customWidth="1"/>
    <col min="11" max="16384" width="9.140625" style="172"/>
  </cols>
  <sheetData>
    <row r="1" spans="1:10" x14ac:dyDescent="0.25">
      <c r="J1" s="214"/>
    </row>
    <row r="2" spans="1:10" ht="6" customHeight="1" thickBot="1" x14ac:dyDescent="0.3">
      <c r="J2" s="215"/>
    </row>
    <row r="3" spans="1:10" ht="15.75" customHeight="1" x14ac:dyDescent="0.25">
      <c r="A3" s="216"/>
      <c r="B3" s="746"/>
      <c r="C3" s="746"/>
      <c r="D3" s="746"/>
      <c r="E3" s="746"/>
      <c r="F3" s="746"/>
      <c r="G3" s="746"/>
      <c r="H3" s="746"/>
      <c r="I3" s="746"/>
      <c r="J3" s="217"/>
    </row>
    <row r="4" spans="1:10" x14ac:dyDescent="0.25">
      <c r="A4" s="218"/>
      <c r="J4" s="219"/>
    </row>
    <row r="5" spans="1:10" ht="22.5" x14ac:dyDescent="0.3">
      <c r="A5" s="759" t="s">
        <v>334</v>
      </c>
      <c r="B5" s="760"/>
      <c r="C5" s="760"/>
      <c r="D5" s="760"/>
      <c r="E5" s="760"/>
      <c r="F5" s="760"/>
      <c r="G5" s="760"/>
      <c r="H5" s="760"/>
      <c r="I5" s="760"/>
      <c r="J5" s="761"/>
    </row>
    <row r="6" spans="1:10" ht="27" x14ac:dyDescent="0.25">
      <c r="A6" s="747" t="s">
        <v>37</v>
      </c>
      <c r="B6" s="748"/>
      <c r="C6" s="748"/>
      <c r="D6" s="748"/>
      <c r="E6" s="748"/>
      <c r="F6" s="748"/>
      <c r="G6" s="748"/>
      <c r="H6" s="748"/>
      <c r="I6" s="748"/>
      <c r="J6" s="749"/>
    </row>
    <row r="7" spans="1:10" ht="34.5" x14ac:dyDescent="0.25">
      <c r="A7" s="756" t="s">
        <v>136</v>
      </c>
      <c r="B7" s="757"/>
      <c r="C7" s="757"/>
      <c r="D7" s="757"/>
      <c r="E7" s="757"/>
      <c r="F7" s="757"/>
      <c r="G7" s="757"/>
      <c r="H7" s="757"/>
      <c r="I7" s="757"/>
      <c r="J7" s="758"/>
    </row>
    <row r="8" spans="1:10" x14ac:dyDescent="0.25">
      <c r="A8" s="218"/>
      <c r="J8" s="219"/>
    </row>
    <row r="9" spans="1:10" x14ac:dyDescent="0.25">
      <c r="A9" s="218"/>
      <c r="D9" s="201"/>
      <c r="J9" s="219"/>
    </row>
    <row r="10" spans="1:10" x14ac:dyDescent="0.25">
      <c r="A10" s="218"/>
      <c r="D10" s="201"/>
      <c r="J10" s="219"/>
    </row>
    <row r="11" spans="1:10" x14ac:dyDescent="0.25">
      <c r="A11" s="218"/>
      <c r="D11" s="201"/>
      <c r="J11" s="219"/>
    </row>
    <row r="12" spans="1:10" x14ac:dyDescent="0.25">
      <c r="A12" s="218"/>
      <c r="D12" s="201"/>
      <c r="J12" s="219"/>
    </row>
    <row r="13" spans="1:10" x14ac:dyDescent="0.25">
      <c r="A13" s="218"/>
      <c r="D13" s="201"/>
      <c r="J13" s="219"/>
    </row>
    <row r="14" spans="1:10" x14ac:dyDescent="0.25">
      <c r="A14" s="218"/>
      <c r="D14" s="201"/>
      <c r="J14" s="219"/>
    </row>
    <row r="15" spans="1:10" x14ac:dyDescent="0.25">
      <c r="A15" s="218"/>
      <c r="D15" s="201"/>
      <c r="J15" s="219"/>
    </row>
    <row r="16" spans="1:10" x14ac:dyDescent="0.25">
      <c r="A16" s="218"/>
      <c r="J16" s="219"/>
    </row>
    <row r="17" spans="1:12" x14ac:dyDescent="0.25">
      <c r="A17" s="218"/>
      <c r="J17" s="219"/>
    </row>
    <row r="18" spans="1:12" x14ac:dyDescent="0.25">
      <c r="A18" s="218"/>
      <c r="J18" s="219"/>
    </row>
    <row r="19" spans="1:12" x14ac:dyDescent="0.25">
      <c r="A19" s="218"/>
      <c r="J19" s="219"/>
    </row>
    <row r="20" spans="1:12" x14ac:dyDescent="0.25">
      <c r="A20" s="218"/>
      <c r="J20" s="219"/>
    </row>
    <row r="21" spans="1:12" x14ac:dyDescent="0.25">
      <c r="A21" s="218"/>
      <c r="J21" s="219"/>
    </row>
    <row r="22" spans="1:12" x14ac:dyDescent="0.25">
      <c r="A22" s="218"/>
      <c r="J22" s="219"/>
    </row>
    <row r="23" spans="1:12" x14ac:dyDescent="0.25">
      <c r="A23" s="218"/>
      <c r="J23" s="219"/>
    </row>
    <row r="24" spans="1:12" ht="18.75" x14ac:dyDescent="0.3">
      <c r="A24" s="750" t="s">
        <v>869</v>
      </c>
      <c r="B24" s="751"/>
      <c r="C24" s="751"/>
      <c r="D24" s="751"/>
      <c r="E24" s="751"/>
      <c r="F24" s="751"/>
      <c r="G24" s="751"/>
      <c r="H24" s="751"/>
      <c r="I24" s="751"/>
      <c r="J24" s="752"/>
    </row>
    <row r="25" spans="1:12" ht="18.75" x14ac:dyDescent="0.3">
      <c r="A25" s="220"/>
      <c r="B25" s="148"/>
      <c r="C25" s="148"/>
      <c r="D25" s="148"/>
      <c r="E25" s="148"/>
      <c r="F25" s="148"/>
      <c r="G25" s="148"/>
      <c r="H25" s="148"/>
      <c r="I25" s="148"/>
      <c r="J25" s="221"/>
    </row>
    <row r="26" spans="1:12" ht="18.75" x14ac:dyDescent="0.3">
      <c r="A26" s="220"/>
      <c r="B26" s="148"/>
      <c r="C26" s="148"/>
      <c r="D26" s="148"/>
      <c r="E26" s="148"/>
      <c r="F26" s="148"/>
      <c r="G26" s="148"/>
      <c r="H26" s="148"/>
      <c r="I26" s="148"/>
      <c r="J26" s="221"/>
    </row>
    <row r="27" spans="1:12" ht="18.75" x14ac:dyDescent="0.3">
      <c r="A27" s="220"/>
      <c r="B27" s="222" t="s">
        <v>594</v>
      </c>
      <c r="C27" s="223"/>
      <c r="D27" s="223"/>
      <c r="E27" s="148" t="s">
        <v>703</v>
      </c>
      <c r="G27" s="148"/>
      <c r="H27" s="148"/>
      <c r="I27" s="148"/>
      <c r="J27" s="221"/>
    </row>
    <row r="28" spans="1:12" ht="18.75" x14ac:dyDescent="0.3">
      <c r="A28" s="220"/>
      <c r="B28" s="223"/>
      <c r="C28" s="223"/>
      <c r="D28" s="223"/>
      <c r="E28" s="148"/>
      <c r="G28" s="148"/>
      <c r="H28" s="148"/>
      <c r="I28" s="148"/>
      <c r="J28" s="221"/>
      <c r="L28" s="25"/>
    </row>
    <row r="29" spans="1:12" ht="18.75" x14ac:dyDescent="0.3">
      <c r="A29" s="220"/>
      <c r="B29" s="222" t="s">
        <v>597</v>
      </c>
      <c r="C29" s="223"/>
      <c r="D29" s="223"/>
      <c r="E29" s="148" t="s">
        <v>702</v>
      </c>
      <c r="G29" s="148"/>
      <c r="H29" s="148"/>
      <c r="I29" s="148"/>
      <c r="J29" s="221"/>
      <c r="L29" s="25"/>
    </row>
    <row r="30" spans="1:12" ht="18.75" x14ac:dyDescent="0.3">
      <c r="A30" s="220"/>
      <c r="B30" s="222"/>
      <c r="C30" s="223"/>
      <c r="D30" s="223"/>
      <c r="E30" s="148"/>
      <c r="G30" s="148"/>
      <c r="H30" s="148"/>
      <c r="I30" s="148"/>
      <c r="J30" s="221"/>
    </row>
    <row r="31" spans="1:12" ht="18.75" x14ac:dyDescent="0.3">
      <c r="A31" s="220"/>
      <c r="B31" s="222" t="s">
        <v>38</v>
      </c>
      <c r="C31" s="223"/>
      <c r="D31" s="223"/>
      <c r="E31" s="148" t="s">
        <v>698</v>
      </c>
      <c r="G31" s="148"/>
      <c r="H31" s="148"/>
      <c r="I31" s="148"/>
      <c r="J31" s="221"/>
    </row>
    <row r="32" spans="1:12" ht="18.75" x14ac:dyDescent="0.3">
      <c r="A32" s="220"/>
      <c r="B32" s="222"/>
      <c r="C32" s="223"/>
      <c r="D32" s="223"/>
      <c r="E32" s="148"/>
      <c r="G32" s="148"/>
      <c r="H32" s="148"/>
      <c r="I32" s="148"/>
      <c r="J32" s="221"/>
    </row>
    <row r="33" spans="1:17" ht="18.75" x14ac:dyDescent="0.3">
      <c r="A33" s="220"/>
      <c r="B33" s="222" t="s">
        <v>39</v>
      </c>
      <c r="C33" s="223"/>
      <c r="D33" s="223"/>
      <c r="E33" s="148" t="s">
        <v>866</v>
      </c>
      <c r="G33" s="148"/>
      <c r="H33" s="148"/>
      <c r="I33" s="148"/>
      <c r="J33" s="221"/>
    </row>
    <row r="34" spans="1:17" ht="18.75" x14ac:dyDescent="0.3">
      <c r="A34" s="220"/>
      <c r="B34" s="224"/>
      <c r="C34" s="223"/>
      <c r="D34" s="223"/>
      <c r="E34" s="148"/>
      <c r="F34" s="148"/>
      <c r="G34" s="148"/>
      <c r="H34" s="148"/>
      <c r="I34" s="148"/>
      <c r="J34" s="221"/>
      <c r="N34" s="28"/>
    </row>
    <row r="35" spans="1:17" ht="18.75" x14ac:dyDescent="0.3">
      <c r="A35" s="220"/>
      <c r="B35" s="222" t="s">
        <v>104</v>
      </c>
      <c r="C35" s="223"/>
      <c r="D35" s="223"/>
      <c r="E35" s="169" t="s">
        <v>1062</v>
      </c>
      <c r="G35" s="148"/>
      <c r="J35" s="221"/>
      <c r="N35" s="28"/>
    </row>
    <row r="36" spans="1:17" ht="18.75" x14ac:dyDescent="0.3">
      <c r="A36" s="220"/>
      <c r="C36" s="223"/>
      <c r="D36" s="223"/>
      <c r="G36" s="148"/>
      <c r="H36" s="148"/>
      <c r="I36" s="148"/>
      <c r="J36" s="221"/>
      <c r="N36" s="27"/>
    </row>
    <row r="37" spans="1:17" ht="18.75" x14ac:dyDescent="0.3">
      <c r="A37" s="220"/>
      <c r="B37" s="222" t="s">
        <v>40</v>
      </c>
      <c r="C37" s="223"/>
      <c r="D37" s="223"/>
      <c r="E37" s="169" t="s">
        <v>868</v>
      </c>
      <c r="G37" s="148"/>
      <c r="H37" s="148"/>
      <c r="I37" s="148"/>
      <c r="J37" s="221"/>
      <c r="N37" s="28"/>
    </row>
    <row r="38" spans="1:17" ht="18.75" x14ac:dyDescent="0.3">
      <c r="A38" s="220"/>
      <c r="B38" s="222"/>
      <c r="C38" s="223"/>
      <c r="D38" s="223"/>
      <c r="E38" s="148"/>
      <c r="G38" s="148"/>
      <c r="H38" s="148"/>
      <c r="I38" s="148"/>
      <c r="J38" s="221"/>
      <c r="Q38" s="148"/>
    </row>
    <row r="39" spans="1:17" ht="18.75" x14ac:dyDescent="0.3">
      <c r="A39" s="220"/>
      <c r="B39" s="222" t="s">
        <v>867</v>
      </c>
      <c r="C39" s="223"/>
      <c r="D39" s="223"/>
      <c r="E39" s="148" t="s">
        <v>1151</v>
      </c>
      <c r="G39" s="148"/>
      <c r="H39" s="148"/>
      <c r="I39" s="148"/>
      <c r="J39" s="221"/>
      <c r="M39" s="28"/>
    </row>
    <row r="40" spans="1:17" ht="18.75" x14ac:dyDescent="0.3">
      <c r="A40" s="220"/>
      <c r="J40" s="221"/>
      <c r="M40" s="28"/>
    </row>
    <row r="41" spans="1:17" ht="18.75" x14ac:dyDescent="0.3">
      <c r="A41" s="220"/>
      <c r="B41" s="222" t="s">
        <v>1152</v>
      </c>
      <c r="C41" s="148"/>
      <c r="D41" s="148"/>
      <c r="E41" s="148" t="s">
        <v>1153</v>
      </c>
      <c r="F41" s="148"/>
      <c r="G41" s="148"/>
      <c r="H41" s="148"/>
      <c r="I41" s="148"/>
      <c r="J41" s="221"/>
      <c r="M41" s="27"/>
    </row>
    <row r="42" spans="1:17" ht="18.75" x14ac:dyDescent="0.3">
      <c r="A42" s="220"/>
      <c r="B42" s="148"/>
      <c r="C42" s="148"/>
      <c r="D42" s="148"/>
      <c r="E42" s="148"/>
      <c r="F42" s="148"/>
      <c r="G42" s="148"/>
      <c r="H42" s="148"/>
      <c r="I42" s="148"/>
      <c r="J42" s="221"/>
    </row>
    <row r="43" spans="1:17" ht="25.5" x14ac:dyDescent="0.35">
      <c r="A43" s="753" t="s">
        <v>35</v>
      </c>
      <c r="B43" s="754"/>
      <c r="C43" s="754"/>
      <c r="D43" s="754"/>
      <c r="E43" s="754"/>
      <c r="F43" s="754"/>
      <c r="G43" s="754"/>
      <c r="H43" s="754"/>
      <c r="I43" s="754"/>
      <c r="J43" s="755"/>
    </row>
    <row r="44" spans="1:17" ht="18.75" x14ac:dyDescent="0.3">
      <c r="A44" s="743" t="s">
        <v>132</v>
      </c>
      <c r="B44" s="744"/>
      <c r="C44" s="744"/>
      <c r="D44" s="744"/>
      <c r="E44" s="744"/>
      <c r="F44" s="744"/>
      <c r="G44" s="744"/>
      <c r="H44" s="744"/>
      <c r="I44" s="744"/>
      <c r="J44" s="745"/>
    </row>
    <row r="45" spans="1:17" ht="18.75" x14ac:dyDescent="0.3">
      <c r="A45" s="743" t="s">
        <v>133</v>
      </c>
      <c r="B45" s="744"/>
      <c r="C45" s="744"/>
      <c r="D45" s="744"/>
      <c r="E45" s="744"/>
      <c r="F45" s="744"/>
      <c r="G45" s="744"/>
      <c r="H45" s="744"/>
      <c r="I45" s="744"/>
      <c r="J45" s="745"/>
    </row>
    <row r="46" spans="1:17" x14ac:dyDescent="0.25">
      <c r="A46" s="218"/>
      <c r="J46" s="219"/>
    </row>
    <row r="47" spans="1:17" ht="16.5" thickBot="1" x14ac:dyDescent="0.3">
      <c r="A47" s="225"/>
      <c r="B47" s="226"/>
      <c r="C47" s="226"/>
      <c r="D47" s="226"/>
      <c r="E47" s="226"/>
      <c r="F47" s="226"/>
      <c r="G47" s="226"/>
      <c r="H47" s="226"/>
      <c r="I47" s="226"/>
      <c r="J47" s="227"/>
    </row>
  </sheetData>
  <mergeCells count="8">
    <mergeCell ref="A45:J45"/>
    <mergeCell ref="A44:J44"/>
    <mergeCell ref="B3:I3"/>
    <mergeCell ref="A6:J6"/>
    <mergeCell ref="A24:J24"/>
    <mergeCell ref="A43:J43"/>
    <mergeCell ref="A7:J7"/>
    <mergeCell ref="A5:J5"/>
  </mergeCells>
  <printOptions horizontalCentered="1" verticalCentered="1"/>
  <pageMargins left="0.7" right="0.7" top="0.75" bottom="0.75" header="0.3" footer="0.3"/>
  <pageSetup paperSize="9" scale="90" orientation="portrait" horizontalDpi="4294967293"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H29"/>
  <sheetViews>
    <sheetView topLeftCell="A4" zoomScale="106" zoomScaleNormal="50" workbookViewId="0">
      <selection activeCell="K8" sqref="K8"/>
    </sheetView>
  </sheetViews>
  <sheetFormatPr defaultColWidth="9.140625" defaultRowHeight="18" x14ac:dyDescent="0.25"/>
  <cols>
    <col min="1" max="1" width="4.42578125" style="1" customWidth="1"/>
    <col min="2" max="2" width="26.42578125" style="1" customWidth="1"/>
    <col min="3" max="3" width="6" style="1" customWidth="1"/>
    <col min="4" max="4" width="6.42578125" style="1" customWidth="1"/>
    <col min="5" max="5" width="26.140625" style="1" customWidth="1"/>
    <col min="6" max="6" width="10.85546875" style="1" hidden="1" customWidth="1"/>
    <col min="7" max="7" width="13.140625" style="1" customWidth="1"/>
    <col min="8" max="16384" width="9.140625" style="1"/>
  </cols>
  <sheetData>
    <row r="1" spans="1:8" ht="25.5" x14ac:dyDescent="0.35">
      <c r="A1" s="754" t="s">
        <v>84</v>
      </c>
      <c r="B1" s="754"/>
      <c r="C1" s="754"/>
      <c r="D1" s="754"/>
      <c r="E1" s="754"/>
      <c r="F1" s="754"/>
      <c r="G1" s="754"/>
    </row>
    <row r="2" spans="1:8" ht="25.5" x14ac:dyDescent="0.35">
      <c r="A2" s="754" t="s">
        <v>35</v>
      </c>
      <c r="B2" s="754"/>
      <c r="C2" s="754"/>
      <c r="D2" s="754"/>
      <c r="E2" s="754"/>
      <c r="F2" s="754"/>
      <c r="G2" s="754"/>
    </row>
    <row r="3" spans="1:8" ht="20.25" x14ac:dyDescent="0.3">
      <c r="A3" s="763" t="s">
        <v>85</v>
      </c>
      <c r="B3" s="763"/>
      <c r="C3" s="763"/>
      <c r="D3" s="763"/>
      <c r="E3" s="763"/>
      <c r="F3" s="763"/>
      <c r="G3" s="763"/>
    </row>
    <row r="4" spans="1:8" ht="57.75" customHeight="1" x14ac:dyDescent="0.25">
      <c r="A4" s="458"/>
      <c r="B4" s="765" t="s">
        <v>335</v>
      </c>
      <c r="C4" s="765"/>
      <c r="D4" s="765"/>
      <c r="E4" s="765"/>
      <c r="F4" s="765"/>
      <c r="G4" s="765"/>
    </row>
    <row r="5" spans="1:8" ht="20.25" x14ac:dyDescent="0.3">
      <c r="A5" s="763" t="s">
        <v>86</v>
      </c>
      <c r="B5" s="763"/>
      <c r="C5" s="763"/>
      <c r="D5" s="763"/>
      <c r="E5" s="763"/>
      <c r="F5" s="763"/>
      <c r="G5" s="763"/>
    </row>
    <row r="6" spans="1:8" ht="37.5" customHeight="1" x14ac:dyDescent="0.25">
      <c r="A6" s="459">
        <v>1</v>
      </c>
      <c r="B6" s="762" t="s">
        <v>336</v>
      </c>
      <c r="C6" s="762"/>
      <c r="D6" s="762"/>
      <c r="E6" s="762"/>
      <c r="F6" s="762"/>
      <c r="G6" s="762"/>
    </row>
    <row r="7" spans="1:8" ht="42" customHeight="1" x14ac:dyDescent="0.25">
      <c r="A7" s="459">
        <v>2</v>
      </c>
      <c r="B7" s="762" t="s">
        <v>337</v>
      </c>
      <c r="C7" s="762"/>
      <c r="D7" s="762"/>
      <c r="E7" s="762"/>
      <c r="F7" s="762"/>
      <c r="G7" s="762"/>
      <c r="H7" s="228"/>
    </row>
    <row r="8" spans="1:8" ht="43.5" customHeight="1" x14ac:dyDescent="0.25">
      <c r="A8" s="459">
        <v>3</v>
      </c>
      <c r="B8" s="762" t="s">
        <v>338</v>
      </c>
      <c r="C8" s="762"/>
      <c r="D8" s="762"/>
      <c r="E8" s="762"/>
      <c r="F8" s="762"/>
      <c r="G8" s="762"/>
      <c r="H8" s="228"/>
    </row>
    <row r="9" spans="1:8" ht="39.75" customHeight="1" x14ac:dyDescent="0.3">
      <c r="A9" s="459">
        <v>4</v>
      </c>
      <c r="B9" s="764" t="s">
        <v>339</v>
      </c>
      <c r="C9" s="764"/>
      <c r="D9" s="764"/>
      <c r="E9" s="764"/>
      <c r="F9" s="764"/>
      <c r="G9" s="764"/>
      <c r="H9" s="228"/>
    </row>
    <row r="10" spans="1:8" ht="39" customHeight="1" x14ac:dyDescent="0.3">
      <c r="A10" s="459">
        <v>5</v>
      </c>
      <c r="B10" s="764" t="s">
        <v>340</v>
      </c>
      <c r="C10" s="764"/>
      <c r="D10" s="764"/>
      <c r="E10" s="764"/>
      <c r="F10" s="764"/>
      <c r="G10" s="764"/>
    </row>
    <row r="11" spans="1:8" ht="30" customHeight="1" x14ac:dyDescent="0.3">
      <c r="A11" s="460"/>
      <c r="B11" s="460"/>
      <c r="C11" s="460"/>
      <c r="D11" s="460"/>
      <c r="E11" s="460"/>
      <c r="F11" s="460"/>
      <c r="G11" s="460"/>
    </row>
    <row r="12" spans="1:8" ht="20.25" x14ac:dyDescent="0.3">
      <c r="A12" s="763" t="s">
        <v>87</v>
      </c>
      <c r="B12" s="763"/>
      <c r="C12" s="763"/>
      <c r="D12" s="763"/>
      <c r="E12" s="763"/>
      <c r="F12" s="763"/>
      <c r="G12" s="763"/>
    </row>
    <row r="13" spans="1:8" ht="12" customHeight="1" x14ac:dyDescent="0.3">
      <c r="A13" s="460"/>
      <c r="B13" s="460"/>
      <c r="C13" s="460"/>
      <c r="D13" s="460"/>
      <c r="E13" s="460"/>
      <c r="F13" s="460"/>
      <c r="G13" s="460"/>
    </row>
    <row r="14" spans="1:8" ht="24" customHeight="1" x14ac:dyDescent="0.25">
      <c r="A14" s="459">
        <v>1</v>
      </c>
      <c r="B14" s="762" t="s">
        <v>342</v>
      </c>
      <c r="C14" s="762"/>
      <c r="D14" s="762"/>
      <c r="E14" s="762"/>
      <c r="F14" s="762"/>
      <c r="G14" s="762"/>
    </row>
    <row r="15" spans="1:8" ht="39" customHeight="1" x14ac:dyDescent="0.25">
      <c r="A15" s="459">
        <v>2</v>
      </c>
      <c r="B15" s="762" t="s">
        <v>343</v>
      </c>
      <c r="C15" s="762"/>
      <c r="D15" s="762"/>
      <c r="E15" s="762"/>
      <c r="F15" s="762"/>
      <c r="G15" s="762"/>
    </row>
    <row r="16" spans="1:8" ht="39" customHeight="1" x14ac:dyDescent="0.25">
      <c r="A16" s="459">
        <v>3</v>
      </c>
      <c r="B16" s="762" t="s">
        <v>344</v>
      </c>
      <c r="C16" s="762"/>
      <c r="D16" s="762"/>
      <c r="E16" s="762"/>
      <c r="F16" s="762"/>
      <c r="G16" s="762"/>
    </row>
    <row r="17" spans="1:7" ht="24" customHeight="1" x14ac:dyDescent="0.25">
      <c r="A17" s="459">
        <v>4</v>
      </c>
      <c r="B17" s="762" t="s">
        <v>345</v>
      </c>
      <c r="C17" s="762"/>
      <c r="D17" s="762"/>
      <c r="E17" s="762"/>
      <c r="F17" s="762"/>
      <c r="G17" s="762"/>
    </row>
    <row r="18" spans="1:7" ht="38.25" customHeight="1" x14ac:dyDescent="0.25">
      <c r="A18" s="459">
        <v>5</v>
      </c>
      <c r="B18" s="762" t="s">
        <v>346</v>
      </c>
      <c r="C18" s="762"/>
      <c r="D18" s="762"/>
      <c r="E18" s="762"/>
      <c r="F18" s="762"/>
      <c r="G18" s="762"/>
    </row>
    <row r="19" spans="1:7" ht="34.5" customHeight="1" x14ac:dyDescent="0.3">
      <c r="A19" s="459">
        <v>6</v>
      </c>
      <c r="B19" s="764" t="s">
        <v>341</v>
      </c>
      <c r="C19" s="764"/>
      <c r="D19" s="764"/>
      <c r="E19" s="764"/>
      <c r="F19" s="764"/>
      <c r="G19" s="764"/>
    </row>
    <row r="20" spans="1:7" ht="30" customHeight="1" x14ac:dyDescent="0.3">
      <c r="A20" s="460"/>
      <c r="B20" s="460"/>
      <c r="C20" s="460"/>
      <c r="D20" s="460"/>
      <c r="E20" s="460"/>
      <c r="F20" s="460"/>
      <c r="G20" s="460"/>
    </row>
    <row r="21" spans="1:7" ht="20.25" x14ac:dyDescent="0.3">
      <c r="A21" s="763" t="s">
        <v>88</v>
      </c>
      <c r="B21" s="763"/>
      <c r="C21" s="763"/>
      <c r="D21" s="763"/>
      <c r="E21" s="763"/>
      <c r="F21" s="763"/>
      <c r="G21" s="763"/>
    </row>
    <row r="22" spans="1:7" ht="12" customHeight="1" x14ac:dyDescent="0.3">
      <c r="A22" s="148"/>
      <c r="B22" s="460"/>
      <c r="C22" s="460"/>
      <c r="D22" s="460"/>
      <c r="E22" s="460"/>
      <c r="F22" s="460"/>
      <c r="G22" s="460"/>
    </row>
    <row r="23" spans="1:7" ht="18.75" x14ac:dyDescent="0.3">
      <c r="A23" s="461" t="s">
        <v>66</v>
      </c>
      <c r="B23" s="462" t="s">
        <v>69</v>
      </c>
      <c r="C23" s="463"/>
      <c r="D23" s="461" t="s">
        <v>78</v>
      </c>
      <c r="E23" s="462" t="s">
        <v>74</v>
      </c>
      <c r="F23" s="460"/>
      <c r="G23" s="460"/>
    </row>
    <row r="24" spans="1:7" ht="18.75" x14ac:dyDescent="0.3">
      <c r="A24" s="464" t="s">
        <v>1</v>
      </c>
      <c r="B24" s="465" t="s">
        <v>70</v>
      </c>
      <c r="C24" s="463"/>
      <c r="D24" s="464" t="s">
        <v>75</v>
      </c>
      <c r="E24" s="465" t="s">
        <v>103</v>
      </c>
      <c r="F24" s="460"/>
      <c r="G24" s="460"/>
    </row>
    <row r="25" spans="1:7" ht="18.75" x14ac:dyDescent="0.3">
      <c r="A25" s="464" t="s">
        <v>30</v>
      </c>
      <c r="B25" s="465" t="s">
        <v>71</v>
      </c>
      <c r="C25" s="463"/>
      <c r="D25" s="464" t="s">
        <v>29</v>
      </c>
      <c r="E25" s="465" t="s">
        <v>79</v>
      </c>
      <c r="F25" s="460"/>
      <c r="G25" s="460"/>
    </row>
    <row r="26" spans="1:7" ht="18.75" x14ac:dyDescent="0.3">
      <c r="A26" s="464" t="s">
        <v>67</v>
      </c>
      <c r="B26" s="466" t="s">
        <v>135</v>
      </c>
      <c r="C26" s="463"/>
      <c r="D26" s="464" t="s">
        <v>75</v>
      </c>
      <c r="E26" s="465" t="s">
        <v>80</v>
      </c>
      <c r="F26" s="460"/>
      <c r="G26" s="460"/>
    </row>
    <row r="27" spans="1:7" ht="18.75" x14ac:dyDescent="0.3">
      <c r="A27" s="464" t="s">
        <v>1</v>
      </c>
      <c r="B27" s="465" t="s">
        <v>72</v>
      </c>
      <c r="C27" s="463"/>
      <c r="D27" s="464" t="s">
        <v>76</v>
      </c>
      <c r="E27" s="465" t="s">
        <v>81</v>
      </c>
      <c r="F27" s="460"/>
      <c r="G27" s="460"/>
    </row>
    <row r="28" spans="1:7" ht="18.75" x14ac:dyDescent="0.3">
      <c r="A28" s="464" t="s">
        <v>68</v>
      </c>
      <c r="B28" s="465" t="s">
        <v>73</v>
      </c>
      <c r="C28" s="463"/>
      <c r="D28" s="464" t="s">
        <v>77</v>
      </c>
      <c r="E28" s="465" t="s">
        <v>82</v>
      </c>
      <c r="F28" s="460"/>
      <c r="G28" s="460"/>
    </row>
    <row r="29" spans="1:7" ht="18.75" x14ac:dyDescent="0.3">
      <c r="A29" s="467"/>
      <c r="B29" s="468"/>
      <c r="C29" s="460"/>
      <c r="D29" s="469" t="s">
        <v>30</v>
      </c>
      <c r="E29" s="470" t="s">
        <v>83</v>
      </c>
      <c r="F29" s="460"/>
      <c r="G29" s="460"/>
    </row>
  </sheetData>
  <mergeCells count="18">
    <mergeCell ref="A1:G1"/>
    <mergeCell ref="A2:G2"/>
    <mergeCell ref="A3:G3"/>
    <mergeCell ref="B10:G10"/>
    <mergeCell ref="B14:G14"/>
    <mergeCell ref="B9:G9"/>
    <mergeCell ref="B8:G8"/>
    <mergeCell ref="B4:G4"/>
    <mergeCell ref="A5:G5"/>
    <mergeCell ref="B6:G6"/>
    <mergeCell ref="B7:G7"/>
    <mergeCell ref="B15:G15"/>
    <mergeCell ref="A12:G12"/>
    <mergeCell ref="A21:G21"/>
    <mergeCell ref="B19:G19"/>
    <mergeCell ref="B18:G18"/>
    <mergeCell ref="B17:G17"/>
    <mergeCell ref="B16:G16"/>
  </mergeCells>
  <pageMargins left="1.1811023622047245" right="0.39370078740157483" top="0.98425196850393704" bottom="1.3779527559055118" header="0.31496062992125984" footer="0.31496062992125984"/>
  <pageSetup paperSize="5"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2" tint="-0.499984740745262"/>
  </sheetPr>
  <dimension ref="A2:E29"/>
  <sheetViews>
    <sheetView zoomScale="98" zoomScaleNormal="98" workbookViewId="0">
      <selection activeCell="B15" sqref="B15"/>
    </sheetView>
  </sheetViews>
  <sheetFormatPr defaultRowHeight="15" x14ac:dyDescent="0.25"/>
  <cols>
    <col min="1" max="1" width="6" customWidth="1"/>
    <col min="2" max="2" width="39.5703125" customWidth="1"/>
  </cols>
  <sheetData>
    <row r="2" spans="1:5" ht="18.75" x14ac:dyDescent="0.3">
      <c r="A2" s="744" t="s">
        <v>312</v>
      </c>
      <c r="B2" s="744"/>
    </row>
    <row r="4" spans="1:5" ht="20.100000000000001" customHeight="1" x14ac:dyDescent="0.25">
      <c r="A4" s="24">
        <v>1</v>
      </c>
      <c r="B4" s="26" t="s">
        <v>307</v>
      </c>
      <c r="C4" s="455"/>
      <c r="D4" s="455"/>
      <c r="E4" s="455"/>
    </row>
    <row r="5" spans="1:5" ht="20.100000000000001" customHeight="1" x14ac:dyDescent="0.25">
      <c r="A5" s="24">
        <v>2</v>
      </c>
      <c r="B5" s="26" t="s">
        <v>308</v>
      </c>
      <c r="C5" s="455"/>
      <c r="D5" s="455"/>
      <c r="E5" s="455"/>
    </row>
    <row r="6" spans="1:5" ht="20.100000000000001" customHeight="1" x14ac:dyDescent="0.25">
      <c r="A6" s="24">
        <v>3</v>
      </c>
      <c r="B6" s="26" t="s">
        <v>309</v>
      </c>
      <c r="C6" s="455"/>
      <c r="D6" s="455"/>
      <c r="E6" s="455"/>
    </row>
    <row r="7" spans="1:5" ht="20.100000000000001" customHeight="1" x14ac:dyDescent="0.25">
      <c r="A7" s="24">
        <v>4</v>
      </c>
      <c r="B7" s="26" t="s">
        <v>310</v>
      </c>
      <c r="C7" s="455"/>
      <c r="D7" s="455"/>
      <c r="E7" s="455"/>
    </row>
    <row r="8" spans="1:5" ht="20.100000000000001" customHeight="1" x14ac:dyDescent="0.25">
      <c r="A8" s="24">
        <v>5</v>
      </c>
      <c r="B8" s="26" t="s">
        <v>311</v>
      </c>
      <c r="C8" s="455"/>
      <c r="D8" s="455"/>
      <c r="E8" s="455"/>
    </row>
    <row r="9" spans="1:5" ht="20.100000000000001" customHeight="1" x14ac:dyDescent="0.25">
      <c r="A9" s="24">
        <v>6</v>
      </c>
      <c r="B9" s="26" t="s">
        <v>613</v>
      </c>
      <c r="C9" s="455"/>
      <c r="D9" s="455"/>
      <c r="E9" s="455"/>
    </row>
    <row r="10" spans="1:5" ht="20.100000000000001" customHeight="1" x14ac:dyDescent="0.25">
      <c r="A10" s="24">
        <v>7</v>
      </c>
      <c r="B10" s="26" t="s">
        <v>668</v>
      </c>
      <c r="C10" s="455"/>
      <c r="D10" s="455"/>
      <c r="E10" s="455"/>
    </row>
    <row r="11" spans="1:5" ht="20.100000000000001" customHeight="1" x14ac:dyDescent="0.25">
      <c r="A11" s="24">
        <v>8</v>
      </c>
      <c r="B11" s="26" t="s">
        <v>669</v>
      </c>
      <c r="C11" s="455"/>
      <c r="D11" s="455"/>
      <c r="E11" s="455"/>
    </row>
    <row r="12" spans="1:5" ht="20.100000000000001" customHeight="1" x14ac:dyDescent="0.25">
      <c r="A12" s="24">
        <v>9</v>
      </c>
      <c r="B12" s="456" t="s">
        <v>670</v>
      </c>
      <c r="C12" s="455"/>
      <c r="D12" s="455"/>
      <c r="E12" s="455"/>
    </row>
    <row r="13" spans="1:5" ht="20.100000000000001" customHeight="1" x14ac:dyDescent="0.25">
      <c r="A13" s="24">
        <v>10</v>
      </c>
      <c r="B13" s="456" t="s">
        <v>614</v>
      </c>
      <c r="C13" s="455"/>
      <c r="D13" s="455"/>
      <c r="E13" s="455"/>
    </row>
    <row r="14" spans="1:5" ht="20.100000000000001" customHeight="1" x14ac:dyDescent="0.25">
      <c r="A14" s="24">
        <v>11</v>
      </c>
      <c r="B14" s="456" t="s">
        <v>671</v>
      </c>
      <c r="C14" s="455"/>
      <c r="D14" s="455"/>
      <c r="E14" s="455"/>
    </row>
    <row r="15" spans="1:5" ht="20.100000000000001" customHeight="1" x14ac:dyDescent="0.25">
      <c r="A15" s="24">
        <v>12</v>
      </c>
      <c r="B15" s="456" t="s">
        <v>672</v>
      </c>
      <c r="C15" s="455"/>
      <c r="D15" s="455"/>
      <c r="E15" s="455"/>
    </row>
    <row r="16" spans="1:5" ht="20.100000000000001" customHeight="1" x14ac:dyDescent="0.25">
      <c r="A16" s="24">
        <v>13</v>
      </c>
      <c r="B16" s="456" t="s">
        <v>673</v>
      </c>
      <c r="C16" s="455"/>
      <c r="D16" s="455"/>
      <c r="E16" s="455"/>
    </row>
    <row r="17" spans="1:5" ht="20.100000000000001" customHeight="1" x14ac:dyDescent="0.25">
      <c r="A17" s="24">
        <v>14</v>
      </c>
      <c r="B17" s="456" t="s">
        <v>674</v>
      </c>
      <c r="C17" s="455"/>
      <c r="D17" s="455"/>
      <c r="E17" s="455"/>
    </row>
    <row r="18" spans="1:5" ht="20.100000000000001" customHeight="1" x14ac:dyDescent="0.25">
      <c r="A18" s="24">
        <v>15</v>
      </c>
      <c r="B18" s="456" t="s">
        <v>675</v>
      </c>
      <c r="C18" s="455"/>
      <c r="D18" s="455"/>
      <c r="E18" s="455"/>
    </row>
    <row r="19" spans="1:5" ht="20.100000000000001" customHeight="1" x14ac:dyDescent="0.25">
      <c r="A19" s="24">
        <v>16</v>
      </c>
      <c r="B19" s="456" t="s">
        <v>676</v>
      </c>
      <c r="C19" s="455"/>
      <c r="D19" s="455"/>
      <c r="E19" s="455"/>
    </row>
    <row r="20" spans="1:5" ht="20.100000000000001" customHeight="1" x14ac:dyDescent="0.25">
      <c r="A20" s="24">
        <v>17</v>
      </c>
      <c r="B20" s="456" t="s">
        <v>677</v>
      </c>
      <c r="C20" s="455"/>
      <c r="D20" s="455"/>
      <c r="E20" s="455"/>
    </row>
    <row r="21" spans="1:5" ht="20.100000000000001" customHeight="1" x14ac:dyDescent="0.25">
      <c r="A21" s="24">
        <v>18</v>
      </c>
      <c r="B21" s="456" t="s">
        <v>678</v>
      </c>
      <c r="C21" s="455"/>
      <c r="D21" s="455"/>
      <c r="E21" s="455"/>
    </row>
    <row r="22" spans="1:5" ht="20.100000000000001" customHeight="1" x14ac:dyDescent="0.25">
      <c r="A22" s="24">
        <v>19</v>
      </c>
      <c r="B22" s="456" t="s">
        <v>679</v>
      </c>
      <c r="C22" s="455"/>
      <c r="D22" s="455"/>
      <c r="E22" s="455"/>
    </row>
    <row r="23" spans="1:5" ht="20.100000000000001" customHeight="1" x14ac:dyDescent="0.25">
      <c r="A23" s="24">
        <v>20</v>
      </c>
      <c r="B23" s="26" t="s">
        <v>680</v>
      </c>
      <c r="C23" s="455"/>
      <c r="D23" s="455"/>
      <c r="E23" s="455"/>
    </row>
    <row r="24" spans="1:5" ht="20.100000000000001" customHeight="1" x14ac:dyDescent="0.25">
      <c r="A24" s="24">
        <v>21</v>
      </c>
      <c r="B24" s="26" t="s">
        <v>681</v>
      </c>
      <c r="C24" s="455"/>
      <c r="D24" s="455"/>
      <c r="E24" s="455"/>
    </row>
    <row r="25" spans="1:5" ht="20.100000000000001" customHeight="1" x14ac:dyDescent="0.25">
      <c r="A25" s="24">
        <v>22</v>
      </c>
      <c r="B25" s="456" t="s">
        <v>682</v>
      </c>
      <c r="C25" s="456"/>
      <c r="D25" s="456"/>
      <c r="E25" s="456"/>
    </row>
    <row r="26" spans="1:5" ht="18" customHeight="1" x14ac:dyDescent="0.25">
      <c r="A26" s="24">
        <v>23</v>
      </c>
      <c r="B26" s="26" t="s">
        <v>683</v>
      </c>
      <c r="C26" s="455"/>
      <c r="D26" s="455"/>
      <c r="E26" s="455"/>
    </row>
    <row r="27" spans="1:5" ht="16.5" customHeight="1" x14ac:dyDescent="0.25">
      <c r="A27" s="24">
        <v>24</v>
      </c>
      <c r="B27" s="26" t="s">
        <v>580</v>
      </c>
      <c r="C27" s="455"/>
      <c r="D27" s="455"/>
      <c r="E27" s="455"/>
    </row>
    <row r="28" spans="1:5" ht="16.5" customHeight="1" x14ac:dyDescent="0.25">
      <c r="A28" s="24">
        <v>25</v>
      </c>
      <c r="B28" s="26" t="s">
        <v>581</v>
      </c>
      <c r="C28" s="455"/>
      <c r="D28" s="455"/>
      <c r="E28" s="455"/>
    </row>
    <row r="29" spans="1:5" ht="16.5" customHeight="1" x14ac:dyDescent="0.25">
      <c r="A29" s="24">
        <v>26</v>
      </c>
      <c r="B29" s="26" t="s">
        <v>582</v>
      </c>
      <c r="C29" s="455"/>
      <c r="D29" s="455"/>
      <c r="E29" s="455"/>
    </row>
  </sheetData>
  <mergeCells count="1">
    <mergeCell ref="A2:B2"/>
  </mergeCells>
  <pageMargins left="0.7" right="0.7" top="0.75" bottom="0.75" header="0.3" footer="0.3"/>
  <pageSetup paperSize="9" orientation="portrait" horizontalDpi="429496729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pageSetUpPr fitToPage="1"/>
  </sheetPr>
  <dimension ref="A1:O119"/>
  <sheetViews>
    <sheetView topLeftCell="A15" zoomScale="117" zoomScaleNormal="96" workbookViewId="0">
      <selection activeCell="O32" sqref="O32"/>
    </sheetView>
  </sheetViews>
  <sheetFormatPr defaultRowHeight="11.25" x14ac:dyDescent="0.2"/>
  <cols>
    <col min="1" max="1" width="9.5703125" style="147" customWidth="1"/>
    <col min="2" max="6" width="5.5703125" style="739" customWidth="1"/>
    <col min="7" max="7" width="5.5703125" style="147" customWidth="1"/>
    <col min="8" max="8" width="4.85546875" style="147" customWidth="1"/>
    <col min="9" max="9" width="8.5703125" style="147" customWidth="1"/>
    <col min="10" max="10" width="9.5703125" style="147" customWidth="1"/>
    <col min="11" max="11" width="3.140625" style="147" customWidth="1"/>
    <col min="12" max="12" width="9.42578125" style="147" customWidth="1"/>
    <col min="13" max="14" width="8.5703125" style="147" customWidth="1"/>
    <col min="15" max="15" width="16.7109375" style="147" customWidth="1"/>
    <col min="16" max="16384" width="9.140625" style="147"/>
  </cols>
  <sheetData>
    <row r="1" spans="1:15" ht="18.75" x14ac:dyDescent="0.3">
      <c r="A1" s="766" t="s">
        <v>870</v>
      </c>
      <c r="B1" s="767"/>
      <c r="C1" s="767"/>
      <c r="D1" s="767"/>
      <c r="E1" s="767"/>
      <c r="F1" s="767"/>
      <c r="G1" s="767"/>
      <c r="H1" s="767"/>
      <c r="I1" s="767"/>
      <c r="J1" s="767"/>
      <c r="K1" s="767"/>
      <c r="L1" s="767"/>
      <c r="M1" s="767"/>
      <c r="N1" s="767"/>
      <c r="O1" s="768"/>
    </row>
    <row r="2" spans="1:15" ht="18.75" x14ac:dyDescent="0.3">
      <c r="A2" s="769" t="s">
        <v>318</v>
      </c>
      <c r="B2" s="770"/>
      <c r="C2" s="770"/>
      <c r="D2" s="770"/>
      <c r="E2" s="770"/>
      <c r="F2" s="770"/>
      <c r="G2" s="770"/>
      <c r="H2" s="770"/>
      <c r="I2" s="770"/>
      <c r="J2" s="770"/>
      <c r="K2" s="770"/>
      <c r="L2" s="770"/>
      <c r="M2" s="770"/>
      <c r="N2" s="770"/>
      <c r="O2" s="771"/>
    </row>
    <row r="3" spans="1:15" x14ac:dyDescent="0.2">
      <c r="A3" s="483" t="s">
        <v>872</v>
      </c>
      <c r="B3" s="738"/>
      <c r="C3" s="738"/>
      <c r="D3" s="738"/>
      <c r="E3" s="738"/>
      <c r="F3" s="738"/>
      <c r="G3" s="484"/>
      <c r="H3" s="485"/>
      <c r="I3" s="484"/>
      <c r="J3" s="484"/>
      <c r="K3" s="484"/>
      <c r="L3" s="484"/>
      <c r="M3" s="484"/>
      <c r="N3" s="484"/>
      <c r="O3" s="486"/>
    </row>
    <row r="4" spans="1:15" ht="17.25" customHeight="1" x14ac:dyDescent="0.2">
      <c r="A4" s="487" t="s">
        <v>607</v>
      </c>
      <c r="B4" s="701"/>
      <c r="C4" s="702">
        <v>6</v>
      </c>
      <c r="D4" s="702">
        <v>13</v>
      </c>
      <c r="E4" s="703">
        <v>20</v>
      </c>
      <c r="F4" s="704">
        <v>27</v>
      </c>
      <c r="G4" s="484"/>
      <c r="H4" s="489"/>
      <c r="I4" s="484" t="s">
        <v>1064</v>
      </c>
      <c r="J4" s="484"/>
      <c r="K4" s="484" t="s">
        <v>65</v>
      </c>
      <c r="L4" s="484" t="s">
        <v>1063</v>
      </c>
      <c r="M4" s="484"/>
      <c r="N4" s="484"/>
      <c r="O4" s="486"/>
    </row>
    <row r="5" spans="1:15" x14ac:dyDescent="0.2">
      <c r="A5" s="487" t="s">
        <v>20</v>
      </c>
      <c r="B5" s="499"/>
      <c r="C5" s="705">
        <v>7</v>
      </c>
      <c r="D5" s="706">
        <v>14</v>
      </c>
      <c r="E5" s="707">
        <v>21</v>
      </c>
      <c r="F5" s="708">
        <v>28</v>
      </c>
      <c r="G5" s="484"/>
      <c r="H5" s="491"/>
      <c r="I5" s="484" t="s">
        <v>1065</v>
      </c>
      <c r="J5" s="484"/>
      <c r="K5" s="484" t="s">
        <v>65</v>
      </c>
      <c r="L5" s="484" t="s">
        <v>1066</v>
      </c>
      <c r="M5" s="484"/>
      <c r="N5" s="484"/>
      <c r="O5" s="486"/>
    </row>
    <row r="6" spans="1:15" x14ac:dyDescent="0.2">
      <c r="A6" s="487" t="s">
        <v>21</v>
      </c>
      <c r="B6" s="705">
        <v>1</v>
      </c>
      <c r="C6" s="705">
        <v>8</v>
      </c>
      <c r="D6" s="709">
        <v>15</v>
      </c>
      <c r="E6" s="707">
        <v>22</v>
      </c>
      <c r="F6" s="708">
        <v>29</v>
      </c>
      <c r="G6" s="484"/>
      <c r="H6" s="491"/>
      <c r="I6" s="484" t="s">
        <v>1067</v>
      </c>
      <c r="J6" s="484"/>
      <c r="K6" s="484" t="s">
        <v>65</v>
      </c>
      <c r="L6" s="484" t="s">
        <v>1068</v>
      </c>
      <c r="M6" s="484"/>
      <c r="N6" s="484"/>
      <c r="O6" s="486"/>
    </row>
    <row r="7" spans="1:15" x14ac:dyDescent="0.2">
      <c r="A7" s="487" t="s">
        <v>22</v>
      </c>
      <c r="B7" s="705">
        <v>2</v>
      </c>
      <c r="C7" s="705">
        <v>9</v>
      </c>
      <c r="D7" s="709">
        <v>16</v>
      </c>
      <c r="E7" s="707">
        <v>23</v>
      </c>
      <c r="F7" s="708">
        <v>30</v>
      </c>
      <c r="G7" s="484"/>
      <c r="H7" s="491"/>
      <c r="I7" s="492" t="s">
        <v>1069</v>
      </c>
      <c r="J7" s="484"/>
      <c r="K7" s="484" t="s">
        <v>65</v>
      </c>
      <c r="L7" s="484" t="s">
        <v>1070</v>
      </c>
      <c r="M7" s="484"/>
      <c r="N7" s="484"/>
      <c r="O7" s="486"/>
    </row>
    <row r="8" spans="1:15" x14ac:dyDescent="0.2">
      <c r="A8" s="487" t="s">
        <v>23</v>
      </c>
      <c r="B8" s="705">
        <v>3</v>
      </c>
      <c r="C8" s="705">
        <v>10</v>
      </c>
      <c r="D8" s="709">
        <v>17</v>
      </c>
      <c r="E8" s="707">
        <v>24</v>
      </c>
      <c r="F8" s="708">
        <v>31</v>
      </c>
      <c r="G8" s="484"/>
      <c r="H8" s="491"/>
      <c r="I8" s="493"/>
      <c r="J8" s="484"/>
      <c r="K8" s="484"/>
      <c r="L8" s="484"/>
      <c r="M8" s="484"/>
      <c r="N8" s="484"/>
      <c r="O8" s="486"/>
    </row>
    <row r="9" spans="1:15" x14ac:dyDescent="0.2">
      <c r="A9" s="487" t="s">
        <v>873</v>
      </c>
      <c r="B9" s="705">
        <v>4</v>
      </c>
      <c r="C9" s="705">
        <v>11</v>
      </c>
      <c r="D9" s="709">
        <v>18</v>
      </c>
      <c r="E9" s="707">
        <v>25</v>
      </c>
      <c r="F9" s="708"/>
      <c r="G9" s="484"/>
      <c r="H9" s="495"/>
      <c r="I9" s="492"/>
      <c r="J9" s="484"/>
      <c r="K9" s="484"/>
      <c r="L9" s="484"/>
      <c r="M9" s="484"/>
      <c r="N9" s="484"/>
      <c r="O9" s="486"/>
    </row>
    <row r="10" spans="1:15" x14ac:dyDescent="0.2">
      <c r="A10" s="487" t="s">
        <v>608</v>
      </c>
      <c r="B10" s="499">
        <v>5</v>
      </c>
      <c r="C10" s="499">
        <v>12</v>
      </c>
      <c r="D10" s="499">
        <v>19</v>
      </c>
      <c r="E10" s="707">
        <v>26</v>
      </c>
      <c r="F10" s="708"/>
      <c r="G10" s="484"/>
      <c r="H10" s="495"/>
      <c r="I10" s="492"/>
      <c r="J10" s="484"/>
      <c r="K10" s="484"/>
      <c r="L10" s="484"/>
      <c r="M10" s="484"/>
      <c r="N10" s="484"/>
      <c r="O10" s="486"/>
    </row>
    <row r="11" spans="1:15" x14ac:dyDescent="0.2">
      <c r="A11" s="496"/>
      <c r="B11" s="738"/>
      <c r="C11" s="738"/>
      <c r="D11" s="738"/>
      <c r="E11" s="738"/>
      <c r="F11" s="738"/>
      <c r="G11" s="484"/>
      <c r="H11" s="485"/>
      <c r="I11" s="484"/>
      <c r="J11" s="484"/>
      <c r="K11" s="484"/>
      <c r="L11" s="484"/>
      <c r="M11" s="484"/>
      <c r="N11" s="484"/>
      <c r="O11" s="486"/>
    </row>
    <row r="12" spans="1:15" x14ac:dyDescent="0.2">
      <c r="A12" s="483" t="s">
        <v>874</v>
      </c>
      <c r="B12" s="738"/>
      <c r="C12" s="738"/>
      <c r="D12" s="738"/>
      <c r="E12" s="738"/>
      <c r="F12" s="738"/>
      <c r="G12" s="484"/>
      <c r="H12" s="485"/>
      <c r="I12" s="484"/>
      <c r="J12" s="484"/>
      <c r="K12" s="484"/>
      <c r="L12" s="484"/>
      <c r="M12" s="484"/>
      <c r="N12" s="484"/>
      <c r="O12" s="486"/>
    </row>
    <row r="13" spans="1:15" x14ac:dyDescent="0.2">
      <c r="A13" s="487" t="s">
        <v>607</v>
      </c>
      <c r="B13" s="701"/>
      <c r="C13" s="702">
        <v>3</v>
      </c>
      <c r="D13" s="702">
        <v>10</v>
      </c>
      <c r="E13" s="710">
        <v>17</v>
      </c>
      <c r="F13" s="703">
        <v>24</v>
      </c>
      <c r="G13" s="488">
        <v>31</v>
      </c>
      <c r="H13" s="489"/>
      <c r="I13" s="484" t="s">
        <v>1071</v>
      </c>
      <c r="J13" s="484"/>
      <c r="K13" s="484" t="s">
        <v>65</v>
      </c>
      <c r="L13" s="484" t="s">
        <v>1072</v>
      </c>
      <c r="M13" s="484"/>
      <c r="N13" s="484"/>
      <c r="O13" s="486"/>
    </row>
    <row r="14" spans="1:15" x14ac:dyDescent="0.2">
      <c r="A14" s="487" t="s">
        <v>20</v>
      </c>
      <c r="B14" s="499"/>
      <c r="C14" s="711">
        <v>4</v>
      </c>
      <c r="D14" s="499">
        <v>11</v>
      </c>
      <c r="E14" s="499">
        <v>18</v>
      </c>
      <c r="F14" s="707">
        <v>25</v>
      </c>
      <c r="G14" s="494"/>
      <c r="H14" s="495"/>
      <c r="I14" s="484" t="s">
        <v>1074</v>
      </c>
      <c r="J14" s="484"/>
      <c r="K14" s="484" t="s">
        <v>65</v>
      </c>
      <c r="L14" s="484" t="s">
        <v>1073</v>
      </c>
      <c r="M14" s="484"/>
      <c r="N14" s="484"/>
      <c r="O14" s="486"/>
    </row>
    <row r="15" spans="1:15" x14ac:dyDescent="0.2">
      <c r="A15" s="487" t="s">
        <v>21</v>
      </c>
      <c r="B15" s="499"/>
      <c r="C15" s="711">
        <v>5</v>
      </c>
      <c r="D15" s="499">
        <v>12</v>
      </c>
      <c r="E15" s="499">
        <v>19</v>
      </c>
      <c r="F15" s="707">
        <v>26</v>
      </c>
      <c r="G15" s="494"/>
      <c r="H15" s="495"/>
      <c r="I15" s="484" t="s">
        <v>1075</v>
      </c>
      <c r="J15" s="484"/>
      <c r="K15" s="484" t="s">
        <v>65</v>
      </c>
      <c r="L15" s="484" t="s">
        <v>1076</v>
      </c>
      <c r="M15" s="484"/>
      <c r="N15" s="484"/>
      <c r="O15" s="486"/>
    </row>
    <row r="16" spans="1:15" x14ac:dyDescent="0.2">
      <c r="A16" s="487" t="s">
        <v>22</v>
      </c>
      <c r="B16" s="499"/>
      <c r="C16" s="711">
        <v>6</v>
      </c>
      <c r="D16" s="499">
        <v>13</v>
      </c>
      <c r="E16" s="499">
        <v>20</v>
      </c>
      <c r="F16" s="707">
        <v>27</v>
      </c>
      <c r="G16" s="494"/>
      <c r="H16" s="495"/>
      <c r="I16" s="484"/>
      <c r="J16" s="484"/>
      <c r="K16" s="484"/>
      <c r="L16" s="484"/>
      <c r="M16" s="484"/>
      <c r="N16" s="484"/>
      <c r="O16" s="486"/>
    </row>
    <row r="17" spans="1:15" x14ac:dyDescent="0.2">
      <c r="A17" s="487" t="s">
        <v>23</v>
      </c>
      <c r="B17" s="499"/>
      <c r="C17" s="711">
        <v>7</v>
      </c>
      <c r="D17" s="499">
        <v>14</v>
      </c>
      <c r="E17" s="499">
        <v>21</v>
      </c>
      <c r="F17" s="707">
        <v>28</v>
      </c>
      <c r="G17" s="494"/>
      <c r="H17" s="495"/>
      <c r="I17" s="484"/>
      <c r="J17" s="484"/>
      <c r="K17" s="484"/>
      <c r="L17" s="484"/>
      <c r="M17" s="484"/>
      <c r="N17" s="484"/>
      <c r="O17" s="486"/>
    </row>
    <row r="18" spans="1:15" x14ac:dyDescent="0.2">
      <c r="A18" s="487" t="s">
        <v>873</v>
      </c>
      <c r="B18" s="499">
        <v>1</v>
      </c>
      <c r="C18" s="499">
        <v>8</v>
      </c>
      <c r="D18" s="499">
        <v>15</v>
      </c>
      <c r="E18" s="499">
        <v>22</v>
      </c>
      <c r="F18" s="707">
        <v>29</v>
      </c>
      <c r="G18" s="494"/>
      <c r="H18" s="495"/>
      <c r="I18" s="492"/>
      <c r="J18" s="484"/>
      <c r="K18" s="484"/>
      <c r="L18" s="484"/>
      <c r="M18" s="484"/>
      <c r="N18" s="484"/>
      <c r="O18" s="486"/>
    </row>
    <row r="19" spans="1:15" x14ac:dyDescent="0.2">
      <c r="A19" s="487" t="s">
        <v>608</v>
      </c>
      <c r="B19" s="499">
        <v>2</v>
      </c>
      <c r="C19" s="499">
        <v>9</v>
      </c>
      <c r="D19" s="499">
        <v>16</v>
      </c>
      <c r="E19" s="499">
        <v>23</v>
      </c>
      <c r="F19" s="707">
        <v>30</v>
      </c>
      <c r="G19" s="494"/>
      <c r="H19" s="495"/>
      <c r="I19" s="492"/>
      <c r="J19" s="484"/>
      <c r="K19" s="484"/>
      <c r="L19" s="484"/>
      <c r="M19" s="484"/>
      <c r="N19" s="484"/>
      <c r="O19" s="486"/>
    </row>
    <row r="20" spans="1:15" x14ac:dyDescent="0.2">
      <c r="A20" s="496"/>
      <c r="B20" s="738"/>
      <c r="C20" s="738"/>
      <c r="D20" s="738"/>
      <c r="E20" s="738"/>
      <c r="F20" s="738"/>
      <c r="G20" s="484"/>
      <c r="H20" s="485"/>
      <c r="I20" s="484"/>
      <c r="J20" s="484"/>
      <c r="K20" s="484"/>
      <c r="L20" s="484"/>
      <c r="M20" s="484"/>
      <c r="N20" s="484"/>
      <c r="O20" s="486"/>
    </row>
    <row r="21" spans="1:15" x14ac:dyDescent="0.2">
      <c r="A21" s="637" t="s">
        <v>1610</v>
      </c>
      <c r="B21" s="738"/>
      <c r="C21" s="738"/>
      <c r="D21" s="738"/>
      <c r="E21" s="738"/>
      <c r="F21" s="738"/>
      <c r="G21" s="484"/>
      <c r="H21" s="485"/>
      <c r="I21" s="484"/>
      <c r="J21" s="484"/>
      <c r="K21" s="484"/>
      <c r="L21" s="484"/>
      <c r="M21" s="484"/>
      <c r="N21" s="484"/>
      <c r="O21" s="486"/>
    </row>
    <row r="22" spans="1:15" x14ac:dyDescent="0.2">
      <c r="A22" s="487" t="s">
        <v>607</v>
      </c>
      <c r="B22" s="701"/>
      <c r="C22" s="702">
        <v>7</v>
      </c>
      <c r="D22" s="702">
        <v>14</v>
      </c>
      <c r="E22" s="702">
        <v>21</v>
      </c>
      <c r="F22" s="702">
        <v>28</v>
      </c>
      <c r="G22" s="484"/>
      <c r="H22" s="485"/>
      <c r="I22" s="638" t="s">
        <v>1611</v>
      </c>
      <c r="J22" s="484"/>
      <c r="K22" s="484" t="s">
        <v>65</v>
      </c>
      <c r="L22" s="484" t="s">
        <v>1077</v>
      </c>
      <c r="M22" s="484"/>
      <c r="N22" s="484"/>
      <c r="O22" s="486"/>
    </row>
    <row r="23" spans="1:15" x14ac:dyDescent="0.2">
      <c r="A23" s="487" t="s">
        <v>20</v>
      </c>
      <c r="B23" s="499">
        <v>1</v>
      </c>
      <c r="C23" s="499">
        <v>8</v>
      </c>
      <c r="D23" s="499">
        <v>15</v>
      </c>
      <c r="E23" s="499">
        <v>22</v>
      </c>
      <c r="F23" s="499">
        <v>29</v>
      </c>
      <c r="G23" s="484"/>
      <c r="H23" s="485"/>
      <c r="I23" s="484"/>
      <c r="J23" s="484"/>
      <c r="K23" s="484"/>
      <c r="L23" s="484"/>
      <c r="M23" s="484"/>
      <c r="N23" s="484"/>
      <c r="O23" s="486"/>
    </row>
    <row r="24" spans="1:15" x14ac:dyDescent="0.2">
      <c r="A24" s="487" t="s">
        <v>21</v>
      </c>
      <c r="B24" s="499">
        <v>2</v>
      </c>
      <c r="C24" s="499">
        <v>9</v>
      </c>
      <c r="D24" s="499">
        <v>16</v>
      </c>
      <c r="E24" s="499">
        <v>23</v>
      </c>
      <c r="F24" s="499">
        <v>30</v>
      </c>
      <c r="G24" s="484"/>
      <c r="H24" s="485"/>
      <c r="I24" s="484"/>
      <c r="J24" s="484"/>
      <c r="K24" s="484"/>
      <c r="L24" s="484"/>
      <c r="M24" s="484"/>
      <c r="N24" s="484"/>
      <c r="O24" s="486"/>
    </row>
    <row r="25" spans="1:15" x14ac:dyDescent="0.2">
      <c r="A25" s="487" t="s">
        <v>22</v>
      </c>
      <c r="B25" s="499">
        <v>3</v>
      </c>
      <c r="C25" s="499">
        <v>10</v>
      </c>
      <c r="D25" s="499">
        <v>17</v>
      </c>
      <c r="E25" s="499">
        <v>24</v>
      </c>
      <c r="F25" s="499"/>
      <c r="G25" s="484"/>
      <c r="H25" s="485"/>
      <c r="I25" s="484"/>
      <c r="J25" s="484"/>
      <c r="K25" s="484"/>
      <c r="L25" s="484"/>
      <c r="M25" s="484"/>
      <c r="N25" s="484"/>
      <c r="O25" s="486"/>
    </row>
    <row r="26" spans="1:15" x14ac:dyDescent="0.2">
      <c r="A26" s="487" t="s">
        <v>23</v>
      </c>
      <c r="B26" s="499">
        <v>4</v>
      </c>
      <c r="C26" s="499">
        <v>11</v>
      </c>
      <c r="D26" s="499">
        <v>18</v>
      </c>
      <c r="E26" s="499">
        <v>25</v>
      </c>
      <c r="F26" s="499"/>
      <c r="G26" s="484"/>
      <c r="H26" s="485"/>
      <c r="I26" s="484"/>
      <c r="J26" s="484"/>
      <c r="K26" s="484"/>
      <c r="L26" s="484"/>
      <c r="M26" s="484"/>
      <c r="N26" s="484"/>
      <c r="O26" s="486"/>
    </row>
    <row r="27" spans="1:15" x14ac:dyDescent="0.2">
      <c r="A27" s="487" t="s">
        <v>873</v>
      </c>
      <c r="B27" s="710">
        <v>5</v>
      </c>
      <c r="C27" s="499">
        <v>12</v>
      </c>
      <c r="D27" s="499">
        <v>19</v>
      </c>
      <c r="E27" s="499">
        <v>26</v>
      </c>
      <c r="F27" s="499"/>
      <c r="G27" s="484"/>
      <c r="H27" s="485"/>
      <c r="I27" s="492"/>
      <c r="J27" s="484"/>
      <c r="K27" s="484"/>
      <c r="L27" s="484"/>
      <c r="M27" s="484"/>
      <c r="N27" s="484"/>
      <c r="O27" s="486"/>
    </row>
    <row r="28" spans="1:15" x14ac:dyDescent="0.2">
      <c r="A28" s="487" t="s">
        <v>608</v>
      </c>
      <c r="B28" s="499">
        <v>6</v>
      </c>
      <c r="C28" s="499">
        <v>13</v>
      </c>
      <c r="D28" s="499">
        <v>20</v>
      </c>
      <c r="E28" s="499">
        <v>27</v>
      </c>
      <c r="F28" s="499"/>
      <c r="G28" s="484"/>
      <c r="H28" s="485"/>
      <c r="I28" s="492"/>
      <c r="J28" s="484"/>
      <c r="K28" s="484"/>
      <c r="L28" s="484"/>
      <c r="M28" s="484"/>
      <c r="N28" s="484"/>
      <c r="O28" s="486"/>
    </row>
    <row r="29" spans="1:15" x14ac:dyDescent="0.2">
      <c r="A29" s="496"/>
      <c r="B29" s="738"/>
      <c r="C29" s="738"/>
      <c r="D29" s="738"/>
      <c r="E29" s="738"/>
      <c r="F29" s="738"/>
      <c r="G29" s="484"/>
      <c r="H29" s="485"/>
      <c r="I29" s="484"/>
      <c r="J29" s="484"/>
      <c r="K29" s="484"/>
      <c r="L29" s="484"/>
      <c r="M29" s="484"/>
      <c r="N29" s="484"/>
      <c r="O29" s="486" t="s">
        <v>1682</v>
      </c>
    </row>
    <row r="30" spans="1:15" x14ac:dyDescent="0.2">
      <c r="A30" s="483" t="s">
        <v>875</v>
      </c>
      <c r="B30" s="738"/>
      <c r="C30" s="738"/>
      <c r="D30" s="738"/>
      <c r="E30" s="738"/>
      <c r="F30" s="738"/>
      <c r="G30" s="484"/>
      <c r="H30" s="485"/>
      <c r="I30" s="484"/>
      <c r="J30" s="484"/>
      <c r="K30" s="484"/>
      <c r="L30" s="484"/>
      <c r="M30" s="484"/>
      <c r="N30" s="484"/>
      <c r="O30" s="486"/>
    </row>
    <row r="31" spans="1:15" x14ac:dyDescent="0.2">
      <c r="A31" s="487" t="s">
        <v>607</v>
      </c>
      <c r="B31" s="701"/>
      <c r="C31" s="702">
        <v>5</v>
      </c>
      <c r="D31" s="702">
        <v>12</v>
      </c>
      <c r="E31" s="703">
        <v>19</v>
      </c>
      <c r="F31" s="704">
        <v>26</v>
      </c>
      <c r="G31" s="484"/>
      <c r="H31" s="489"/>
      <c r="I31" s="493"/>
      <c r="J31" s="484"/>
      <c r="K31" s="484"/>
      <c r="L31" s="484"/>
      <c r="M31" s="484"/>
      <c r="N31" s="484"/>
      <c r="O31" s="486"/>
    </row>
    <row r="32" spans="1:15" x14ac:dyDescent="0.2">
      <c r="A32" s="487" t="s">
        <v>20</v>
      </c>
      <c r="B32" s="499"/>
      <c r="C32" s="499">
        <v>6</v>
      </c>
      <c r="D32" s="499">
        <v>13</v>
      </c>
      <c r="E32" s="707">
        <v>20</v>
      </c>
      <c r="F32" s="708">
        <v>27</v>
      </c>
      <c r="G32" s="484"/>
      <c r="H32" s="491"/>
      <c r="I32" s="493"/>
      <c r="J32" s="484"/>
      <c r="K32" s="484"/>
      <c r="L32" s="484"/>
      <c r="M32" s="484"/>
      <c r="N32" s="484"/>
      <c r="O32" s="486"/>
    </row>
    <row r="33" spans="1:15" x14ac:dyDescent="0.2">
      <c r="A33" s="487" t="s">
        <v>21</v>
      </c>
      <c r="B33" s="499"/>
      <c r="C33" s="499">
        <v>7</v>
      </c>
      <c r="D33" s="499">
        <v>14</v>
      </c>
      <c r="E33" s="707">
        <v>21</v>
      </c>
      <c r="F33" s="708">
        <v>28</v>
      </c>
      <c r="G33" s="484"/>
      <c r="H33" s="491"/>
      <c r="I33" s="493"/>
      <c r="J33" s="484"/>
      <c r="K33" s="484"/>
      <c r="L33" s="484"/>
      <c r="M33" s="484"/>
      <c r="N33" s="484"/>
      <c r="O33" s="486"/>
    </row>
    <row r="34" spans="1:15" x14ac:dyDescent="0.2">
      <c r="A34" s="487" t="s">
        <v>22</v>
      </c>
      <c r="B34" s="499">
        <v>1</v>
      </c>
      <c r="C34" s="499">
        <v>8</v>
      </c>
      <c r="D34" s="499">
        <v>15</v>
      </c>
      <c r="E34" s="707">
        <v>22</v>
      </c>
      <c r="F34" s="708">
        <v>29</v>
      </c>
      <c r="G34" s="484"/>
      <c r="H34" s="491"/>
      <c r="I34" s="493"/>
      <c r="J34" s="484"/>
      <c r="K34" s="484"/>
      <c r="L34" s="484"/>
      <c r="M34" s="484"/>
      <c r="N34" s="484"/>
      <c r="O34" s="486"/>
    </row>
    <row r="35" spans="1:15" x14ac:dyDescent="0.2">
      <c r="A35" s="487" t="s">
        <v>23</v>
      </c>
      <c r="B35" s="499">
        <v>2</v>
      </c>
      <c r="C35" s="499">
        <v>9</v>
      </c>
      <c r="D35" s="499">
        <v>16</v>
      </c>
      <c r="E35" s="707">
        <v>23</v>
      </c>
      <c r="F35" s="708">
        <v>30</v>
      </c>
      <c r="G35" s="484"/>
      <c r="H35" s="491"/>
      <c r="I35" s="493"/>
      <c r="J35" s="484"/>
      <c r="K35" s="484"/>
      <c r="L35" s="484"/>
      <c r="M35" s="484"/>
      <c r="N35" s="484"/>
      <c r="O35" s="486"/>
    </row>
    <row r="36" spans="1:15" x14ac:dyDescent="0.2">
      <c r="A36" s="487" t="s">
        <v>873</v>
      </c>
      <c r="B36" s="499">
        <v>3</v>
      </c>
      <c r="C36" s="499">
        <v>10</v>
      </c>
      <c r="D36" s="499">
        <v>17</v>
      </c>
      <c r="E36" s="707">
        <v>24</v>
      </c>
      <c r="F36" s="708">
        <v>31</v>
      </c>
      <c r="G36" s="484"/>
      <c r="H36" s="491"/>
      <c r="I36" s="492"/>
      <c r="J36" s="484"/>
      <c r="K36" s="484"/>
      <c r="L36" s="484"/>
      <c r="M36" s="484"/>
      <c r="N36" s="484"/>
      <c r="O36" s="486"/>
    </row>
    <row r="37" spans="1:15" x14ac:dyDescent="0.2">
      <c r="A37" s="487" t="s">
        <v>608</v>
      </c>
      <c r="B37" s="499">
        <v>4</v>
      </c>
      <c r="C37" s="499">
        <v>11</v>
      </c>
      <c r="D37" s="499">
        <v>18</v>
      </c>
      <c r="E37" s="707">
        <v>25</v>
      </c>
      <c r="F37" s="708"/>
      <c r="G37" s="484"/>
      <c r="H37" s="495"/>
      <c r="I37" s="492"/>
      <c r="J37" s="484"/>
      <c r="K37" s="484"/>
      <c r="L37" s="484"/>
      <c r="M37" s="484"/>
      <c r="N37" s="484"/>
      <c r="O37" s="486"/>
    </row>
    <row r="38" spans="1:15" x14ac:dyDescent="0.2">
      <c r="A38" s="500"/>
      <c r="B38" s="712"/>
      <c r="C38" s="712"/>
      <c r="D38" s="712"/>
      <c r="E38" s="712"/>
      <c r="F38" s="712"/>
      <c r="G38" s="501"/>
      <c r="H38" s="502"/>
      <c r="I38" s="501"/>
      <c r="J38" s="484"/>
      <c r="K38" s="484"/>
      <c r="L38" s="484"/>
      <c r="M38" s="484"/>
      <c r="N38" s="484"/>
      <c r="O38" s="486"/>
    </row>
    <row r="39" spans="1:15" x14ac:dyDescent="0.2">
      <c r="A39" s="637" t="s">
        <v>1609</v>
      </c>
      <c r="B39" s="738"/>
      <c r="C39" s="738"/>
      <c r="D39" s="738"/>
      <c r="E39" s="738"/>
      <c r="F39" s="738"/>
      <c r="G39" s="484"/>
      <c r="H39" s="485"/>
      <c r="I39" s="501"/>
      <c r="J39" s="503"/>
      <c r="K39" s="501"/>
      <c r="L39" s="501"/>
      <c r="M39" s="501"/>
      <c r="N39" s="501"/>
      <c r="O39" s="504"/>
    </row>
    <row r="40" spans="1:15" x14ac:dyDescent="0.2">
      <c r="A40" s="487" t="s">
        <v>607</v>
      </c>
      <c r="B40" s="701"/>
      <c r="C40" s="713">
        <v>2</v>
      </c>
      <c r="D40" s="713">
        <v>9</v>
      </c>
      <c r="E40" s="702">
        <v>16</v>
      </c>
      <c r="F40" s="703">
        <v>23</v>
      </c>
      <c r="G40" s="488">
        <v>30</v>
      </c>
      <c r="H40" s="489"/>
      <c r="I40" s="503" t="s">
        <v>1078</v>
      </c>
      <c r="J40" s="503"/>
      <c r="K40" s="501" t="s">
        <v>65</v>
      </c>
      <c r="L40" s="503" t="s">
        <v>1079</v>
      </c>
      <c r="M40" s="501"/>
      <c r="N40" s="501"/>
      <c r="O40" s="504"/>
    </row>
    <row r="41" spans="1:15" x14ac:dyDescent="0.2">
      <c r="A41" s="487" t="s">
        <v>20</v>
      </c>
      <c r="B41" s="499"/>
      <c r="C41" s="711">
        <v>3</v>
      </c>
      <c r="D41" s="714">
        <v>10</v>
      </c>
      <c r="E41" s="714">
        <v>17</v>
      </c>
      <c r="F41" s="707">
        <v>24</v>
      </c>
      <c r="G41" s="494"/>
      <c r="H41" s="495"/>
      <c r="I41" s="503" t="s">
        <v>1080</v>
      </c>
      <c r="J41" s="503"/>
      <c r="K41" s="501" t="s">
        <v>34</v>
      </c>
      <c r="L41" s="503" t="s">
        <v>1081</v>
      </c>
      <c r="M41" s="501"/>
      <c r="N41" s="501"/>
      <c r="O41" s="504"/>
    </row>
    <row r="42" spans="1:15" x14ac:dyDescent="0.2">
      <c r="A42" s="487" t="s">
        <v>21</v>
      </c>
      <c r="B42" s="499"/>
      <c r="C42" s="711">
        <v>4</v>
      </c>
      <c r="D42" s="714">
        <v>11</v>
      </c>
      <c r="E42" s="714">
        <v>18</v>
      </c>
      <c r="F42" s="715">
        <v>25</v>
      </c>
      <c r="G42" s="494"/>
      <c r="H42" s="495"/>
      <c r="I42" s="639" t="s">
        <v>1612</v>
      </c>
      <c r="J42" s="503"/>
      <c r="K42" s="501" t="s">
        <v>65</v>
      </c>
      <c r="L42" s="503" t="s">
        <v>1084</v>
      </c>
      <c r="M42" s="501"/>
      <c r="N42" s="501"/>
      <c r="O42" s="504"/>
    </row>
    <row r="43" spans="1:15" x14ac:dyDescent="0.2">
      <c r="A43" s="487" t="s">
        <v>22</v>
      </c>
      <c r="B43" s="499"/>
      <c r="C43" s="711">
        <v>5</v>
      </c>
      <c r="D43" s="714">
        <v>12</v>
      </c>
      <c r="E43" s="714">
        <v>19</v>
      </c>
      <c r="F43" s="716">
        <v>26</v>
      </c>
      <c r="G43" s="494"/>
      <c r="H43" s="495"/>
      <c r="I43" s="503" t="s">
        <v>1082</v>
      </c>
      <c r="J43" s="503"/>
      <c r="K43" s="501" t="s">
        <v>34</v>
      </c>
      <c r="L43" s="503" t="s">
        <v>1083</v>
      </c>
      <c r="M43" s="501"/>
      <c r="N43" s="501"/>
      <c r="O43" s="504"/>
    </row>
    <row r="44" spans="1:15" x14ac:dyDescent="0.2">
      <c r="A44" s="487" t="s">
        <v>23</v>
      </c>
      <c r="B44" s="499"/>
      <c r="C44" s="711">
        <v>6</v>
      </c>
      <c r="D44" s="714">
        <v>13</v>
      </c>
      <c r="E44" s="714">
        <v>20</v>
      </c>
      <c r="F44" s="716">
        <v>27</v>
      </c>
      <c r="G44" s="494"/>
      <c r="H44" s="495"/>
      <c r="I44" s="501"/>
      <c r="J44" s="503"/>
      <c r="K44" s="501"/>
      <c r="L44" s="501"/>
      <c r="M44" s="501"/>
      <c r="N44" s="501"/>
      <c r="O44" s="504"/>
    </row>
    <row r="45" spans="1:15" x14ac:dyDescent="0.2">
      <c r="A45" s="487" t="s">
        <v>873</v>
      </c>
      <c r="B45" s="499"/>
      <c r="C45" s="711">
        <v>7</v>
      </c>
      <c r="D45" s="714">
        <v>14</v>
      </c>
      <c r="E45" s="714">
        <v>21</v>
      </c>
      <c r="F45" s="716">
        <v>28</v>
      </c>
      <c r="G45" s="494"/>
      <c r="H45" s="495"/>
      <c r="I45" s="492"/>
      <c r="J45" s="503"/>
      <c r="K45" s="484"/>
      <c r="L45" s="493"/>
      <c r="M45" s="501"/>
      <c r="N45" s="501"/>
      <c r="O45" s="504"/>
    </row>
    <row r="46" spans="1:15" x14ac:dyDescent="0.2">
      <c r="A46" s="487" t="s">
        <v>608</v>
      </c>
      <c r="B46" s="711">
        <v>1</v>
      </c>
      <c r="C46" s="499">
        <v>8</v>
      </c>
      <c r="D46" s="499">
        <v>15</v>
      </c>
      <c r="E46" s="499">
        <v>22</v>
      </c>
      <c r="F46" s="707">
        <v>29</v>
      </c>
      <c r="G46" s="494"/>
      <c r="H46" s="495"/>
      <c r="I46" s="492"/>
      <c r="J46" s="503"/>
      <c r="K46" s="484"/>
      <c r="L46" s="493"/>
      <c r="M46" s="501"/>
      <c r="N46" s="501"/>
      <c r="O46" s="504"/>
    </row>
    <row r="47" spans="1:15" x14ac:dyDescent="0.2">
      <c r="A47" s="496"/>
      <c r="B47" s="712"/>
      <c r="C47" s="712"/>
      <c r="D47" s="712"/>
      <c r="E47" s="712"/>
      <c r="F47" s="712"/>
      <c r="G47" s="501"/>
      <c r="H47" s="502"/>
      <c r="I47" s="501"/>
      <c r="J47" s="503"/>
      <c r="K47" s="501"/>
      <c r="L47" s="501"/>
      <c r="M47" s="501"/>
      <c r="N47" s="501"/>
      <c r="O47" s="504"/>
    </row>
    <row r="48" spans="1:15" x14ac:dyDescent="0.2">
      <c r="A48" s="483" t="s">
        <v>876</v>
      </c>
      <c r="B48" s="738"/>
      <c r="C48" s="738"/>
      <c r="D48" s="738"/>
      <c r="E48" s="738"/>
      <c r="F48" s="738"/>
      <c r="G48" s="501"/>
      <c r="H48" s="502"/>
      <c r="I48" s="501"/>
      <c r="J48" s="484"/>
      <c r="K48" s="501"/>
      <c r="L48" s="501"/>
      <c r="M48" s="501"/>
      <c r="N48" s="501"/>
      <c r="O48" s="504"/>
    </row>
    <row r="49" spans="1:15" x14ac:dyDescent="0.2">
      <c r="A49" s="487" t="s">
        <v>607</v>
      </c>
      <c r="B49" s="701"/>
      <c r="C49" s="702">
        <v>7</v>
      </c>
      <c r="D49" s="702">
        <v>14</v>
      </c>
      <c r="E49" s="702">
        <v>21</v>
      </c>
      <c r="F49" s="702">
        <v>28</v>
      </c>
      <c r="G49" s="501"/>
      <c r="H49" s="502"/>
      <c r="I49" s="503" t="s">
        <v>1085</v>
      </c>
      <c r="J49" s="484"/>
      <c r="K49" s="501" t="s">
        <v>65</v>
      </c>
      <c r="L49" s="503" t="s">
        <v>1083</v>
      </c>
      <c r="M49" s="501"/>
      <c r="N49" s="501"/>
      <c r="O49" s="504"/>
    </row>
    <row r="50" spans="1:15" x14ac:dyDescent="0.2">
      <c r="A50" s="487" t="s">
        <v>20</v>
      </c>
      <c r="B50" s="717">
        <v>1</v>
      </c>
      <c r="C50" s="718">
        <v>8</v>
      </c>
      <c r="D50" s="499">
        <v>15</v>
      </c>
      <c r="E50" s="705">
        <v>22</v>
      </c>
      <c r="F50" s="705">
        <v>29</v>
      </c>
      <c r="G50" s="501"/>
      <c r="H50" s="502"/>
      <c r="I50" s="503" t="s">
        <v>1086</v>
      </c>
      <c r="J50" s="484"/>
      <c r="K50" s="501" t="s">
        <v>65</v>
      </c>
      <c r="L50" s="503" t="s">
        <v>1087</v>
      </c>
      <c r="M50" s="501"/>
      <c r="N50" s="501"/>
      <c r="O50" s="504"/>
    </row>
    <row r="51" spans="1:15" x14ac:dyDescent="0.2">
      <c r="A51" s="487" t="s">
        <v>21</v>
      </c>
      <c r="B51" s="717">
        <v>2</v>
      </c>
      <c r="C51" s="718">
        <v>9</v>
      </c>
      <c r="D51" s="499">
        <v>16</v>
      </c>
      <c r="E51" s="705">
        <v>23</v>
      </c>
      <c r="F51" s="705">
        <v>30</v>
      </c>
      <c r="G51" s="501"/>
      <c r="H51" s="502"/>
      <c r="I51" s="503" t="s">
        <v>1088</v>
      </c>
      <c r="J51" s="484"/>
      <c r="K51" s="501" t="s">
        <v>65</v>
      </c>
      <c r="L51" s="503" t="s">
        <v>1089</v>
      </c>
      <c r="M51" s="501"/>
      <c r="N51" s="501"/>
      <c r="O51" s="504"/>
    </row>
    <row r="52" spans="1:15" x14ac:dyDescent="0.2">
      <c r="A52" s="487" t="s">
        <v>22</v>
      </c>
      <c r="B52" s="718">
        <v>3</v>
      </c>
      <c r="C52" s="718">
        <v>10</v>
      </c>
      <c r="D52" s="499">
        <v>17</v>
      </c>
      <c r="E52" s="705">
        <v>24</v>
      </c>
      <c r="F52" s="705">
        <v>31</v>
      </c>
      <c r="G52" s="501"/>
      <c r="H52" s="502"/>
      <c r="I52" s="503" t="s">
        <v>1090</v>
      </c>
      <c r="J52" s="484"/>
      <c r="K52" s="501" t="s">
        <v>65</v>
      </c>
      <c r="L52" s="503" t="s">
        <v>1091</v>
      </c>
      <c r="M52" s="501"/>
      <c r="N52" s="501"/>
      <c r="O52" s="504"/>
    </row>
    <row r="53" spans="1:15" x14ac:dyDescent="0.2">
      <c r="A53" s="487" t="s">
        <v>23</v>
      </c>
      <c r="B53" s="718">
        <v>4</v>
      </c>
      <c r="C53" s="499">
        <v>11</v>
      </c>
      <c r="D53" s="499">
        <v>18</v>
      </c>
      <c r="E53" s="710">
        <v>25</v>
      </c>
      <c r="F53" s="499"/>
      <c r="G53" s="501"/>
      <c r="H53" s="502"/>
      <c r="I53" s="484" t="s">
        <v>1092</v>
      </c>
      <c r="J53" s="484"/>
      <c r="K53" s="501" t="s">
        <v>65</v>
      </c>
      <c r="L53" s="503" t="s">
        <v>1093</v>
      </c>
      <c r="M53" s="501"/>
      <c r="N53" s="501"/>
      <c r="O53" s="504"/>
    </row>
    <row r="54" spans="1:15" x14ac:dyDescent="0.2">
      <c r="A54" s="487" t="s">
        <v>873</v>
      </c>
      <c r="B54" s="718">
        <v>5</v>
      </c>
      <c r="C54" s="499">
        <v>12</v>
      </c>
      <c r="D54" s="719">
        <v>19</v>
      </c>
      <c r="E54" s="710">
        <v>26</v>
      </c>
      <c r="F54" s="499"/>
      <c r="G54" s="501"/>
      <c r="H54" s="502"/>
      <c r="I54" s="484" t="s">
        <v>1094</v>
      </c>
      <c r="J54" s="484"/>
      <c r="K54" s="501" t="s">
        <v>65</v>
      </c>
      <c r="L54" s="503" t="s">
        <v>1095</v>
      </c>
      <c r="M54" s="501"/>
      <c r="N54" s="501"/>
      <c r="O54" s="504"/>
    </row>
    <row r="55" spans="1:15" x14ac:dyDescent="0.2">
      <c r="A55" s="487" t="s">
        <v>608</v>
      </c>
      <c r="B55" s="499">
        <v>6</v>
      </c>
      <c r="C55" s="499">
        <v>13</v>
      </c>
      <c r="D55" s="499">
        <v>20</v>
      </c>
      <c r="E55" s="499">
        <v>27</v>
      </c>
      <c r="F55" s="499"/>
      <c r="G55" s="501"/>
      <c r="H55" s="502"/>
      <c r="I55" s="492"/>
      <c r="J55" s="484"/>
      <c r="K55" s="484"/>
      <c r="L55" s="493"/>
      <c r="M55" s="501"/>
      <c r="N55" s="501"/>
      <c r="O55" s="504"/>
    </row>
    <row r="56" spans="1:15" x14ac:dyDescent="0.2">
      <c r="A56" s="496"/>
      <c r="B56" s="712"/>
      <c r="C56" s="712"/>
      <c r="D56" s="712"/>
      <c r="E56" s="712"/>
      <c r="F56" s="712"/>
      <c r="G56" s="501"/>
      <c r="H56" s="502"/>
      <c r="I56" s="492"/>
      <c r="J56" s="484"/>
      <c r="K56" s="484"/>
      <c r="L56" s="493"/>
      <c r="M56" s="501"/>
      <c r="N56" s="501"/>
      <c r="O56" s="504"/>
    </row>
    <row r="57" spans="1:15" x14ac:dyDescent="0.2">
      <c r="A57" s="483" t="s">
        <v>877</v>
      </c>
      <c r="B57" s="738"/>
      <c r="C57" s="738"/>
      <c r="D57" s="738"/>
      <c r="E57" s="738"/>
      <c r="F57" s="738"/>
      <c r="G57" s="484"/>
      <c r="H57" s="485"/>
      <c r="I57" s="484"/>
      <c r="J57" s="484"/>
      <c r="K57" s="484"/>
      <c r="L57" s="484"/>
      <c r="M57" s="484"/>
      <c r="N57" s="484"/>
      <c r="O57" s="486"/>
    </row>
    <row r="58" spans="1:15" x14ac:dyDescent="0.2">
      <c r="A58" s="487" t="s">
        <v>607</v>
      </c>
      <c r="B58" s="701"/>
      <c r="C58" s="702">
        <v>4</v>
      </c>
      <c r="D58" s="702">
        <v>11</v>
      </c>
      <c r="E58" s="703">
        <v>18</v>
      </c>
      <c r="F58" s="704">
        <v>25</v>
      </c>
      <c r="G58" s="484"/>
      <c r="H58" s="489"/>
      <c r="I58" s="492" t="s">
        <v>1114</v>
      </c>
      <c r="J58" s="492"/>
      <c r="K58" s="492" t="s">
        <v>65</v>
      </c>
      <c r="L58" s="492" t="s">
        <v>1119</v>
      </c>
      <c r="M58" s="492"/>
      <c r="N58" s="492"/>
      <c r="O58" s="505"/>
    </row>
    <row r="59" spans="1:15" x14ac:dyDescent="0.2">
      <c r="A59" s="487" t="s">
        <v>20</v>
      </c>
      <c r="B59" s="499"/>
      <c r="C59" s="499">
        <v>5</v>
      </c>
      <c r="D59" s="499">
        <v>12</v>
      </c>
      <c r="E59" s="707">
        <v>19</v>
      </c>
      <c r="F59" s="708">
        <v>26</v>
      </c>
      <c r="G59" s="484"/>
      <c r="H59" s="491"/>
      <c r="I59" s="492" t="s">
        <v>1115</v>
      </c>
      <c r="J59" s="492"/>
      <c r="K59" s="492" t="s">
        <v>65</v>
      </c>
      <c r="L59" s="492" t="s">
        <v>1118</v>
      </c>
      <c r="M59" s="492"/>
      <c r="N59" s="492"/>
      <c r="O59" s="505"/>
    </row>
    <row r="60" spans="1:15" x14ac:dyDescent="0.2">
      <c r="A60" s="487" t="s">
        <v>21</v>
      </c>
      <c r="B60" s="499"/>
      <c r="C60" s="499">
        <v>6</v>
      </c>
      <c r="D60" s="499">
        <v>13</v>
      </c>
      <c r="E60" s="707">
        <v>20</v>
      </c>
      <c r="F60" s="708">
        <v>27</v>
      </c>
      <c r="G60" s="484"/>
      <c r="H60" s="491"/>
      <c r="I60" s="484" t="s">
        <v>1116</v>
      </c>
      <c r="J60" s="484"/>
      <c r="K60" s="484" t="s">
        <v>65</v>
      </c>
      <c r="L60" s="484" t="s">
        <v>1117</v>
      </c>
      <c r="M60" s="484"/>
      <c r="N60" s="484"/>
      <c r="O60" s="486"/>
    </row>
    <row r="61" spans="1:15" x14ac:dyDescent="0.2">
      <c r="A61" s="487" t="s">
        <v>22</v>
      </c>
      <c r="B61" s="499"/>
      <c r="C61" s="499">
        <v>7</v>
      </c>
      <c r="D61" s="499">
        <v>14</v>
      </c>
      <c r="E61" s="707">
        <v>21</v>
      </c>
      <c r="F61" s="708">
        <v>28</v>
      </c>
      <c r="G61" s="484"/>
      <c r="H61" s="491"/>
      <c r="I61" s="493"/>
      <c r="J61" s="484"/>
      <c r="K61" s="484"/>
      <c r="L61" s="484"/>
      <c r="M61" s="484"/>
      <c r="N61" s="484"/>
      <c r="O61" s="486"/>
    </row>
    <row r="62" spans="1:15" x14ac:dyDescent="0.2">
      <c r="A62" s="487" t="s">
        <v>23</v>
      </c>
      <c r="B62" s="710">
        <v>1</v>
      </c>
      <c r="C62" s="499">
        <v>8</v>
      </c>
      <c r="D62" s="499">
        <v>15</v>
      </c>
      <c r="E62" s="707">
        <v>22</v>
      </c>
      <c r="F62" s="708">
        <v>29</v>
      </c>
      <c r="G62" s="484"/>
      <c r="H62" s="491"/>
      <c r="I62" s="493"/>
      <c r="J62" s="484"/>
      <c r="K62" s="484"/>
      <c r="L62" s="484"/>
      <c r="M62" s="484"/>
      <c r="N62" s="484"/>
      <c r="O62" s="486"/>
    </row>
    <row r="63" spans="1:15" x14ac:dyDescent="0.2">
      <c r="A63" s="487" t="s">
        <v>873</v>
      </c>
      <c r="B63" s="706">
        <v>2</v>
      </c>
      <c r="C63" s="499">
        <v>9</v>
      </c>
      <c r="D63" s="710">
        <v>16</v>
      </c>
      <c r="E63" s="707">
        <v>23</v>
      </c>
      <c r="F63" s="708">
        <v>30</v>
      </c>
      <c r="G63" s="484"/>
      <c r="H63" s="491"/>
      <c r="I63" s="492"/>
      <c r="J63" s="484"/>
      <c r="K63" s="484"/>
      <c r="L63" s="484"/>
      <c r="M63" s="484"/>
      <c r="N63" s="484"/>
      <c r="O63" s="486"/>
    </row>
    <row r="64" spans="1:15" x14ac:dyDescent="0.2">
      <c r="A64" s="487" t="s">
        <v>608</v>
      </c>
      <c r="B64" s="499">
        <v>3</v>
      </c>
      <c r="C64" s="499">
        <v>10</v>
      </c>
      <c r="D64" s="499">
        <v>17</v>
      </c>
      <c r="E64" s="707">
        <v>24</v>
      </c>
      <c r="F64" s="708">
        <v>31</v>
      </c>
      <c r="G64" s="484"/>
      <c r="H64" s="491"/>
      <c r="I64" s="492"/>
      <c r="J64" s="484"/>
      <c r="K64" s="484"/>
      <c r="L64" s="484"/>
      <c r="M64" s="484"/>
      <c r="N64" s="484"/>
      <c r="O64" s="486"/>
    </row>
    <row r="65" spans="1:15" x14ac:dyDescent="0.2">
      <c r="A65" s="496"/>
      <c r="B65" s="738"/>
      <c r="C65" s="738"/>
      <c r="D65" s="738"/>
      <c r="E65" s="738"/>
      <c r="F65" s="738"/>
      <c r="G65" s="484"/>
      <c r="H65" s="485"/>
      <c r="I65" s="493"/>
      <c r="J65" s="484"/>
      <c r="K65" s="484"/>
      <c r="L65" s="484"/>
      <c r="M65" s="484"/>
      <c r="N65" s="484"/>
      <c r="O65" s="506"/>
    </row>
    <row r="66" spans="1:15" x14ac:dyDescent="0.2">
      <c r="A66" s="483" t="s">
        <v>878</v>
      </c>
      <c r="O66" s="486"/>
    </row>
    <row r="67" spans="1:15" x14ac:dyDescent="0.2">
      <c r="A67" s="487" t="s">
        <v>607</v>
      </c>
      <c r="B67" s="740">
        <v>1</v>
      </c>
      <c r="C67" s="720">
        <v>8</v>
      </c>
      <c r="D67" s="702">
        <v>15</v>
      </c>
      <c r="E67" s="702">
        <v>22</v>
      </c>
      <c r="F67" s="738"/>
      <c r="G67" s="484"/>
      <c r="H67" s="485"/>
      <c r="I67" s="492" t="s">
        <v>1205</v>
      </c>
      <c r="J67" s="484"/>
      <c r="K67" s="484" t="s">
        <v>65</v>
      </c>
      <c r="L67" s="484" t="s">
        <v>1120</v>
      </c>
      <c r="M67" s="484"/>
      <c r="N67" s="484"/>
      <c r="O67" s="486"/>
    </row>
    <row r="68" spans="1:15" x14ac:dyDescent="0.2">
      <c r="A68" s="487" t="s">
        <v>20</v>
      </c>
      <c r="B68" s="741">
        <v>2</v>
      </c>
      <c r="C68" s="721">
        <v>9</v>
      </c>
      <c r="D68" s="499">
        <v>16</v>
      </c>
      <c r="E68" s="499">
        <v>23</v>
      </c>
      <c r="F68" s="738"/>
      <c r="G68" s="484"/>
      <c r="H68" s="485"/>
      <c r="I68" s="492" t="s">
        <v>1121</v>
      </c>
      <c r="J68" s="484"/>
      <c r="K68" s="484" t="s">
        <v>65</v>
      </c>
      <c r="L68" s="484" t="s">
        <v>1122</v>
      </c>
      <c r="M68" s="484"/>
      <c r="N68" s="484"/>
      <c r="O68" s="486"/>
    </row>
    <row r="69" spans="1:15" x14ac:dyDescent="0.2">
      <c r="A69" s="487" t="s">
        <v>21</v>
      </c>
      <c r="B69" s="741">
        <v>3</v>
      </c>
      <c r="C69" s="721">
        <v>10</v>
      </c>
      <c r="D69" s="710">
        <v>17</v>
      </c>
      <c r="E69" s="499">
        <v>24</v>
      </c>
      <c r="F69" s="738"/>
      <c r="G69" s="484"/>
      <c r="H69" s="485"/>
      <c r="I69" s="484"/>
      <c r="J69" s="484"/>
      <c r="K69" s="484"/>
      <c r="L69" s="484"/>
      <c r="M69" s="484"/>
      <c r="N69" s="484"/>
      <c r="O69" s="486"/>
    </row>
    <row r="70" spans="1:15" x14ac:dyDescent="0.2">
      <c r="A70" s="487" t="s">
        <v>22</v>
      </c>
      <c r="B70" s="741">
        <v>4</v>
      </c>
      <c r="C70" s="721">
        <v>11</v>
      </c>
      <c r="D70" s="705">
        <v>18</v>
      </c>
      <c r="E70" s="499">
        <v>25</v>
      </c>
      <c r="F70" s="738"/>
      <c r="G70" s="484"/>
      <c r="H70" s="485"/>
      <c r="I70" s="484"/>
      <c r="J70" s="484"/>
      <c r="K70" s="484"/>
      <c r="L70" s="484"/>
      <c r="M70" s="484"/>
      <c r="N70" s="484"/>
      <c r="O70" s="486"/>
    </row>
    <row r="71" spans="1:15" x14ac:dyDescent="0.2">
      <c r="A71" s="487" t="s">
        <v>23</v>
      </c>
      <c r="B71" s="741">
        <v>5</v>
      </c>
      <c r="C71" s="721">
        <v>12</v>
      </c>
      <c r="D71" s="705">
        <v>19</v>
      </c>
      <c r="E71" s="499">
        <v>26</v>
      </c>
      <c r="F71" s="738"/>
      <c r="G71" s="484"/>
      <c r="H71" s="485"/>
      <c r="I71" s="484"/>
      <c r="J71" s="484"/>
      <c r="K71" s="484"/>
      <c r="L71" s="484"/>
      <c r="M71" s="484"/>
      <c r="N71" s="484"/>
      <c r="O71" s="486"/>
    </row>
    <row r="72" spans="1:15" x14ac:dyDescent="0.2">
      <c r="A72" s="507" t="s">
        <v>873</v>
      </c>
      <c r="B72" s="741">
        <v>6</v>
      </c>
      <c r="C72" s="722">
        <v>13</v>
      </c>
      <c r="D72" s="723">
        <v>20</v>
      </c>
      <c r="E72" s="723">
        <v>27</v>
      </c>
      <c r="F72" s="738"/>
      <c r="G72" s="484"/>
      <c r="H72" s="485"/>
      <c r="I72" s="492"/>
      <c r="J72" s="484"/>
      <c r="K72" s="484"/>
      <c r="L72" s="484"/>
      <c r="M72" s="484"/>
      <c r="N72" s="484"/>
      <c r="O72" s="486"/>
    </row>
    <row r="73" spans="1:15" x14ac:dyDescent="0.2">
      <c r="A73" s="508" t="s">
        <v>608</v>
      </c>
      <c r="B73" s="741">
        <v>7</v>
      </c>
      <c r="C73" s="724">
        <v>14</v>
      </c>
      <c r="D73" s="708">
        <v>21</v>
      </c>
      <c r="E73" s="708">
        <v>28</v>
      </c>
      <c r="F73" s="738"/>
      <c r="G73" s="484"/>
      <c r="H73" s="485"/>
      <c r="I73" s="492"/>
      <c r="J73" s="484"/>
      <c r="K73" s="484"/>
      <c r="L73" s="484"/>
      <c r="M73" s="484"/>
      <c r="N73" s="484"/>
      <c r="O73" s="486"/>
    </row>
    <row r="74" spans="1:15" x14ac:dyDescent="0.2">
      <c r="A74" s="496"/>
      <c r="B74" s="712"/>
      <c r="C74" s="712"/>
      <c r="D74" s="712"/>
      <c r="E74" s="712"/>
      <c r="F74" s="738"/>
      <c r="G74" s="484"/>
      <c r="H74" s="485"/>
      <c r="I74" s="484"/>
      <c r="J74" s="484"/>
      <c r="K74" s="484"/>
      <c r="L74" s="484"/>
      <c r="M74" s="484"/>
      <c r="N74" s="484"/>
      <c r="O74" s="486"/>
    </row>
    <row r="75" spans="1:15" x14ac:dyDescent="0.2">
      <c r="A75" s="483" t="s">
        <v>879</v>
      </c>
      <c r="B75" s="738"/>
      <c r="C75" s="738"/>
      <c r="D75" s="738"/>
      <c r="E75" s="738"/>
      <c r="F75" s="738"/>
      <c r="G75" s="484"/>
      <c r="H75" s="485"/>
      <c r="I75" s="484"/>
      <c r="J75" s="484"/>
      <c r="K75" s="484"/>
      <c r="L75" s="484"/>
      <c r="M75" s="484"/>
      <c r="N75" s="484"/>
      <c r="O75" s="486"/>
    </row>
    <row r="76" spans="1:15" x14ac:dyDescent="0.2">
      <c r="A76" s="487" t="s">
        <v>607</v>
      </c>
      <c r="B76" s="702">
        <v>1</v>
      </c>
      <c r="C76" s="702">
        <v>8</v>
      </c>
      <c r="D76" s="702">
        <v>15</v>
      </c>
      <c r="E76" s="702">
        <v>22</v>
      </c>
      <c r="F76" s="702">
        <v>29</v>
      </c>
      <c r="G76" s="484"/>
      <c r="H76" s="485"/>
      <c r="I76" s="492" t="s">
        <v>1123</v>
      </c>
      <c r="J76" s="484"/>
      <c r="K76" s="484" t="s">
        <v>65</v>
      </c>
      <c r="L76" s="484" t="s">
        <v>1129</v>
      </c>
      <c r="M76" s="484"/>
      <c r="N76" s="484"/>
      <c r="O76" s="486"/>
    </row>
    <row r="77" spans="1:15" x14ac:dyDescent="0.2">
      <c r="A77" s="487" t="s">
        <v>20</v>
      </c>
      <c r="B77" s="499">
        <v>2</v>
      </c>
      <c r="C77" s="499">
        <v>9</v>
      </c>
      <c r="D77" s="705">
        <v>16</v>
      </c>
      <c r="E77" s="705">
        <v>23</v>
      </c>
      <c r="F77" s="499">
        <v>30</v>
      </c>
      <c r="G77" s="484"/>
      <c r="H77" s="485"/>
      <c r="I77" s="492" t="s">
        <v>1124</v>
      </c>
      <c r="J77" s="484"/>
      <c r="K77" s="484" t="s">
        <v>65</v>
      </c>
      <c r="L77" s="484" t="s">
        <v>1128</v>
      </c>
      <c r="M77" s="484"/>
      <c r="N77" s="484"/>
      <c r="O77" s="486"/>
    </row>
    <row r="78" spans="1:15" x14ac:dyDescent="0.2">
      <c r="A78" s="487" t="s">
        <v>21</v>
      </c>
      <c r="B78" s="499">
        <v>3</v>
      </c>
      <c r="C78" s="499">
        <v>10</v>
      </c>
      <c r="D78" s="705">
        <v>17</v>
      </c>
      <c r="E78" s="705">
        <v>24</v>
      </c>
      <c r="F78" s="499">
        <v>31</v>
      </c>
      <c r="G78" s="484"/>
      <c r="H78" s="485"/>
      <c r="I78" s="484" t="s">
        <v>1143</v>
      </c>
      <c r="J78" s="484"/>
      <c r="K78" s="484" t="s">
        <v>65</v>
      </c>
      <c r="L78" s="484" t="s">
        <v>1127</v>
      </c>
      <c r="M78" s="484"/>
      <c r="N78" s="484"/>
      <c r="O78" s="486"/>
    </row>
    <row r="79" spans="1:15" x14ac:dyDescent="0.2">
      <c r="A79" s="487" t="s">
        <v>22</v>
      </c>
      <c r="B79" s="499">
        <v>4</v>
      </c>
      <c r="C79" s="499">
        <v>11</v>
      </c>
      <c r="D79" s="705">
        <v>18</v>
      </c>
      <c r="E79" s="705">
        <v>25</v>
      </c>
      <c r="F79" s="499"/>
      <c r="G79" s="484"/>
      <c r="H79" s="485"/>
      <c r="I79" s="484" t="s">
        <v>1125</v>
      </c>
      <c r="J79" s="484"/>
      <c r="K79" s="484" t="s">
        <v>65</v>
      </c>
      <c r="L79" s="484" t="s">
        <v>1126</v>
      </c>
      <c r="M79" s="484"/>
      <c r="N79" s="484"/>
      <c r="O79" s="486"/>
    </row>
    <row r="80" spans="1:15" x14ac:dyDescent="0.2">
      <c r="A80" s="487" t="s">
        <v>23</v>
      </c>
      <c r="B80" s="499">
        <v>5</v>
      </c>
      <c r="C80" s="499">
        <v>12</v>
      </c>
      <c r="D80" s="710">
        <v>19</v>
      </c>
      <c r="E80" s="705">
        <v>26</v>
      </c>
      <c r="F80" s="499"/>
      <c r="G80" s="484"/>
      <c r="H80" s="485"/>
      <c r="I80" s="484"/>
      <c r="J80" s="484"/>
      <c r="K80" s="484"/>
      <c r="L80" s="484"/>
      <c r="M80" s="484"/>
      <c r="N80" s="484"/>
      <c r="O80" s="486"/>
    </row>
    <row r="81" spans="1:15" x14ac:dyDescent="0.2">
      <c r="A81" s="507" t="s">
        <v>873</v>
      </c>
      <c r="B81" s="723">
        <v>6</v>
      </c>
      <c r="C81" s="723">
        <v>13</v>
      </c>
      <c r="D81" s="725">
        <v>20</v>
      </c>
      <c r="E81" s="726">
        <v>27</v>
      </c>
      <c r="F81" s="499"/>
      <c r="G81" s="484"/>
      <c r="H81" s="485"/>
      <c r="I81" s="492"/>
      <c r="J81" s="484"/>
      <c r="K81" s="484"/>
      <c r="L81" s="484"/>
      <c r="M81" s="484"/>
      <c r="N81" s="484"/>
      <c r="O81" s="486"/>
    </row>
    <row r="82" spans="1:15" x14ac:dyDescent="0.2">
      <c r="A82" s="508" t="s">
        <v>608</v>
      </c>
      <c r="B82" s="708">
        <v>7</v>
      </c>
      <c r="C82" s="708">
        <v>14</v>
      </c>
      <c r="D82" s="727">
        <v>21</v>
      </c>
      <c r="E82" s="708">
        <v>28</v>
      </c>
      <c r="F82" s="728"/>
      <c r="G82" s="484"/>
      <c r="H82" s="485"/>
      <c r="I82" s="492"/>
      <c r="J82" s="484"/>
      <c r="K82" s="484"/>
      <c r="L82" s="484"/>
      <c r="M82" s="484"/>
      <c r="N82" s="484"/>
      <c r="O82" s="486"/>
    </row>
    <row r="83" spans="1:15" x14ac:dyDescent="0.2">
      <c r="A83" s="496"/>
      <c r="B83" s="712"/>
      <c r="C83" s="712"/>
      <c r="D83" s="712"/>
      <c r="E83" s="712"/>
      <c r="F83" s="729"/>
      <c r="G83" s="484"/>
      <c r="H83" s="485"/>
      <c r="I83" s="484"/>
      <c r="J83" s="484"/>
      <c r="K83" s="484"/>
      <c r="L83" s="484"/>
      <c r="M83" s="484"/>
      <c r="N83" s="484"/>
      <c r="O83" s="486"/>
    </row>
    <row r="84" spans="1:15" x14ac:dyDescent="0.2">
      <c r="A84" s="498">
        <v>46113</v>
      </c>
      <c r="B84" s="738"/>
      <c r="C84" s="738"/>
      <c r="D84" s="738"/>
      <c r="E84" s="738"/>
      <c r="F84" s="738"/>
      <c r="G84" s="484"/>
      <c r="H84" s="485"/>
      <c r="I84" s="484"/>
      <c r="J84" s="484"/>
      <c r="K84" s="484"/>
      <c r="L84" s="484"/>
      <c r="M84" s="484"/>
      <c r="N84" s="484"/>
      <c r="O84" s="486"/>
    </row>
    <row r="85" spans="1:15" x14ac:dyDescent="0.2">
      <c r="A85" s="487" t="s">
        <v>607</v>
      </c>
      <c r="B85" s="730"/>
      <c r="C85" s="702">
        <v>5</v>
      </c>
      <c r="D85" s="702">
        <v>12</v>
      </c>
      <c r="E85" s="702">
        <v>19</v>
      </c>
      <c r="F85" s="702">
        <v>26</v>
      </c>
      <c r="G85" s="484"/>
      <c r="H85" s="489"/>
      <c r="I85" s="639" t="s">
        <v>1613</v>
      </c>
      <c r="J85" s="484"/>
      <c r="K85" s="484" t="s">
        <v>65</v>
      </c>
      <c r="L85" s="484" t="s">
        <v>1096</v>
      </c>
      <c r="M85" s="484"/>
      <c r="N85" s="484"/>
      <c r="O85" s="486"/>
    </row>
    <row r="86" spans="1:15" x14ac:dyDescent="0.2">
      <c r="A86" s="487" t="s">
        <v>20</v>
      </c>
      <c r="B86" s="728"/>
      <c r="C86" s="710">
        <v>6</v>
      </c>
      <c r="D86" s="714">
        <v>13</v>
      </c>
      <c r="E86" s="731">
        <v>20</v>
      </c>
      <c r="F86" s="499">
        <v>27</v>
      </c>
      <c r="G86" s="484"/>
      <c r="H86" s="491"/>
      <c r="I86" s="639" t="s">
        <v>1614</v>
      </c>
      <c r="J86" s="484"/>
      <c r="K86" s="484" t="s">
        <v>65</v>
      </c>
      <c r="L86" s="484" t="s">
        <v>1097</v>
      </c>
      <c r="M86" s="484"/>
      <c r="N86" s="484"/>
      <c r="O86" s="486"/>
    </row>
    <row r="87" spans="1:15" x14ac:dyDescent="0.2">
      <c r="A87" s="487" t="s">
        <v>21</v>
      </c>
      <c r="B87" s="728"/>
      <c r="C87" s="714">
        <v>7</v>
      </c>
      <c r="D87" s="714">
        <v>14</v>
      </c>
      <c r="E87" s="731">
        <v>21</v>
      </c>
      <c r="F87" s="499">
        <v>28</v>
      </c>
      <c r="G87" s="484"/>
      <c r="H87" s="491"/>
      <c r="I87" s="492" t="s">
        <v>1100</v>
      </c>
      <c r="J87" s="484"/>
      <c r="K87" s="484" t="s">
        <v>65</v>
      </c>
      <c r="L87" s="484" t="s">
        <v>1101</v>
      </c>
      <c r="M87" s="484"/>
      <c r="N87" s="484"/>
      <c r="O87" s="486"/>
    </row>
    <row r="88" spans="1:15" x14ac:dyDescent="0.2">
      <c r="A88" s="487" t="s">
        <v>22</v>
      </c>
      <c r="B88" s="728">
        <v>1</v>
      </c>
      <c r="C88" s="714">
        <v>8</v>
      </c>
      <c r="D88" s="714">
        <v>15</v>
      </c>
      <c r="E88" s="731">
        <v>22</v>
      </c>
      <c r="F88" s="499">
        <v>29</v>
      </c>
      <c r="G88" s="484"/>
      <c r="H88" s="491"/>
      <c r="I88" s="492" t="s">
        <v>1098</v>
      </c>
      <c r="J88" s="484"/>
      <c r="K88" s="484" t="s">
        <v>65</v>
      </c>
      <c r="L88" s="484" t="s">
        <v>1099</v>
      </c>
      <c r="M88" s="484"/>
      <c r="N88" s="484"/>
      <c r="O88" s="486"/>
    </row>
    <row r="89" spans="1:15" x14ac:dyDescent="0.2">
      <c r="A89" s="487" t="s">
        <v>23</v>
      </c>
      <c r="B89" s="728">
        <v>2</v>
      </c>
      <c r="C89" s="714">
        <v>9</v>
      </c>
      <c r="D89" s="714">
        <v>16</v>
      </c>
      <c r="E89" s="731">
        <v>23</v>
      </c>
      <c r="F89" s="499">
        <v>30</v>
      </c>
      <c r="G89" s="484"/>
      <c r="H89" s="491"/>
      <c r="I89" s="484"/>
      <c r="J89" s="484"/>
      <c r="K89" s="484"/>
      <c r="L89" s="484"/>
      <c r="M89" s="484"/>
      <c r="N89" s="484"/>
      <c r="O89" s="486"/>
    </row>
    <row r="90" spans="1:15" x14ac:dyDescent="0.2">
      <c r="A90" s="487" t="s">
        <v>873</v>
      </c>
      <c r="B90" s="732">
        <v>3</v>
      </c>
      <c r="C90" s="714">
        <v>10</v>
      </c>
      <c r="D90" s="714">
        <v>17</v>
      </c>
      <c r="E90" s="731">
        <v>24</v>
      </c>
      <c r="F90" s="499"/>
      <c r="G90" s="484"/>
      <c r="H90" s="495"/>
      <c r="I90" s="492"/>
      <c r="J90" s="484"/>
      <c r="K90" s="484"/>
      <c r="L90" s="484"/>
      <c r="M90" s="484"/>
      <c r="N90" s="484"/>
      <c r="O90" s="486"/>
    </row>
    <row r="91" spans="1:15" x14ac:dyDescent="0.2">
      <c r="A91" s="487" t="s">
        <v>608</v>
      </c>
      <c r="B91" s="728">
        <v>4</v>
      </c>
      <c r="C91" s="499">
        <v>11</v>
      </c>
      <c r="D91" s="499">
        <v>18</v>
      </c>
      <c r="E91" s="499">
        <v>25</v>
      </c>
      <c r="F91" s="499"/>
      <c r="G91" s="509"/>
      <c r="H91" s="495"/>
      <c r="I91" s="492"/>
      <c r="J91" s="484"/>
      <c r="K91" s="484"/>
      <c r="L91" s="484"/>
      <c r="M91" s="484"/>
      <c r="N91" s="484"/>
      <c r="O91" s="486"/>
    </row>
    <row r="92" spans="1:15" x14ac:dyDescent="0.2">
      <c r="A92" s="496"/>
      <c r="B92" s="729" t="s">
        <v>880</v>
      </c>
      <c r="C92" s="729"/>
      <c r="D92" s="729"/>
      <c r="E92" s="729"/>
      <c r="F92" s="729"/>
      <c r="G92" s="493"/>
      <c r="H92" s="495"/>
      <c r="I92" s="510"/>
      <c r="J92" s="484"/>
      <c r="K92" s="484"/>
      <c r="L92" s="484"/>
      <c r="M92" s="484"/>
      <c r="N92" s="484"/>
      <c r="O92" s="486"/>
    </row>
    <row r="93" spans="1:15" x14ac:dyDescent="0.2">
      <c r="A93" s="483" t="s">
        <v>881</v>
      </c>
      <c r="B93" s="738"/>
      <c r="C93" s="738"/>
      <c r="D93" s="738"/>
      <c r="E93" s="738"/>
      <c r="F93" s="738"/>
      <c r="G93" s="484"/>
      <c r="H93" s="485"/>
      <c r="I93" s="484"/>
      <c r="J93" s="484"/>
      <c r="K93" s="484"/>
      <c r="L93" s="484"/>
      <c r="M93" s="484"/>
      <c r="N93" s="484"/>
      <c r="O93" s="486"/>
    </row>
    <row r="94" spans="1:15" x14ac:dyDescent="0.2">
      <c r="A94" s="487" t="s">
        <v>607</v>
      </c>
      <c r="B94" s="701"/>
      <c r="C94" s="702">
        <v>3</v>
      </c>
      <c r="D94" s="702">
        <v>10</v>
      </c>
      <c r="E94" s="702">
        <v>17</v>
      </c>
      <c r="F94" s="702">
        <v>24</v>
      </c>
      <c r="G94" s="497">
        <v>31</v>
      </c>
      <c r="H94" s="511"/>
      <c r="I94" s="503" t="s">
        <v>1102</v>
      </c>
      <c r="J94" s="484"/>
      <c r="K94" s="484" t="s">
        <v>65</v>
      </c>
      <c r="L94" s="484" t="s">
        <v>1113</v>
      </c>
      <c r="M94" s="484"/>
      <c r="N94" s="484"/>
      <c r="O94" s="486"/>
    </row>
    <row r="95" spans="1:15" x14ac:dyDescent="0.2">
      <c r="A95" s="487" t="s">
        <v>20</v>
      </c>
      <c r="B95" s="499"/>
      <c r="C95" s="709">
        <v>4</v>
      </c>
      <c r="D95" s="499">
        <v>11</v>
      </c>
      <c r="E95" s="499">
        <v>18</v>
      </c>
      <c r="F95" s="499">
        <v>25</v>
      </c>
      <c r="G95" s="490"/>
      <c r="H95" s="495"/>
      <c r="I95" s="503" t="s">
        <v>1103</v>
      </c>
      <c r="J95" s="484"/>
      <c r="K95" s="484" t="s">
        <v>65</v>
      </c>
      <c r="L95" s="484" t="s">
        <v>1112</v>
      </c>
      <c r="M95" s="484"/>
      <c r="N95" s="484"/>
      <c r="O95" s="486"/>
    </row>
    <row r="96" spans="1:15" x14ac:dyDescent="0.2">
      <c r="A96" s="487" t="s">
        <v>21</v>
      </c>
      <c r="B96" s="499"/>
      <c r="C96" s="499">
        <v>5</v>
      </c>
      <c r="D96" s="499">
        <v>12</v>
      </c>
      <c r="E96" s="499">
        <v>19</v>
      </c>
      <c r="F96" s="499">
        <v>26</v>
      </c>
      <c r="G96" s="490"/>
      <c r="H96" s="495"/>
      <c r="I96" s="484" t="s">
        <v>1104</v>
      </c>
      <c r="J96" s="484"/>
      <c r="K96" s="484" t="s">
        <v>65</v>
      </c>
      <c r="L96" s="484" t="s">
        <v>1111</v>
      </c>
      <c r="M96" s="484"/>
      <c r="N96" s="484"/>
      <c r="O96" s="486"/>
    </row>
    <row r="97" spans="1:15" x14ac:dyDescent="0.2">
      <c r="A97" s="487" t="s">
        <v>22</v>
      </c>
      <c r="B97" s="499"/>
      <c r="C97" s="499">
        <v>6</v>
      </c>
      <c r="D97" s="499">
        <v>13</v>
      </c>
      <c r="E97" s="499">
        <v>20</v>
      </c>
      <c r="F97" s="710">
        <v>27</v>
      </c>
      <c r="G97" s="490"/>
      <c r="H97" s="495"/>
      <c r="I97" s="503" t="s">
        <v>1105</v>
      </c>
      <c r="J97" s="484"/>
      <c r="K97" s="484" t="s">
        <v>65</v>
      </c>
      <c r="L97" s="484" t="s">
        <v>1110</v>
      </c>
      <c r="M97" s="484"/>
      <c r="N97" s="484"/>
      <c r="O97" s="486"/>
    </row>
    <row r="98" spans="1:15" x14ac:dyDescent="0.2">
      <c r="A98" s="487" t="s">
        <v>23</v>
      </c>
      <c r="B98" s="499"/>
      <c r="C98" s="499">
        <v>7</v>
      </c>
      <c r="D98" s="710">
        <v>14</v>
      </c>
      <c r="E98" s="499">
        <v>21</v>
      </c>
      <c r="F98" s="499">
        <v>28</v>
      </c>
      <c r="G98" s="490"/>
      <c r="H98" s="495"/>
      <c r="I98" s="503" t="s">
        <v>1106</v>
      </c>
      <c r="J98" s="484"/>
      <c r="K98" s="484" t="s">
        <v>65</v>
      </c>
      <c r="L98" s="484" t="s">
        <v>1109</v>
      </c>
      <c r="M98" s="484"/>
      <c r="N98" s="484"/>
      <c r="O98" s="486"/>
    </row>
    <row r="99" spans="1:15" x14ac:dyDescent="0.2">
      <c r="A99" s="487" t="s">
        <v>873</v>
      </c>
      <c r="B99" s="710">
        <v>1</v>
      </c>
      <c r="C99" s="499">
        <v>8</v>
      </c>
      <c r="D99" s="499">
        <v>15</v>
      </c>
      <c r="E99" s="499">
        <v>22</v>
      </c>
      <c r="F99" s="499">
        <v>29</v>
      </c>
      <c r="G99" s="490"/>
      <c r="H99" s="495"/>
      <c r="I99" s="484" t="s">
        <v>1107</v>
      </c>
      <c r="J99" s="484"/>
      <c r="K99" s="484" t="s">
        <v>65</v>
      </c>
      <c r="L99" s="484" t="s">
        <v>1108</v>
      </c>
      <c r="M99" s="484"/>
      <c r="N99" s="484"/>
      <c r="O99" s="486"/>
    </row>
    <row r="100" spans="1:15" x14ac:dyDescent="0.2">
      <c r="A100" s="487" t="s">
        <v>608</v>
      </c>
      <c r="B100" s="499">
        <v>2</v>
      </c>
      <c r="C100" s="499">
        <v>9</v>
      </c>
      <c r="D100" s="499">
        <v>16</v>
      </c>
      <c r="E100" s="499">
        <v>23</v>
      </c>
      <c r="F100" s="499">
        <v>30</v>
      </c>
      <c r="G100" s="490"/>
      <c r="H100" s="495"/>
      <c r="I100" s="492"/>
      <c r="J100" s="484"/>
      <c r="K100" s="484"/>
      <c r="L100" s="484"/>
      <c r="M100" s="484"/>
      <c r="N100" s="484"/>
      <c r="O100" s="486"/>
    </row>
    <row r="101" spans="1:15" x14ac:dyDescent="0.2">
      <c r="A101" s="496"/>
      <c r="B101" s="712"/>
      <c r="C101" s="712"/>
      <c r="D101" s="712"/>
      <c r="E101" s="712"/>
      <c r="F101" s="712"/>
      <c r="G101" s="484"/>
      <c r="H101" s="485"/>
      <c r="I101" s="492"/>
      <c r="J101" s="484"/>
      <c r="K101" s="484"/>
      <c r="L101" s="484"/>
      <c r="M101" s="484"/>
      <c r="N101" s="484"/>
      <c r="O101" s="486"/>
    </row>
    <row r="102" spans="1:15" x14ac:dyDescent="0.2">
      <c r="A102" s="483" t="s">
        <v>882</v>
      </c>
      <c r="B102" s="738"/>
      <c r="C102" s="738"/>
      <c r="D102" s="738"/>
      <c r="E102" s="738"/>
      <c r="F102" s="738"/>
      <c r="G102" s="484"/>
      <c r="H102" s="485"/>
      <c r="I102" s="484"/>
      <c r="J102" s="484"/>
      <c r="K102" s="484"/>
      <c r="L102" s="484"/>
      <c r="M102" s="484"/>
      <c r="N102" s="484"/>
      <c r="O102" s="486"/>
    </row>
    <row r="103" spans="1:15" x14ac:dyDescent="0.2">
      <c r="A103" s="487" t="s">
        <v>607</v>
      </c>
      <c r="B103" s="701"/>
      <c r="C103" s="702">
        <v>7</v>
      </c>
      <c r="D103" s="702">
        <v>14</v>
      </c>
      <c r="E103" s="702">
        <v>21</v>
      </c>
      <c r="F103" s="702">
        <v>28</v>
      </c>
      <c r="G103" s="484"/>
      <c r="H103" s="485"/>
      <c r="I103" s="503" t="s">
        <v>1130</v>
      </c>
      <c r="J103" s="484"/>
      <c r="K103" s="484" t="s">
        <v>65</v>
      </c>
      <c r="L103" s="484" t="s">
        <v>1139</v>
      </c>
      <c r="M103" s="484"/>
      <c r="N103" s="484"/>
      <c r="O103" s="486"/>
    </row>
    <row r="104" spans="1:15" x14ac:dyDescent="0.2">
      <c r="A104" s="487" t="s">
        <v>20</v>
      </c>
      <c r="B104" s="710">
        <v>1</v>
      </c>
      <c r="C104" s="718">
        <v>8</v>
      </c>
      <c r="D104" s="718">
        <v>15</v>
      </c>
      <c r="E104" s="499">
        <v>22</v>
      </c>
      <c r="F104" s="705">
        <v>29</v>
      </c>
      <c r="G104" s="484"/>
      <c r="H104" s="485"/>
      <c r="I104" s="503" t="s">
        <v>1131</v>
      </c>
      <c r="J104" s="484"/>
      <c r="K104" s="484" t="s">
        <v>65</v>
      </c>
      <c r="L104" s="484" t="s">
        <v>1138</v>
      </c>
      <c r="M104" s="484"/>
      <c r="N104" s="484"/>
      <c r="O104" s="486"/>
    </row>
    <row r="105" spans="1:15" x14ac:dyDescent="0.2">
      <c r="A105" s="487" t="s">
        <v>21</v>
      </c>
      <c r="B105" s="499">
        <v>2</v>
      </c>
      <c r="C105" s="718">
        <v>9</v>
      </c>
      <c r="D105" s="718">
        <v>16</v>
      </c>
      <c r="E105" s="499">
        <v>23</v>
      </c>
      <c r="F105" s="705">
        <v>30</v>
      </c>
      <c r="G105" s="484"/>
      <c r="H105" s="485"/>
      <c r="I105" s="503" t="s">
        <v>1132</v>
      </c>
      <c r="J105" s="484"/>
      <c r="K105" s="484" t="s">
        <v>65</v>
      </c>
      <c r="L105" s="484" t="s">
        <v>1137</v>
      </c>
      <c r="M105" s="484"/>
      <c r="N105" s="484"/>
      <c r="O105" s="486"/>
    </row>
    <row r="106" spans="1:15" x14ac:dyDescent="0.2">
      <c r="A106" s="487" t="s">
        <v>22</v>
      </c>
      <c r="B106" s="499">
        <v>3</v>
      </c>
      <c r="C106" s="718">
        <v>10</v>
      </c>
      <c r="D106" s="710">
        <v>17</v>
      </c>
      <c r="E106" s="499">
        <v>24</v>
      </c>
      <c r="F106" s="499"/>
      <c r="G106" s="484"/>
      <c r="H106" s="485"/>
      <c r="I106" s="503" t="s">
        <v>1133</v>
      </c>
      <c r="J106" s="484"/>
      <c r="K106" s="484" t="s">
        <v>65</v>
      </c>
      <c r="L106" s="484" t="s">
        <v>1136</v>
      </c>
      <c r="M106" s="484"/>
      <c r="N106" s="484"/>
      <c r="O106" s="486"/>
    </row>
    <row r="107" spans="1:15" x14ac:dyDescent="0.2">
      <c r="A107" s="487" t="s">
        <v>23</v>
      </c>
      <c r="B107" s="499">
        <v>4</v>
      </c>
      <c r="C107" s="718">
        <v>11</v>
      </c>
      <c r="D107" s="499">
        <v>18</v>
      </c>
      <c r="E107" s="499">
        <v>25</v>
      </c>
      <c r="F107" s="499"/>
      <c r="G107" s="484"/>
      <c r="H107" s="485"/>
      <c r="I107" s="484" t="s">
        <v>1134</v>
      </c>
      <c r="J107" s="484"/>
      <c r="K107" s="484" t="s">
        <v>65</v>
      </c>
      <c r="L107" s="484" t="s">
        <v>1135</v>
      </c>
      <c r="M107" s="484"/>
      <c r="N107" s="484"/>
      <c r="O107" s="486"/>
    </row>
    <row r="108" spans="1:15" x14ac:dyDescent="0.2">
      <c r="A108" s="487" t="s">
        <v>873</v>
      </c>
      <c r="B108" s="499">
        <v>5</v>
      </c>
      <c r="C108" s="718">
        <v>12</v>
      </c>
      <c r="D108" s="499">
        <v>19</v>
      </c>
      <c r="E108" s="733">
        <v>26</v>
      </c>
      <c r="F108" s="499"/>
      <c r="G108" s="484"/>
      <c r="H108" s="485"/>
      <c r="I108" s="492"/>
      <c r="J108" s="484"/>
      <c r="K108" s="484"/>
      <c r="L108" s="484"/>
      <c r="M108" s="484"/>
      <c r="N108" s="484"/>
      <c r="O108" s="486"/>
    </row>
    <row r="109" spans="1:15" x14ac:dyDescent="0.2">
      <c r="A109" s="487" t="s">
        <v>608</v>
      </c>
      <c r="B109" s="499">
        <v>6</v>
      </c>
      <c r="C109" s="499">
        <v>13</v>
      </c>
      <c r="D109" s="499">
        <v>20</v>
      </c>
      <c r="E109" s="499">
        <v>27</v>
      </c>
      <c r="F109" s="499"/>
      <c r="G109" s="484"/>
      <c r="H109" s="485"/>
      <c r="I109" s="492"/>
      <c r="J109" s="484"/>
      <c r="K109" s="484"/>
      <c r="L109" s="484"/>
      <c r="M109" s="484"/>
      <c r="N109" s="484"/>
      <c r="O109" s="486"/>
    </row>
    <row r="110" spans="1:15" x14ac:dyDescent="0.2">
      <c r="A110" s="496"/>
      <c r="B110" s="712"/>
      <c r="C110" s="712"/>
      <c r="D110" s="712"/>
      <c r="E110" s="712"/>
      <c r="F110" s="738"/>
      <c r="G110" s="484"/>
      <c r="H110" s="485"/>
      <c r="I110" s="484"/>
      <c r="J110" s="484"/>
      <c r="K110" s="484"/>
      <c r="L110" s="484"/>
      <c r="M110" s="484"/>
      <c r="N110" s="484"/>
      <c r="O110" s="486"/>
    </row>
    <row r="111" spans="1:15" x14ac:dyDescent="0.2">
      <c r="A111" s="483" t="s">
        <v>883</v>
      </c>
      <c r="B111" s="738"/>
      <c r="C111" s="738"/>
      <c r="D111" s="738"/>
      <c r="E111" s="738"/>
      <c r="F111" s="738"/>
      <c r="G111" s="484"/>
      <c r="H111" s="485"/>
      <c r="I111" s="484"/>
      <c r="J111" s="484"/>
      <c r="K111" s="484"/>
      <c r="L111" s="484"/>
      <c r="M111" s="484"/>
      <c r="N111" s="484"/>
      <c r="O111" s="486"/>
    </row>
    <row r="112" spans="1:15" x14ac:dyDescent="0.2">
      <c r="A112" s="487" t="s">
        <v>607</v>
      </c>
      <c r="B112" s="734"/>
      <c r="C112" s="702">
        <v>5</v>
      </c>
      <c r="D112" s="702">
        <v>12</v>
      </c>
      <c r="E112" s="702">
        <v>19</v>
      </c>
      <c r="F112" s="702">
        <v>26</v>
      </c>
      <c r="G112" s="484"/>
      <c r="H112" s="489"/>
      <c r="I112" s="484" t="s">
        <v>1140</v>
      </c>
      <c r="J112" s="495"/>
      <c r="K112" s="495" t="s">
        <v>65</v>
      </c>
      <c r="L112" s="484" t="s">
        <v>1135</v>
      </c>
      <c r="M112" s="484"/>
      <c r="N112" s="484"/>
      <c r="O112" s="486"/>
    </row>
    <row r="113" spans="1:15" x14ac:dyDescent="0.2">
      <c r="A113" s="487" t="s">
        <v>20</v>
      </c>
      <c r="B113" s="735"/>
      <c r="C113" s="705">
        <v>6</v>
      </c>
      <c r="D113" s="736">
        <v>13</v>
      </c>
      <c r="E113" s="499">
        <v>20</v>
      </c>
      <c r="F113" s="499">
        <v>27</v>
      </c>
      <c r="G113" s="484"/>
      <c r="H113" s="491"/>
      <c r="I113" s="484" t="s">
        <v>1141</v>
      </c>
      <c r="J113" s="495"/>
      <c r="K113" s="495" t="s">
        <v>65</v>
      </c>
      <c r="L113" s="484" t="s">
        <v>1142</v>
      </c>
      <c r="M113" s="484"/>
      <c r="N113" s="484"/>
      <c r="O113" s="486"/>
    </row>
    <row r="114" spans="1:15" x14ac:dyDescent="0.2">
      <c r="A114" s="487" t="s">
        <v>21</v>
      </c>
      <c r="B114" s="735"/>
      <c r="C114" s="705">
        <v>7</v>
      </c>
      <c r="D114" s="499">
        <v>14</v>
      </c>
      <c r="E114" s="499">
        <v>21</v>
      </c>
      <c r="F114" s="499">
        <v>28</v>
      </c>
      <c r="G114" s="484"/>
      <c r="H114" s="491"/>
      <c r="I114" s="484"/>
      <c r="J114" s="493"/>
      <c r="K114" s="493"/>
      <c r="L114" s="484"/>
      <c r="M114" s="484"/>
      <c r="N114" s="484"/>
      <c r="O114" s="486"/>
    </row>
    <row r="115" spans="1:15" x14ac:dyDescent="0.2">
      <c r="A115" s="487" t="s">
        <v>22</v>
      </c>
      <c r="B115" s="737">
        <v>1</v>
      </c>
      <c r="C115" s="705">
        <v>8</v>
      </c>
      <c r="D115" s="499">
        <v>15</v>
      </c>
      <c r="E115" s="499">
        <v>22</v>
      </c>
      <c r="F115" s="499">
        <v>29</v>
      </c>
      <c r="G115" s="484"/>
      <c r="H115" s="491"/>
      <c r="I115" s="484"/>
      <c r="J115" s="493"/>
      <c r="K115" s="493"/>
      <c r="L115" s="484"/>
      <c r="M115" s="484"/>
      <c r="N115" s="484"/>
      <c r="O115" s="486"/>
    </row>
    <row r="116" spans="1:15" x14ac:dyDescent="0.2">
      <c r="A116" s="487" t="s">
        <v>23</v>
      </c>
      <c r="B116" s="737">
        <v>2</v>
      </c>
      <c r="C116" s="705">
        <v>9</v>
      </c>
      <c r="D116" s="499">
        <v>16</v>
      </c>
      <c r="E116" s="499">
        <v>23</v>
      </c>
      <c r="F116" s="499">
        <v>30</v>
      </c>
      <c r="G116" s="484"/>
      <c r="H116" s="491"/>
      <c r="I116" s="484"/>
      <c r="J116" s="493"/>
      <c r="K116" s="493"/>
      <c r="L116" s="484"/>
      <c r="M116" s="484"/>
      <c r="N116" s="484"/>
      <c r="O116" s="486"/>
    </row>
    <row r="117" spans="1:15" x14ac:dyDescent="0.2">
      <c r="A117" s="487" t="s">
        <v>873</v>
      </c>
      <c r="B117" s="737">
        <v>3</v>
      </c>
      <c r="C117" s="705">
        <v>10</v>
      </c>
      <c r="D117" s="499">
        <v>17</v>
      </c>
      <c r="E117" s="499">
        <v>24</v>
      </c>
      <c r="F117" s="499">
        <v>31</v>
      </c>
      <c r="G117" s="484"/>
      <c r="H117" s="491"/>
      <c r="I117" s="492"/>
      <c r="J117" s="493"/>
      <c r="K117" s="484"/>
      <c r="L117" s="484"/>
      <c r="M117" s="484"/>
      <c r="N117" s="484"/>
      <c r="O117" s="486"/>
    </row>
    <row r="118" spans="1:15" x14ac:dyDescent="0.2">
      <c r="A118" s="487" t="s">
        <v>608</v>
      </c>
      <c r="B118" s="735">
        <v>4</v>
      </c>
      <c r="C118" s="499">
        <v>11</v>
      </c>
      <c r="D118" s="499">
        <v>18</v>
      </c>
      <c r="E118" s="499">
        <v>25</v>
      </c>
      <c r="F118" s="499"/>
      <c r="G118" s="484"/>
      <c r="H118" s="495"/>
      <c r="I118" s="492"/>
      <c r="J118" s="493"/>
      <c r="K118" s="484"/>
      <c r="L118" s="484"/>
      <c r="M118" s="484"/>
      <c r="N118" s="484"/>
      <c r="O118" s="486"/>
    </row>
    <row r="119" spans="1:15" ht="12" thickBot="1" x14ac:dyDescent="0.25">
      <c r="A119" s="512"/>
      <c r="B119" s="742"/>
      <c r="C119" s="742"/>
      <c r="D119" s="742"/>
      <c r="E119" s="742"/>
      <c r="F119" s="742"/>
      <c r="G119" s="513"/>
      <c r="H119" s="514"/>
      <c r="I119" s="513"/>
      <c r="J119" s="513"/>
      <c r="K119" s="513"/>
      <c r="L119" s="513"/>
      <c r="M119" s="513"/>
      <c r="N119" s="513"/>
      <c r="O119" s="515"/>
    </row>
  </sheetData>
  <mergeCells count="2">
    <mergeCell ref="A1:O1"/>
    <mergeCell ref="A2:O2"/>
  </mergeCells>
  <printOptions horizontalCentered="1" verticalCentered="1"/>
  <pageMargins left="0.25" right="0.25" top="0.75" bottom="0.75" header="0.3" footer="0.3"/>
  <pageSetup paperSize="9" scale="56" fitToWidth="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pageSetUpPr fitToPage="1"/>
  </sheetPr>
  <dimension ref="A1:S35"/>
  <sheetViews>
    <sheetView topLeftCell="A8" zoomScale="103" zoomScaleNormal="90" workbookViewId="0">
      <selection activeCell="J26" sqref="J26:M33"/>
    </sheetView>
  </sheetViews>
  <sheetFormatPr defaultColWidth="9.140625" defaultRowHeight="16.5" x14ac:dyDescent="0.3"/>
  <cols>
    <col min="1" max="1" width="10.28515625" style="3" customWidth="1"/>
    <col min="2" max="2" width="22.85546875" style="3" customWidth="1"/>
    <col min="3" max="4" width="7.42578125" style="3" customWidth="1"/>
    <col min="5" max="5" width="8.140625" style="3" customWidth="1"/>
    <col min="6" max="7" width="6.42578125" style="3" customWidth="1"/>
    <col min="8" max="8" width="8.28515625" style="3" customWidth="1"/>
    <col min="9" max="9" width="6.42578125" style="3" customWidth="1"/>
    <col min="10" max="10" width="6.5703125" style="3" customWidth="1"/>
    <col min="11" max="11" width="6.140625" style="3" customWidth="1"/>
    <col min="12" max="13" width="6.5703125" style="3" customWidth="1"/>
    <col min="14" max="14" width="6.140625" style="3" customWidth="1"/>
    <col min="15" max="15" width="0.5703125" style="3" customWidth="1"/>
    <col min="16" max="16" width="3.42578125" style="3" customWidth="1"/>
    <col min="17" max="17" width="3.85546875" style="3" customWidth="1"/>
    <col min="18" max="18" width="16" style="3" customWidth="1"/>
    <col min="19" max="19" width="0.85546875" style="3" customWidth="1"/>
    <col min="20" max="16384" width="9.140625" style="3"/>
  </cols>
  <sheetData>
    <row r="1" spans="1:19" ht="18.75" x14ac:dyDescent="0.3">
      <c r="A1" s="751" t="s">
        <v>1618</v>
      </c>
      <c r="B1" s="751"/>
      <c r="C1" s="751"/>
      <c r="D1" s="751"/>
      <c r="E1" s="751"/>
      <c r="F1" s="751"/>
      <c r="G1" s="751"/>
      <c r="H1" s="751"/>
      <c r="I1" s="751"/>
      <c r="J1" s="751"/>
      <c r="K1" s="751"/>
      <c r="L1" s="751"/>
      <c r="M1" s="751"/>
      <c r="N1" s="751"/>
      <c r="O1" s="751"/>
      <c r="P1" s="751"/>
      <c r="Q1" s="751"/>
      <c r="R1" s="234" t="s">
        <v>1615</v>
      </c>
      <c r="S1" s="2"/>
    </row>
    <row r="2" spans="1:19" x14ac:dyDescent="0.3">
      <c r="A2" s="817" t="s">
        <v>971</v>
      </c>
      <c r="B2" s="817"/>
      <c r="C2" s="817"/>
      <c r="D2" s="817"/>
      <c r="E2" s="817"/>
      <c r="F2" s="817"/>
      <c r="G2" s="817"/>
      <c r="H2" s="817"/>
      <c r="I2" s="817"/>
      <c r="J2" s="817"/>
      <c r="K2" s="817"/>
      <c r="L2" s="817"/>
      <c r="M2" s="817"/>
      <c r="N2" s="817"/>
      <c r="O2" s="817"/>
      <c r="P2" s="817"/>
      <c r="Q2" s="817"/>
      <c r="R2" s="168" t="s">
        <v>1616</v>
      </c>
      <c r="S2" s="5"/>
    </row>
    <row r="3" spans="1:19" ht="9" customHeight="1" x14ac:dyDescent="0.3">
      <c r="A3" s="27"/>
      <c r="B3" s="27"/>
      <c r="C3" s="27"/>
      <c r="D3" s="27"/>
      <c r="E3" s="27"/>
      <c r="F3" s="27"/>
      <c r="G3" s="27"/>
      <c r="H3" s="27"/>
      <c r="I3" s="27"/>
      <c r="J3" s="27"/>
      <c r="K3" s="27"/>
      <c r="L3" s="27"/>
      <c r="M3" s="27"/>
      <c r="N3" s="27"/>
      <c r="O3" s="27"/>
      <c r="P3" s="27"/>
      <c r="Q3" s="27"/>
      <c r="R3" s="27"/>
    </row>
    <row r="4" spans="1:19" x14ac:dyDescent="0.3">
      <c r="A4" s="818" t="s">
        <v>18</v>
      </c>
      <c r="B4" s="818" t="s">
        <v>19</v>
      </c>
      <c r="C4" s="818">
        <v>1</v>
      </c>
      <c r="D4" s="818">
        <v>2</v>
      </c>
      <c r="E4" s="818">
        <v>3</v>
      </c>
      <c r="F4" s="818">
        <v>4</v>
      </c>
      <c r="G4" s="818">
        <v>5</v>
      </c>
      <c r="H4" s="818">
        <v>6</v>
      </c>
      <c r="I4" s="818">
        <v>7</v>
      </c>
      <c r="J4" s="818">
        <v>8</v>
      </c>
      <c r="K4" s="818">
        <v>9</v>
      </c>
      <c r="L4" s="818">
        <v>10</v>
      </c>
      <c r="M4" s="818">
        <v>11</v>
      </c>
      <c r="N4" s="818">
        <v>12</v>
      </c>
      <c r="O4" s="27"/>
      <c r="P4" s="516" t="s">
        <v>16</v>
      </c>
      <c r="Q4" s="517"/>
      <c r="R4" s="517"/>
      <c r="S4" s="8"/>
    </row>
    <row r="5" spans="1:19" ht="17.25" thickBot="1" x14ac:dyDescent="0.35">
      <c r="A5" s="819"/>
      <c r="B5" s="819"/>
      <c r="C5" s="819"/>
      <c r="D5" s="819"/>
      <c r="E5" s="819"/>
      <c r="F5" s="820"/>
      <c r="G5" s="819"/>
      <c r="H5" s="819"/>
      <c r="I5" s="819"/>
      <c r="J5" s="819"/>
      <c r="K5" s="819"/>
      <c r="L5" s="819"/>
      <c r="M5" s="819"/>
      <c r="N5" s="819"/>
      <c r="O5" s="27"/>
      <c r="P5" s="518"/>
      <c r="Q5" s="27"/>
      <c r="R5" s="27"/>
      <c r="S5" s="9"/>
    </row>
    <row r="6" spans="1:19" ht="18" customHeight="1" thickTop="1" x14ac:dyDescent="0.3">
      <c r="A6" s="807" t="s">
        <v>20</v>
      </c>
      <c r="B6" s="519" t="s">
        <v>884</v>
      </c>
      <c r="C6" s="809"/>
      <c r="D6" s="810"/>
      <c r="E6" s="803"/>
      <c r="F6" s="804"/>
      <c r="G6" s="803"/>
      <c r="H6" s="804"/>
      <c r="I6" s="803"/>
      <c r="J6" s="804"/>
      <c r="K6" s="799"/>
      <c r="L6" s="800"/>
      <c r="M6" s="799"/>
      <c r="N6" s="800"/>
      <c r="O6" s="27"/>
      <c r="P6" s="518"/>
      <c r="Q6" s="27"/>
      <c r="R6" s="27"/>
      <c r="S6" s="9"/>
    </row>
    <row r="7" spans="1:19" ht="18" customHeight="1" thickBot="1" x14ac:dyDescent="0.35">
      <c r="A7" s="808"/>
      <c r="B7" s="520" t="s">
        <v>700</v>
      </c>
      <c r="C7" s="805"/>
      <c r="D7" s="806"/>
      <c r="E7" s="805"/>
      <c r="F7" s="806"/>
      <c r="G7" s="805"/>
      <c r="H7" s="806"/>
      <c r="I7" s="805"/>
      <c r="J7" s="806"/>
      <c r="K7" s="801"/>
      <c r="L7" s="802"/>
      <c r="M7" s="801"/>
      <c r="N7" s="802"/>
      <c r="O7" s="27"/>
      <c r="P7" s="518"/>
      <c r="Q7" s="27"/>
      <c r="R7" s="27"/>
      <c r="S7" s="9"/>
    </row>
    <row r="8" spans="1:19" ht="18" customHeight="1" thickTop="1" x14ac:dyDescent="0.3">
      <c r="A8" s="808" t="s">
        <v>21</v>
      </c>
      <c r="B8" s="521" t="s">
        <v>39</v>
      </c>
      <c r="C8" s="799"/>
      <c r="D8" s="800"/>
      <c r="E8" s="799"/>
      <c r="F8" s="800"/>
      <c r="G8" s="813"/>
      <c r="H8" s="814"/>
      <c r="I8" s="799"/>
      <c r="J8" s="800"/>
      <c r="K8" s="799"/>
      <c r="L8" s="800"/>
      <c r="M8" s="799"/>
      <c r="N8" s="800"/>
      <c r="O8" s="27"/>
      <c r="P8" s="518"/>
      <c r="Q8" s="27"/>
      <c r="R8" s="27"/>
      <c r="S8" s="9"/>
    </row>
    <row r="9" spans="1:19" ht="18" customHeight="1" thickBot="1" x14ac:dyDescent="0.35">
      <c r="A9" s="808"/>
      <c r="B9" s="522" t="s">
        <v>286</v>
      </c>
      <c r="C9" s="801"/>
      <c r="D9" s="802"/>
      <c r="E9" s="811"/>
      <c r="F9" s="812"/>
      <c r="G9" s="815"/>
      <c r="H9" s="816"/>
      <c r="I9" s="801"/>
      <c r="J9" s="802"/>
      <c r="K9" s="801"/>
      <c r="L9" s="802"/>
      <c r="M9" s="801"/>
      <c r="N9" s="802"/>
      <c r="O9" s="27"/>
      <c r="P9" s="518"/>
      <c r="Q9" s="27"/>
      <c r="R9" s="27"/>
      <c r="S9" s="9"/>
    </row>
    <row r="10" spans="1:19" ht="18" customHeight="1" thickTop="1" x14ac:dyDescent="0.3">
      <c r="A10" s="808" t="s">
        <v>22</v>
      </c>
      <c r="B10" s="521" t="s">
        <v>39</v>
      </c>
      <c r="C10" s="821"/>
      <c r="D10" s="822"/>
      <c r="E10" s="799"/>
      <c r="F10" s="800"/>
      <c r="G10" s="799"/>
      <c r="H10" s="800"/>
      <c r="I10" s="799"/>
      <c r="J10" s="800"/>
      <c r="K10" s="799"/>
      <c r="L10" s="800"/>
      <c r="M10" s="799"/>
      <c r="N10" s="800"/>
      <c r="O10" s="27"/>
      <c r="P10" s="518"/>
      <c r="Q10" s="27"/>
      <c r="R10" s="27"/>
      <c r="S10" s="9"/>
    </row>
    <row r="11" spans="1:19" ht="18" customHeight="1" thickBot="1" x14ac:dyDescent="0.35">
      <c r="A11" s="808"/>
      <c r="B11" s="522" t="s">
        <v>286</v>
      </c>
      <c r="C11" s="801"/>
      <c r="D11" s="802"/>
      <c r="E11" s="801"/>
      <c r="F11" s="802"/>
      <c r="G11" s="801"/>
      <c r="H11" s="802"/>
      <c r="I11" s="801"/>
      <c r="J11" s="802"/>
      <c r="K11" s="801"/>
      <c r="L11" s="802"/>
      <c r="M11" s="801"/>
      <c r="N11" s="802"/>
      <c r="O11" s="27"/>
      <c r="P11" s="518"/>
      <c r="Q11" s="27"/>
      <c r="R11" s="27"/>
      <c r="S11" s="9"/>
    </row>
    <row r="12" spans="1:19" ht="18" customHeight="1" thickTop="1" x14ac:dyDescent="0.3">
      <c r="A12" s="808" t="s">
        <v>23</v>
      </c>
      <c r="B12" s="521" t="s">
        <v>39</v>
      </c>
      <c r="C12" s="799"/>
      <c r="D12" s="800"/>
      <c r="E12" s="799"/>
      <c r="F12" s="800"/>
      <c r="G12" s="799"/>
      <c r="H12" s="800"/>
      <c r="I12" s="799"/>
      <c r="J12" s="800"/>
      <c r="K12" s="799"/>
      <c r="L12" s="800"/>
      <c r="M12" s="799"/>
      <c r="N12" s="800"/>
      <c r="O12" s="27"/>
      <c r="P12" s="518"/>
      <c r="Q12" s="27"/>
      <c r="R12" s="27"/>
      <c r="S12" s="9"/>
    </row>
    <row r="13" spans="1:19" ht="18" customHeight="1" thickBot="1" x14ac:dyDescent="0.35">
      <c r="A13" s="808"/>
      <c r="B13" s="522" t="s">
        <v>286</v>
      </c>
      <c r="C13" s="801"/>
      <c r="D13" s="802"/>
      <c r="E13" s="801"/>
      <c r="F13" s="802"/>
      <c r="G13" s="801"/>
      <c r="H13" s="802"/>
      <c r="I13" s="801"/>
      <c r="J13" s="802"/>
      <c r="K13" s="801"/>
      <c r="L13" s="802"/>
      <c r="M13" s="801"/>
      <c r="N13" s="802"/>
      <c r="O13" s="27"/>
      <c r="P13" s="518"/>
      <c r="Q13" s="27"/>
      <c r="R13" s="27"/>
      <c r="S13" s="9"/>
    </row>
    <row r="14" spans="1:19" ht="18" customHeight="1" thickTop="1" x14ac:dyDescent="0.3">
      <c r="A14" s="808" t="s">
        <v>24</v>
      </c>
      <c r="B14" s="521" t="s">
        <v>39</v>
      </c>
      <c r="C14" s="799"/>
      <c r="D14" s="800"/>
      <c r="E14" s="799"/>
      <c r="F14" s="800"/>
      <c r="G14" s="799"/>
      <c r="H14" s="800"/>
      <c r="I14" s="799"/>
      <c r="J14" s="800"/>
      <c r="K14" s="799"/>
      <c r="L14" s="800"/>
      <c r="M14" s="799"/>
      <c r="N14" s="800"/>
      <c r="O14" s="27"/>
      <c r="P14" s="518"/>
      <c r="Q14" s="27"/>
      <c r="R14" s="27"/>
      <c r="S14" s="9"/>
    </row>
    <row r="15" spans="1:19" ht="18" customHeight="1" thickBot="1" x14ac:dyDescent="0.35">
      <c r="A15" s="808"/>
      <c r="B15" s="522" t="s">
        <v>286</v>
      </c>
      <c r="C15" s="801"/>
      <c r="D15" s="802"/>
      <c r="E15" s="801"/>
      <c r="F15" s="802"/>
      <c r="G15" s="801"/>
      <c r="H15" s="802"/>
      <c r="I15" s="801"/>
      <c r="J15" s="802"/>
      <c r="K15" s="801"/>
      <c r="L15" s="802"/>
      <c r="M15" s="801"/>
      <c r="N15" s="802"/>
      <c r="O15" s="523"/>
      <c r="P15" s="524"/>
      <c r="Q15" s="523"/>
      <c r="R15" s="523"/>
      <c r="S15" s="9"/>
    </row>
    <row r="16" spans="1:19" ht="19.5" thickTop="1" x14ac:dyDescent="0.3">
      <c r="A16" s="27"/>
      <c r="B16" s="774" t="s">
        <v>25</v>
      </c>
      <c r="C16" s="751"/>
      <c r="D16" s="751"/>
      <c r="E16" s="751"/>
      <c r="F16" s="751"/>
      <c r="G16" s="751"/>
      <c r="H16" s="751"/>
      <c r="I16" s="27"/>
      <c r="J16" s="27"/>
      <c r="K16" s="27"/>
      <c r="L16" s="27"/>
      <c r="M16" s="27"/>
      <c r="N16" s="27"/>
      <c r="O16" s="27"/>
      <c r="P16" s="27"/>
      <c r="Q16" s="27"/>
      <c r="R16" s="27"/>
    </row>
    <row r="17" spans="1:18" ht="17.25" customHeight="1" x14ac:dyDescent="0.3">
      <c r="A17" s="27"/>
      <c r="B17" s="525" t="s">
        <v>355</v>
      </c>
      <c r="C17" s="781" t="s">
        <v>355</v>
      </c>
      <c r="D17" s="782"/>
      <c r="E17" s="783"/>
      <c r="F17" s="784" t="s">
        <v>356</v>
      </c>
      <c r="G17" s="785"/>
      <c r="H17" s="786"/>
      <c r="I17" s="27"/>
      <c r="J17" s="146" t="s">
        <v>44</v>
      </c>
      <c r="K17" s="27"/>
      <c r="L17" s="27"/>
      <c r="M17" s="27"/>
      <c r="N17" s="27"/>
      <c r="O17" s="27"/>
      <c r="P17" s="27"/>
      <c r="Q17" s="27"/>
      <c r="R17" s="27"/>
    </row>
    <row r="18" spans="1:18" ht="17.25" customHeight="1" x14ac:dyDescent="0.3">
      <c r="A18" s="27"/>
      <c r="B18" s="526" t="s">
        <v>89</v>
      </c>
      <c r="C18" s="794" t="s">
        <v>357</v>
      </c>
      <c r="D18" s="795"/>
      <c r="E18" s="795"/>
      <c r="F18" s="787"/>
      <c r="G18" s="788"/>
      <c r="H18" s="789"/>
      <c r="I18" s="27"/>
      <c r="J18" s="27" t="s">
        <v>45</v>
      </c>
      <c r="K18" s="27"/>
      <c r="L18" s="27"/>
      <c r="M18" s="27"/>
      <c r="N18" s="27"/>
      <c r="O18" s="27"/>
      <c r="P18" s="27"/>
      <c r="Q18" s="27"/>
      <c r="R18" s="27"/>
    </row>
    <row r="19" spans="1:18" ht="17.25" customHeight="1" x14ac:dyDescent="0.3">
      <c r="A19" s="27"/>
      <c r="B19" s="525" t="s">
        <v>372</v>
      </c>
      <c r="C19" s="781" t="s">
        <v>372</v>
      </c>
      <c r="D19" s="782"/>
      <c r="E19" s="783"/>
      <c r="F19" s="781" t="s">
        <v>373</v>
      </c>
      <c r="G19" s="782"/>
      <c r="H19" s="783"/>
      <c r="I19" s="27"/>
      <c r="J19" s="27" t="s">
        <v>972</v>
      </c>
      <c r="K19" s="27"/>
      <c r="L19" s="27"/>
      <c r="M19" s="27"/>
      <c r="N19" s="27"/>
      <c r="O19" s="27"/>
      <c r="P19" s="27"/>
      <c r="Q19" s="27"/>
      <c r="R19" s="27"/>
    </row>
    <row r="20" spans="1:18" ht="17.25" customHeight="1" x14ac:dyDescent="0.3">
      <c r="A20" s="27"/>
      <c r="B20" s="202" t="s">
        <v>371</v>
      </c>
      <c r="C20" s="780" t="s">
        <v>371</v>
      </c>
      <c r="D20" s="778"/>
      <c r="E20" s="779"/>
      <c r="F20" s="778" t="s">
        <v>374</v>
      </c>
      <c r="G20" s="778"/>
      <c r="H20" s="779"/>
      <c r="I20" s="27"/>
      <c r="J20" s="27"/>
      <c r="K20" s="27"/>
      <c r="L20" s="27"/>
      <c r="M20" s="27"/>
      <c r="N20" s="27"/>
      <c r="O20" s="27"/>
      <c r="P20" s="27"/>
      <c r="Q20" s="27"/>
      <c r="R20" s="27"/>
    </row>
    <row r="21" spans="1:18" ht="15" customHeight="1" x14ac:dyDescent="0.3">
      <c r="A21" s="27"/>
      <c r="B21" s="202" t="s">
        <v>90</v>
      </c>
      <c r="C21" s="778" t="s">
        <v>358</v>
      </c>
      <c r="D21" s="778"/>
      <c r="E21" s="779"/>
      <c r="F21" s="775" t="s">
        <v>380</v>
      </c>
      <c r="G21" s="776"/>
      <c r="H21" s="777"/>
      <c r="I21" s="27"/>
      <c r="J21" s="27"/>
      <c r="K21" s="27"/>
      <c r="L21" s="27"/>
      <c r="M21" s="27"/>
      <c r="N21" s="27"/>
      <c r="O21" s="27"/>
      <c r="P21" s="27"/>
      <c r="Q21" s="27"/>
      <c r="R21" s="27"/>
    </row>
    <row r="22" spans="1:18" ht="15" customHeight="1" x14ac:dyDescent="0.3">
      <c r="A22" s="27"/>
      <c r="B22" s="181" t="s">
        <v>91</v>
      </c>
      <c r="C22" s="790" t="s">
        <v>359</v>
      </c>
      <c r="D22" s="790"/>
      <c r="E22" s="791"/>
      <c r="F22" s="775" t="s">
        <v>381</v>
      </c>
      <c r="G22" s="776"/>
      <c r="H22" s="777"/>
      <c r="I22" s="27"/>
      <c r="J22" s="27" t="s">
        <v>885</v>
      </c>
      <c r="K22" s="27"/>
      <c r="L22" s="27"/>
      <c r="M22" s="27"/>
      <c r="N22" s="27"/>
      <c r="O22" s="27"/>
      <c r="P22" s="27"/>
      <c r="Q22" s="27"/>
      <c r="R22" s="27"/>
    </row>
    <row r="23" spans="1:18" ht="15" customHeight="1" x14ac:dyDescent="0.3">
      <c r="A23" s="27"/>
      <c r="B23" s="181" t="s">
        <v>92</v>
      </c>
      <c r="C23" s="790" t="s">
        <v>360</v>
      </c>
      <c r="D23" s="790"/>
      <c r="E23" s="791"/>
      <c r="F23" s="775" t="s">
        <v>382</v>
      </c>
      <c r="G23" s="776"/>
      <c r="H23" s="777"/>
      <c r="I23" s="27"/>
      <c r="J23" s="27" t="s">
        <v>1164</v>
      </c>
      <c r="K23" s="27"/>
      <c r="L23" s="27"/>
      <c r="M23" s="27"/>
      <c r="N23" s="27"/>
      <c r="O23" s="27"/>
      <c r="P23" s="27"/>
      <c r="Q23" s="27"/>
      <c r="R23" s="27"/>
    </row>
    <row r="24" spans="1:18" ht="15" customHeight="1" x14ac:dyDescent="0.3">
      <c r="A24" s="27"/>
      <c r="B24" s="181" t="s">
        <v>93</v>
      </c>
      <c r="C24" s="790" t="s">
        <v>361</v>
      </c>
      <c r="D24" s="790"/>
      <c r="E24" s="791"/>
      <c r="F24" s="775" t="s">
        <v>383</v>
      </c>
      <c r="G24" s="776"/>
      <c r="H24" s="777"/>
      <c r="I24" s="27"/>
      <c r="J24" s="27"/>
      <c r="K24" s="27"/>
      <c r="L24" s="27"/>
      <c r="M24" s="27"/>
      <c r="N24" s="27"/>
      <c r="O24" s="27"/>
      <c r="P24" s="27"/>
      <c r="Q24" s="27"/>
      <c r="R24" s="27"/>
    </row>
    <row r="25" spans="1:18" ht="15" customHeight="1" x14ac:dyDescent="0.3">
      <c r="A25" s="27"/>
      <c r="B25" s="527" t="s">
        <v>94</v>
      </c>
      <c r="C25" s="797" t="s">
        <v>94</v>
      </c>
      <c r="D25" s="797"/>
      <c r="E25" s="798"/>
      <c r="F25" s="797" t="s">
        <v>94</v>
      </c>
      <c r="G25" s="797"/>
      <c r="H25" s="798"/>
      <c r="I25" s="27"/>
      <c r="J25" s="27"/>
      <c r="K25" s="27"/>
      <c r="L25" s="27"/>
      <c r="M25" s="27"/>
      <c r="N25" s="27"/>
      <c r="O25" s="27"/>
      <c r="P25" s="27"/>
      <c r="Q25" s="27"/>
      <c r="R25" s="27"/>
    </row>
    <row r="26" spans="1:18" ht="15" customHeight="1" x14ac:dyDescent="0.3">
      <c r="A26" s="27"/>
      <c r="B26" s="181" t="s">
        <v>95</v>
      </c>
      <c r="C26" s="790" t="s">
        <v>362</v>
      </c>
      <c r="D26" s="790"/>
      <c r="E26" s="791"/>
      <c r="F26" s="790" t="s">
        <v>384</v>
      </c>
      <c r="G26" s="790"/>
      <c r="H26" s="791"/>
      <c r="I26" s="27"/>
      <c r="J26" s="38"/>
      <c r="K26" s="27"/>
      <c r="L26" s="27"/>
      <c r="M26" s="27"/>
      <c r="N26" s="27"/>
      <c r="O26" s="27"/>
      <c r="P26" s="27"/>
      <c r="Q26" s="27"/>
      <c r="R26" s="27"/>
    </row>
    <row r="27" spans="1:18" ht="15" customHeight="1" x14ac:dyDescent="0.3">
      <c r="A27" s="27"/>
      <c r="B27" s="181" t="s">
        <v>96</v>
      </c>
      <c r="C27" s="790" t="s">
        <v>363</v>
      </c>
      <c r="D27" s="790"/>
      <c r="E27" s="791"/>
      <c r="F27" s="790" t="s">
        <v>385</v>
      </c>
      <c r="G27" s="790"/>
      <c r="H27" s="791"/>
      <c r="I27" s="27"/>
      <c r="J27" s="27"/>
      <c r="K27" s="27"/>
      <c r="L27" s="27"/>
      <c r="M27" s="27"/>
      <c r="N27" s="27"/>
      <c r="O27" s="27"/>
      <c r="P27" s="27"/>
      <c r="Q27" s="27"/>
      <c r="R27" s="27"/>
    </row>
    <row r="28" spans="1:18" ht="15" customHeight="1" x14ac:dyDescent="0.3">
      <c r="A28" s="27"/>
      <c r="B28" s="527" t="s">
        <v>97</v>
      </c>
      <c r="C28" s="797" t="s">
        <v>364</v>
      </c>
      <c r="D28" s="797"/>
      <c r="E28" s="798"/>
      <c r="F28" s="797" t="s">
        <v>375</v>
      </c>
      <c r="G28" s="797"/>
      <c r="H28" s="798"/>
      <c r="I28" s="27"/>
      <c r="J28" s="27"/>
      <c r="K28" s="27"/>
      <c r="L28" s="27"/>
      <c r="M28" s="27"/>
      <c r="N28" s="27"/>
      <c r="O28" s="27"/>
      <c r="P28" s="27"/>
      <c r="Q28" s="27"/>
      <c r="R28" s="27"/>
    </row>
    <row r="29" spans="1:18" ht="15" customHeight="1" x14ac:dyDescent="0.3">
      <c r="A29" s="27"/>
      <c r="B29" s="181" t="s">
        <v>98</v>
      </c>
      <c r="C29" s="790" t="s">
        <v>365</v>
      </c>
      <c r="D29" s="790"/>
      <c r="E29" s="791"/>
      <c r="F29" s="775" t="s">
        <v>376</v>
      </c>
      <c r="G29" s="776"/>
      <c r="H29" s="777"/>
      <c r="I29" s="27"/>
      <c r="J29" s="27"/>
      <c r="K29" s="27"/>
      <c r="L29" s="27"/>
      <c r="M29" s="27"/>
      <c r="N29" s="27"/>
      <c r="O29" s="27"/>
      <c r="P29" s="27"/>
      <c r="Q29" s="27"/>
      <c r="R29" s="27"/>
    </row>
    <row r="30" spans="1:18" ht="15" customHeight="1" x14ac:dyDescent="0.3">
      <c r="A30" s="27"/>
      <c r="B30" s="181" t="s">
        <v>99</v>
      </c>
      <c r="C30" s="790" t="s">
        <v>366</v>
      </c>
      <c r="D30" s="790"/>
      <c r="E30" s="791"/>
      <c r="F30" s="775" t="s">
        <v>377</v>
      </c>
      <c r="G30" s="776"/>
      <c r="H30" s="777"/>
      <c r="I30" s="27"/>
      <c r="J30" s="146"/>
      <c r="K30" s="27"/>
      <c r="L30" s="27"/>
      <c r="M30" s="27"/>
      <c r="N30" s="27"/>
      <c r="O30" s="27"/>
      <c r="P30" s="27"/>
      <c r="Q30" s="27"/>
      <c r="R30" s="27"/>
    </row>
    <row r="31" spans="1:18" ht="15" customHeight="1" x14ac:dyDescent="0.3">
      <c r="A31" s="27"/>
      <c r="B31" s="181" t="s">
        <v>100</v>
      </c>
      <c r="C31" s="790" t="s">
        <v>367</v>
      </c>
      <c r="D31" s="790"/>
      <c r="E31" s="791"/>
      <c r="F31" s="790" t="s">
        <v>378</v>
      </c>
      <c r="G31" s="790"/>
      <c r="H31" s="791"/>
      <c r="I31" s="27"/>
      <c r="J31" s="28"/>
      <c r="K31" s="27"/>
      <c r="L31" s="27"/>
      <c r="M31" s="27"/>
      <c r="N31" s="27"/>
      <c r="O31" s="27"/>
      <c r="P31" s="27"/>
      <c r="Q31" s="27"/>
      <c r="R31" s="27"/>
    </row>
    <row r="32" spans="1:18" ht="15" customHeight="1" x14ac:dyDescent="0.3">
      <c r="A32" s="27"/>
      <c r="B32" s="475" t="s">
        <v>101</v>
      </c>
      <c r="C32" s="792" t="s">
        <v>368</v>
      </c>
      <c r="D32" s="792"/>
      <c r="E32" s="793"/>
      <c r="F32" s="792" t="s">
        <v>379</v>
      </c>
      <c r="G32" s="792"/>
      <c r="H32" s="793"/>
      <c r="I32" s="27"/>
      <c r="J32" s="28"/>
      <c r="K32" s="27"/>
      <c r="L32" s="27"/>
      <c r="M32" s="27"/>
      <c r="N32" s="27"/>
      <c r="O32" s="27"/>
      <c r="P32" s="27"/>
      <c r="Q32" s="27"/>
      <c r="R32" s="27"/>
    </row>
    <row r="33" spans="1:18" ht="15" customHeight="1" x14ac:dyDescent="0.3">
      <c r="A33" s="27"/>
      <c r="B33" s="528" t="s">
        <v>94</v>
      </c>
      <c r="C33" s="796" t="s">
        <v>94</v>
      </c>
      <c r="D33" s="796"/>
      <c r="E33" s="796"/>
      <c r="F33" s="796" t="s">
        <v>94</v>
      </c>
      <c r="G33" s="796"/>
      <c r="H33" s="796"/>
      <c r="I33" s="27"/>
      <c r="J33" s="27"/>
      <c r="K33" s="27"/>
      <c r="L33" s="27"/>
      <c r="M33" s="27"/>
      <c r="N33" s="27"/>
      <c r="O33" s="27"/>
      <c r="P33" s="27"/>
      <c r="Q33" s="27"/>
      <c r="R33" s="27"/>
    </row>
    <row r="34" spans="1:18" ht="17.25" thickBot="1" x14ac:dyDescent="0.35">
      <c r="A34" s="27"/>
      <c r="B34" s="529" t="s">
        <v>353</v>
      </c>
      <c r="C34" s="772" t="s">
        <v>369</v>
      </c>
      <c r="D34" s="772"/>
      <c r="E34" s="773"/>
      <c r="F34" s="772" t="s">
        <v>386</v>
      </c>
      <c r="G34" s="772"/>
      <c r="H34" s="773"/>
      <c r="I34" s="27"/>
      <c r="J34" s="27"/>
      <c r="K34" s="27"/>
      <c r="L34" s="27"/>
      <c r="M34" s="27"/>
      <c r="N34" s="27"/>
      <c r="O34" s="27"/>
      <c r="P34" s="27"/>
      <c r="Q34" s="27"/>
      <c r="R34" s="27"/>
    </row>
    <row r="35" spans="1:18" ht="17.25" thickBot="1" x14ac:dyDescent="0.35">
      <c r="A35" s="27"/>
      <c r="B35" s="529" t="s">
        <v>354</v>
      </c>
      <c r="C35" s="772" t="s">
        <v>370</v>
      </c>
      <c r="D35" s="772"/>
      <c r="E35" s="773"/>
      <c r="F35" s="772" t="s">
        <v>387</v>
      </c>
      <c r="G35" s="772"/>
      <c r="H35" s="773"/>
      <c r="I35" s="27"/>
      <c r="J35" s="27"/>
      <c r="K35" s="27"/>
      <c r="L35" s="27"/>
      <c r="M35" s="27"/>
      <c r="N35" s="27"/>
      <c r="O35" s="27"/>
      <c r="P35" s="27"/>
      <c r="Q35" s="27"/>
      <c r="R35" s="27"/>
    </row>
  </sheetData>
  <dataConsolidate/>
  <mergeCells count="119">
    <mergeCell ref="K12:L12"/>
    <mergeCell ref="K13:L13"/>
    <mergeCell ref="F33:H33"/>
    <mergeCell ref="K14:L14"/>
    <mergeCell ref="K15:L15"/>
    <mergeCell ref="M12:N12"/>
    <mergeCell ref="M13:N13"/>
    <mergeCell ref="C10:D10"/>
    <mergeCell ref="C11:D11"/>
    <mergeCell ref="E10:F10"/>
    <mergeCell ref="E11:F11"/>
    <mergeCell ref="G10:H10"/>
    <mergeCell ref="G11:H11"/>
    <mergeCell ref="M14:N14"/>
    <mergeCell ref="M15:N15"/>
    <mergeCell ref="G15:H15"/>
    <mergeCell ref="I15:J15"/>
    <mergeCell ref="G14:H14"/>
    <mergeCell ref="C25:E25"/>
    <mergeCell ref="C26:E26"/>
    <mergeCell ref="C27:E27"/>
    <mergeCell ref="C28:E28"/>
    <mergeCell ref="C29:E29"/>
    <mergeCell ref="F22:H22"/>
    <mergeCell ref="A1:Q1"/>
    <mergeCell ref="A2:Q2"/>
    <mergeCell ref="M4:M5"/>
    <mergeCell ref="N4:N5"/>
    <mergeCell ref="F4:F5"/>
    <mergeCell ref="G4:G5"/>
    <mergeCell ref="A4:A5"/>
    <mergeCell ref="B4:B5"/>
    <mergeCell ref="C4:C5"/>
    <mergeCell ref="D4:D5"/>
    <mergeCell ref="E4:E5"/>
    <mergeCell ref="K4:K5"/>
    <mergeCell ref="L4:L5"/>
    <mergeCell ref="H4:H5"/>
    <mergeCell ref="I4:I5"/>
    <mergeCell ref="J4:J5"/>
    <mergeCell ref="F25:H25"/>
    <mergeCell ref="F26:H26"/>
    <mergeCell ref="I12:J12"/>
    <mergeCell ref="I13:J13"/>
    <mergeCell ref="G6:H6"/>
    <mergeCell ref="G7:H7"/>
    <mergeCell ref="G12:H12"/>
    <mergeCell ref="G13:H13"/>
    <mergeCell ref="C21:E21"/>
    <mergeCell ref="C22:E22"/>
    <mergeCell ref="C23:E23"/>
    <mergeCell ref="I14:J14"/>
    <mergeCell ref="G8:H8"/>
    <mergeCell ref="G9:H9"/>
    <mergeCell ref="E12:F12"/>
    <mergeCell ref="E13:F13"/>
    <mergeCell ref="C9:D9"/>
    <mergeCell ref="I11:J11"/>
    <mergeCell ref="F23:H23"/>
    <mergeCell ref="F24:H24"/>
    <mergeCell ref="A6:A7"/>
    <mergeCell ref="A8:A9"/>
    <mergeCell ref="A10:A11"/>
    <mergeCell ref="A12:A13"/>
    <mergeCell ref="A14:A15"/>
    <mergeCell ref="C6:D6"/>
    <mergeCell ref="C7:D7"/>
    <mergeCell ref="E8:F8"/>
    <mergeCell ref="E9:F9"/>
    <mergeCell ref="C12:D12"/>
    <mergeCell ref="C13:D13"/>
    <mergeCell ref="E6:F6"/>
    <mergeCell ref="E7:F7"/>
    <mergeCell ref="C8:D8"/>
    <mergeCell ref="C15:D15"/>
    <mergeCell ref="E15:F15"/>
    <mergeCell ref="C14:D14"/>
    <mergeCell ref="E14:F14"/>
    <mergeCell ref="M6:N6"/>
    <mergeCell ref="M7:N7"/>
    <mergeCell ref="M8:N8"/>
    <mergeCell ref="M9:N9"/>
    <mergeCell ref="M10:N10"/>
    <mergeCell ref="M11:N11"/>
    <mergeCell ref="I6:J6"/>
    <mergeCell ref="I7:J7"/>
    <mergeCell ref="I8:J8"/>
    <mergeCell ref="I9:J9"/>
    <mergeCell ref="I10:J10"/>
    <mergeCell ref="K6:L6"/>
    <mergeCell ref="K7:L7"/>
    <mergeCell ref="K10:L10"/>
    <mergeCell ref="K11:L11"/>
    <mergeCell ref="K8:L8"/>
    <mergeCell ref="K9:L9"/>
    <mergeCell ref="C34:E34"/>
    <mergeCell ref="C35:E35"/>
    <mergeCell ref="B16:H16"/>
    <mergeCell ref="F21:H21"/>
    <mergeCell ref="F20:H20"/>
    <mergeCell ref="C20:E20"/>
    <mergeCell ref="C19:E19"/>
    <mergeCell ref="F19:H19"/>
    <mergeCell ref="F17:H18"/>
    <mergeCell ref="C30:E30"/>
    <mergeCell ref="C31:E31"/>
    <mergeCell ref="C32:E32"/>
    <mergeCell ref="C17:E17"/>
    <mergeCell ref="C18:E18"/>
    <mergeCell ref="F32:H32"/>
    <mergeCell ref="F34:H34"/>
    <mergeCell ref="F35:H35"/>
    <mergeCell ref="C33:E33"/>
    <mergeCell ref="F27:H27"/>
    <mergeCell ref="F28:H28"/>
    <mergeCell ref="F29:H29"/>
    <mergeCell ref="F30:H30"/>
    <mergeCell ref="F31:H31"/>
    <mergeCell ref="C24:E24"/>
  </mergeCells>
  <printOptions horizontalCentered="1" verticalCentered="1"/>
  <pageMargins left="0.7" right="0.7" top="0.75" bottom="0.75" header="0.3" footer="0.3"/>
  <pageSetup paperSize="9" scale="87"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pageSetUpPr fitToPage="1"/>
  </sheetPr>
  <dimension ref="A1:W94"/>
  <sheetViews>
    <sheetView view="pageBreakPreview" topLeftCell="A46" zoomScale="74" zoomScaleNormal="114" zoomScaleSheetLayoutView="100" workbookViewId="0">
      <selection activeCell="A49" sqref="A49:H94"/>
    </sheetView>
  </sheetViews>
  <sheetFormatPr defaultColWidth="9.140625" defaultRowHeight="15" x14ac:dyDescent="0.25"/>
  <cols>
    <col min="1" max="1" width="5.140625" style="28" customWidth="1"/>
    <col min="2" max="2" width="30.140625" style="28" customWidth="1"/>
    <col min="3" max="3" width="16" style="28" customWidth="1"/>
    <col min="4" max="4" width="2.140625" style="28" customWidth="1"/>
    <col min="5" max="5" width="12.5703125" style="28" customWidth="1"/>
    <col min="6" max="6" width="13.5703125" style="28" customWidth="1"/>
    <col min="7" max="7" width="13.42578125" style="28" customWidth="1"/>
    <col min="8" max="8" width="14.42578125" style="28" customWidth="1"/>
    <col min="9" max="9" width="9.140625" style="28"/>
    <col min="10" max="10" width="5" style="142" customWidth="1"/>
    <col min="11" max="12" width="7.5703125" style="28" customWidth="1"/>
    <col min="13" max="13" width="8.5703125" style="28" customWidth="1"/>
    <col min="14" max="14" width="7.5703125" style="28" customWidth="1"/>
    <col min="15" max="16" width="5.5703125" style="28" customWidth="1"/>
    <col min="17" max="17" width="5.140625" style="28" customWidth="1"/>
    <col min="18" max="20" width="7.5703125" style="28" customWidth="1"/>
    <col min="21" max="16384" width="9.140625" style="28"/>
  </cols>
  <sheetData>
    <row r="1" spans="1:16" ht="18.75" x14ac:dyDescent="0.25">
      <c r="A1" s="835" t="s">
        <v>1227</v>
      </c>
      <c r="B1" s="835"/>
      <c r="C1" s="835"/>
      <c r="D1" s="835"/>
      <c r="E1" s="835"/>
      <c r="F1" s="835"/>
      <c r="G1" s="835"/>
      <c r="H1" s="234" t="s">
        <v>1617</v>
      </c>
      <c r="I1" s="7"/>
      <c r="J1" s="7"/>
      <c r="K1" s="7"/>
    </row>
    <row r="2" spans="1:16" x14ac:dyDescent="0.25">
      <c r="H2" s="168" t="s">
        <v>1616</v>
      </c>
      <c r="I2" s="238"/>
      <c r="J2" s="238"/>
      <c r="K2" s="238"/>
    </row>
    <row r="3" spans="1:16" x14ac:dyDescent="0.25">
      <c r="A3" s="28" t="s">
        <v>594</v>
      </c>
      <c r="B3" s="37"/>
      <c r="C3" s="28" t="s">
        <v>703</v>
      </c>
    </row>
    <row r="4" spans="1:16" x14ac:dyDescent="0.25">
      <c r="A4" s="28" t="s">
        <v>597</v>
      </c>
      <c r="B4" s="37"/>
      <c r="C4" s="28" t="s">
        <v>702</v>
      </c>
      <c r="J4" s="28"/>
    </row>
    <row r="5" spans="1:16" x14ac:dyDescent="0.25">
      <c r="A5" s="28" t="s">
        <v>38</v>
      </c>
      <c r="C5" s="28" t="s">
        <v>701</v>
      </c>
      <c r="J5" s="28"/>
    </row>
    <row r="6" spans="1:16" x14ac:dyDescent="0.25">
      <c r="A6" s="28" t="s">
        <v>39</v>
      </c>
      <c r="B6" s="37"/>
      <c r="C6" s="28" t="s">
        <v>866</v>
      </c>
      <c r="J6" s="28"/>
    </row>
    <row r="7" spans="1:16" x14ac:dyDescent="0.25">
      <c r="A7" s="28" t="s">
        <v>595</v>
      </c>
      <c r="B7" s="37"/>
      <c r="C7" s="27" t="s">
        <v>699</v>
      </c>
      <c r="J7" s="28"/>
    </row>
    <row r="8" spans="1:16" ht="16.5" customHeight="1" x14ac:dyDescent="0.25">
      <c r="A8" s="28" t="s">
        <v>104</v>
      </c>
      <c r="B8" s="37"/>
      <c r="C8" s="28" t="s">
        <v>1619</v>
      </c>
      <c r="J8" s="28"/>
    </row>
    <row r="9" spans="1:16" x14ac:dyDescent="0.25">
      <c r="A9" s="28" t="s">
        <v>40</v>
      </c>
      <c r="B9" s="37"/>
      <c r="C9" s="28" t="s">
        <v>965</v>
      </c>
      <c r="J9" s="28"/>
    </row>
    <row r="10" spans="1:16" ht="16.5" customHeight="1" x14ac:dyDescent="0.25">
      <c r="J10" s="206"/>
      <c r="K10" s="204"/>
      <c r="L10" s="204"/>
      <c r="M10" s="204"/>
      <c r="N10" s="204"/>
      <c r="O10" s="204"/>
      <c r="P10" s="204"/>
    </row>
    <row r="11" spans="1:16" ht="43.5" thickBot="1" x14ac:dyDescent="0.3">
      <c r="A11" s="207" t="s">
        <v>105</v>
      </c>
      <c r="B11" s="207" t="s">
        <v>106</v>
      </c>
      <c r="C11" s="207" t="s">
        <v>145</v>
      </c>
      <c r="D11" s="833" t="s">
        <v>146</v>
      </c>
      <c r="E11" s="834"/>
      <c r="F11" s="207" t="s">
        <v>147</v>
      </c>
      <c r="G11" s="207" t="s">
        <v>148</v>
      </c>
      <c r="H11" s="208" t="s">
        <v>149</v>
      </c>
      <c r="J11" s="206"/>
      <c r="K11" s="204"/>
      <c r="L11" s="204"/>
      <c r="M11" s="204"/>
      <c r="N11" s="204"/>
      <c r="O11" s="204"/>
      <c r="P11" s="204"/>
    </row>
    <row r="12" spans="1:16" ht="18" customHeight="1" thickTop="1" x14ac:dyDescent="0.25">
      <c r="A12" s="163">
        <v>1</v>
      </c>
      <c r="B12" s="287" t="s">
        <v>1638</v>
      </c>
      <c r="C12" s="163">
        <v>5</v>
      </c>
      <c r="D12" s="831">
        <v>2</v>
      </c>
      <c r="E12" s="832"/>
      <c r="F12" s="163">
        <v>3</v>
      </c>
      <c r="G12" s="295">
        <v>1</v>
      </c>
      <c r="H12" s="295">
        <f t="shared" ref="H12:H17" si="0">8*G12</f>
        <v>8</v>
      </c>
    </row>
    <row r="13" spans="1:16" ht="18" customHeight="1" x14ac:dyDescent="0.25">
      <c r="A13" s="154">
        <v>2</v>
      </c>
      <c r="B13" s="288" t="s">
        <v>1639</v>
      </c>
      <c r="C13" s="154">
        <v>4</v>
      </c>
      <c r="D13" s="823">
        <v>1</v>
      </c>
      <c r="E13" s="824"/>
      <c r="F13" s="163">
        <v>3</v>
      </c>
      <c r="G13" s="296">
        <v>1</v>
      </c>
      <c r="H13" s="295">
        <f t="shared" si="0"/>
        <v>8</v>
      </c>
    </row>
    <row r="14" spans="1:16" ht="18" customHeight="1" x14ac:dyDescent="0.25">
      <c r="A14" s="154">
        <v>3</v>
      </c>
      <c r="B14" s="288" t="s">
        <v>1640</v>
      </c>
      <c r="C14" s="154">
        <v>4</v>
      </c>
      <c r="D14" s="823">
        <v>0</v>
      </c>
      <c r="E14" s="824"/>
      <c r="F14" s="163">
        <v>4</v>
      </c>
      <c r="G14" s="296">
        <v>2</v>
      </c>
      <c r="H14" s="295">
        <f t="shared" si="0"/>
        <v>16</v>
      </c>
    </row>
    <row r="15" spans="1:16" ht="18.75" customHeight="1" x14ac:dyDescent="0.25">
      <c r="A15" s="474">
        <v>4</v>
      </c>
      <c r="B15" s="478" t="s">
        <v>1641</v>
      </c>
      <c r="C15" s="474">
        <v>5</v>
      </c>
      <c r="D15" s="829">
        <v>0</v>
      </c>
      <c r="E15" s="830"/>
      <c r="F15" s="479">
        <v>5</v>
      </c>
      <c r="G15" s="296">
        <v>3</v>
      </c>
      <c r="H15" s="295">
        <f t="shared" si="0"/>
        <v>24</v>
      </c>
      <c r="K15" s="142"/>
    </row>
    <row r="16" spans="1:16" ht="18" customHeight="1" x14ac:dyDescent="0.25">
      <c r="A16" s="154">
        <v>5</v>
      </c>
      <c r="B16" s="288" t="s">
        <v>1651</v>
      </c>
      <c r="C16" s="154">
        <v>4</v>
      </c>
      <c r="D16" s="823">
        <v>3</v>
      </c>
      <c r="E16" s="824"/>
      <c r="F16" s="163">
        <v>1</v>
      </c>
      <c r="G16" s="296">
        <v>1</v>
      </c>
      <c r="H16" s="295">
        <f t="shared" si="0"/>
        <v>8</v>
      </c>
    </row>
    <row r="17" spans="1:16" ht="18" customHeight="1" x14ac:dyDescent="0.25">
      <c r="A17" s="154">
        <v>6</v>
      </c>
      <c r="B17" s="288" t="s">
        <v>1642</v>
      </c>
      <c r="C17" s="154">
        <v>4</v>
      </c>
      <c r="D17" s="823">
        <v>3</v>
      </c>
      <c r="E17" s="824"/>
      <c r="F17" s="163">
        <v>1</v>
      </c>
      <c r="G17" s="296">
        <v>0</v>
      </c>
      <c r="H17" s="295">
        <f t="shared" si="0"/>
        <v>0</v>
      </c>
    </row>
    <row r="18" spans="1:16" x14ac:dyDescent="0.25">
      <c r="A18" s="825" t="s">
        <v>28</v>
      </c>
      <c r="B18" s="826"/>
      <c r="C18" s="209">
        <f>SUM(C12:C17)</f>
        <v>26</v>
      </c>
      <c r="D18" s="827">
        <f>SUM(D12:E17)</f>
        <v>9</v>
      </c>
      <c r="E18" s="828"/>
      <c r="F18" s="209">
        <f>SUM(F12:F17)</f>
        <v>17</v>
      </c>
      <c r="G18" s="296">
        <f>SUM(G12:G17)</f>
        <v>8</v>
      </c>
      <c r="H18" s="297">
        <f>SUM(H12:H17)</f>
        <v>64</v>
      </c>
    </row>
    <row r="19" spans="1:16" ht="16.5" customHeight="1" x14ac:dyDescent="0.25">
      <c r="A19" s="142"/>
      <c r="B19" s="142"/>
      <c r="C19" s="142"/>
      <c r="D19" s="142"/>
      <c r="E19" s="142"/>
      <c r="F19" s="142"/>
      <c r="G19" s="142"/>
    </row>
    <row r="20" spans="1:16" x14ac:dyDescent="0.25">
      <c r="A20" s="142"/>
      <c r="B20" s="174" t="s">
        <v>128</v>
      </c>
      <c r="C20" s="142"/>
      <c r="D20" s="142" t="s">
        <v>65</v>
      </c>
      <c r="E20" s="142">
        <v>8</v>
      </c>
      <c r="F20" s="174" t="s">
        <v>62</v>
      </c>
      <c r="G20" s="142"/>
    </row>
    <row r="21" spans="1:16" ht="16.5" customHeight="1" x14ac:dyDescent="0.25">
      <c r="A21" s="142"/>
      <c r="B21" s="174" t="s">
        <v>129</v>
      </c>
      <c r="C21" s="142"/>
      <c r="D21" s="142" t="s">
        <v>65</v>
      </c>
      <c r="E21" s="210">
        <f>H18</f>
        <v>64</v>
      </c>
      <c r="F21" s="174" t="s">
        <v>62</v>
      </c>
      <c r="G21" s="142"/>
    </row>
    <row r="22" spans="1:16" x14ac:dyDescent="0.25">
      <c r="B22" s="37" t="s">
        <v>107</v>
      </c>
      <c r="E22" s="142"/>
    </row>
    <row r="23" spans="1:16" x14ac:dyDescent="0.25">
      <c r="B23" s="28" t="s">
        <v>138</v>
      </c>
      <c r="D23" s="142" t="s">
        <v>65</v>
      </c>
      <c r="E23" s="175">
        <f>E27-E24-E25</f>
        <v>58</v>
      </c>
      <c r="F23" s="28" t="s">
        <v>62</v>
      </c>
    </row>
    <row r="24" spans="1:16" x14ac:dyDescent="0.25">
      <c r="B24" s="28" t="s">
        <v>1206</v>
      </c>
      <c r="D24" s="142" t="s">
        <v>65</v>
      </c>
      <c r="E24" s="142">
        <v>4</v>
      </c>
      <c r="F24" s="28" t="s">
        <v>62</v>
      </c>
      <c r="P24" s="174"/>
    </row>
    <row r="25" spans="1:16" x14ac:dyDescent="0.25">
      <c r="B25" s="28" t="s">
        <v>848</v>
      </c>
      <c r="D25" s="28" t="s">
        <v>65</v>
      </c>
      <c r="E25" s="142">
        <v>2</v>
      </c>
      <c r="F25" s="28" t="s">
        <v>62</v>
      </c>
    </row>
    <row r="27" spans="1:16" ht="16.5" customHeight="1" x14ac:dyDescent="0.25">
      <c r="C27" s="175" t="s">
        <v>130</v>
      </c>
      <c r="D27" s="142" t="s">
        <v>65</v>
      </c>
      <c r="E27" s="211">
        <v>64</v>
      </c>
      <c r="F27" s="196" t="s">
        <v>62</v>
      </c>
    </row>
    <row r="30" spans="1:16" x14ac:dyDescent="0.25">
      <c r="C30" s="175"/>
      <c r="D30" s="142"/>
      <c r="E30" s="212"/>
      <c r="F30" s="196"/>
    </row>
    <row r="31" spans="1:16" x14ac:dyDescent="0.25">
      <c r="G31" s="28" t="s">
        <v>1626</v>
      </c>
    </row>
    <row r="33" spans="2:23" x14ac:dyDescent="0.25">
      <c r="B33" s="28" t="s">
        <v>1623</v>
      </c>
      <c r="G33" s="28" t="s">
        <v>41</v>
      </c>
    </row>
    <row r="34" spans="2:23" x14ac:dyDescent="0.25">
      <c r="N34" s="37"/>
    </row>
    <row r="37" spans="2:23" x14ac:dyDescent="0.25">
      <c r="B37" s="34" t="s">
        <v>1622</v>
      </c>
      <c r="G37" s="34" t="s">
        <v>1154</v>
      </c>
    </row>
    <row r="38" spans="2:23" x14ac:dyDescent="0.25">
      <c r="B38" s="28" t="s">
        <v>1683</v>
      </c>
      <c r="G38" s="28" t="s">
        <v>1155</v>
      </c>
      <c r="K38" s="27"/>
      <c r="L38" s="27"/>
      <c r="M38" s="27"/>
      <c r="N38" s="27"/>
      <c r="O38" s="27"/>
      <c r="P38" s="27"/>
      <c r="Q38" s="27"/>
    </row>
    <row r="39" spans="2:23" x14ac:dyDescent="0.25">
      <c r="G39" s="37"/>
      <c r="K39" s="27"/>
      <c r="L39" s="27"/>
      <c r="M39" s="27"/>
      <c r="N39" s="27"/>
      <c r="O39" s="27"/>
      <c r="P39" s="27"/>
      <c r="Q39" s="27"/>
      <c r="R39" s="27"/>
    </row>
    <row r="40" spans="2:23" x14ac:dyDescent="0.25">
      <c r="E40" s="28" t="s">
        <v>33</v>
      </c>
      <c r="G40" s="37"/>
    </row>
    <row r="41" spans="2:23" x14ac:dyDescent="0.25">
      <c r="B41" s="28" t="s">
        <v>1624</v>
      </c>
      <c r="G41" s="28" t="s">
        <v>1625</v>
      </c>
      <c r="L41" s="213"/>
    </row>
    <row r="44" spans="2:23" x14ac:dyDescent="0.25">
      <c r="R44" s="27"/>
      <c r="S44" s="27"/>
      <c r="T44" s="27"/>
      <c r="U44" s="27"/>
      <c r="V44" s="27"/>
      <c r="W44" s="27"/>
    </row>
    <row r="45" spans="2:23" x14ac:dyDescent="0.25">
      <c r="B45" s="34" t="s">
        <v>1156</v>
      </c>
      <c r="G45" s="34" t="s">
        <v>1044</v>
      </c>
      <c r="R45" s="27"/>
      <c r="S45" s="27"/>
      <c r="T45" s="27"/>
      <c r="U45" s="27"/>
      <c r="V45" s="27"/>
      <c r="W45" s="34"/>
    </row>
    <row r="46" spans="2:23" x14ac:dyDescent="0.25">
      <c r="B46" s="34" t="s">
        <v>1620</v>
      </c>
      <c r="G46" s="28" t="s">
        <v>1621</v>
      </c>
    </row>
    <row r="47" spans="2:23" ht="10.5" customHeight="1" x14ac:dyDescent="0.25"/>
    <row r="49" spans="1:8" ht="18.75" x14ac:dyDescent="0.25">
      <c r="A49" s="835" t="s">
        <v>1227</v>
      </c>
      <c r="B49" s="835"/>
      <c r="C49" s="835"/>
      <c r="D49" s="835"/>
      <c r="E49" s="835"/>
      <c r="F49" s="835"/>
      <c r="G49" s="835"/>
      <c r="H49" s="234" t="s">
        <v>684</v>
      </c>
    </row>
    <row r="50" spans="1:8" x14ac:dyDescent="0.25">
      <c r="H50" s="640" t="s">
        <v>1616</v>
      </c>
    </row>
    <row r="51" spans="1:8" x14ac:dyDescent="0.25">
      <c r="A51" s="28" t="s">
        <v>594</v>
      </c>
      <c r="B51" s="37"/>
      <c r="C51" s="28" t="s">
        <v>703</v>
      </c>
    </row>
    <row r="52" spans="1:8" x14ac:dyDescent="0.25">
      <c r="A52" s="28" t="s">
        <v>597</v>
      </c>
      <c r="B52" s="37"/>
      <c r="C52" s="28" t="s">
        <v>702</v>
      </c>
    </row>
    <row r="53" spans="1:8" x14ac:dyDescent="0.25">
      <c r="A53" s="28" t="s">
        <v>38</v>
      </c>
      <c r="C53" s="28" t="s">
        <v>701</v>
      </c>
    </row>
    <row r="54" spans="1:8" x14ac:dyDescent="0.25">
      <c r="A54" s="28" t="s">
        <v>39</v>
      </c>
      <c r="B54" s="37"/>
      <c r="C54" s="28" t="s">
        <v>866</v>
      </c>
    </row>
    <row r="55" spans="1:8" x14ac:dyDescent="0.25">
      <c r="A55" s="28" t="s">
        <v>595</v>
      </c>
      <c r="B55" s="37"/>
      <c r="C55" s="27" t="s">
        <v>704</v>
      </c>
    </row>
    <row r="56" spans="1:8" x14ac:dyDescent="0.25">
      <c r="A56" s="28" t="s">
        <v>104</v>
      </c>
      <c r="B56" s="37"/>
      <c r="C56" s="28" t="s">
        <v>1158</v>
      </c>
    </row>
    <row r="57" spans="1:8" x14ac:dyDescent="0.25">
      <c r="A57" s="28" t="s">
        <v>40</v>
      </c>
      <c r="B57" s="37"/>
      <c r="C57" s="28" t="s">
        <v>966</v>
      </c>
    </row>
    <row r="58" spans="1:8" ht="29.25" customHeight="1" x14ac:dyDescent="0.25"/>
    <row r="59" spans="1:8" ht="29.25" thickBot="1" x14ac:dyDescent="0.3">
      <c r="A59" s="207" t="s">
        <v>105</v>
      </c>
      <c r="B59" s="207" t="s">
        <v>106</v>
      </c>
      <c r="C59" s="207" t="s">
        <v>145</v>
      </c>
      <c r="D59" s="833" t="s">
        <v>146</v>
      </c>
      <c r="E59" s="834"/>
      <c r="F59" s="207" t="s">
        <v>147</v>
      </c>
      <c r="G59" s="207" t="s">
        <v>148</v>
      </c>
      <c r="H59" s="208" t="s">
        <v>149</v>
      </c>
    </row>
    <row r="60" spans="1:8" ht="15.75" thickTop="1" x14ac:dyDescent="0.25">
      <c r="A60" s="163">
        <v>1</v>
      </c>
      <c r="B60" s="287" t="s">
        <v>139</v>
      </c>
      <c r="C60" s="163">
        <v>4</v>
      </c>
      <c r="D60" s="837">
        <v>0</v>
      </c>
      <c r="E60" s="838"/>
      <c r="F60" s="163">
        <v>4</v>
      </c>
      <c r="G60" s="295">
        <v>2</v>
      </c>
      <c r="H60" s="295">
        <f t="shared" ref="H60:H65" si="1">8*G60</f>
        <v>16</v>
      </c>
    </row>
    <row r="61" spans="1:8" x14ac:dyDescent="0.25">
      <c r="A61" s="154">
        <v>2</v>
      </c>
      <c r="B61" s="288" t="s">
        <v>140</v>
      </c>
      <c r="C61" s="154">
        <v>4</v>
      </c>
      <c r="D61" s="839">
        <v>1</v>
      </c>
      <c r="E61" s="839"/>
      <c r="F61" s="163">
        <v>3</v>
      </c>
      <c r="G61" s="296">
        <v>2</v>
      </c>
      <c r="H61" s="295">
        <f t="shared" si="1"/>
        <v>16</v>
      </c>
    </row>
    <row r="62" spans="1:8" x14ac:dyDescent="0.25">
      <c r="A62" s="154">
        <v>3</v>
      </c>
      <c r="B62" s="288" t="s">
        <v>141</v>
      </c>
      <c r="C62" s="154">
        <v>4</v>
      </c>
      <c r="D62" s="839">
        <v>2</v>
      </c>
      <c r="E62" s="839"/>
      <c r="F62" s="163">
        <v>2</v>
      </c>
      <c r="G62" s="296">
        <v>1</v>
      </c>
      <c r="H62" s="295">
        <f t="shared" si="1"/>
        <v>8</v>
      </c>
    </row>
    <row r="63" spans="1:8" x14ac:dyDescent="0.25">
      <c r="A63" s="474">
        <v>4</v>
      </c>
      <c r="B63" s="478" t="s">
        <v>142</v>
      </c>
      <c r="C63" s="474">
        <v>5</v>
      </c>
      <c r="D63" s="836">
        <v>2</v>
      </c>
      <c r="E63" s="836"/>
      <c r="F63" s="479">
        <v>3</v>
      </c>
      <c r="G63" s="296">
        <v>1</v>
      </c>
      <c r="H63" s="295">
        <f t="shared" si="1"/>
        <v>8</v>
      </c>
    </row>
    <row r="64" spans="1:8" x14ac:dyDescent="0.25">
      <c r="A64" s="154">
        <v>5</v>
      </c>
      <c r="B64" s="288" t="s">
        <v>143</v>
      </c>
      <c r="C64" s="154">
        <v>4</v>
      </c>
      <c r="D64" s="823">
        <v>0</v>
      </c>
      <c r="E64" s="824"/>
      <c r="F64" s="163">
        <v>4</v>
      </c>
      <c r="G64" s="296">
        <v>2</v>
      </c>
      <c r="H64" s="295">
        <f t="shared" si="1"/>
        <v>16</v>
      </c>
    </row>
    <row r="65" spans="1:17" x14ac:dyDescent="0.25">
      <c r="A65" s="154">
        <v>6</v>
      </c>
      <c r="B65" s="288" t="s">
        <v>144</v>
      </c>
      <c r="C65" s="154">
        <v>4</v>
      </c>
      <c r="D65" s="823">
        <v>3</v>
      </c>
      <c r="E65" s="824"/>
      <c r="F65" s="163">
        <v>1</v>
      </c>
      <c r="G65" s="296">
        <v>1</v>
      </c>
      <c r="H65" s="295">
        <f t="shared" si="1"/>
        <v>8</v>
      </c>
    </row>
    <row r="66" spans="1:17" x14ac:dyDescent="0.25">
      <c r="A66" s="825" t="s">
        <v>28</v>
      </c>
      <c r="B66" s="826"/>
      <c r="C66" s="209">
        <f>SUM(C60:C65)</f>
        <v>25</v>
      </c>
      <c r="D66" s="827">
        <f>SUM(D60:E65)</f>
        <v>8</v>
      </c>
      <c r="E66" s="828"/>
      <c r="F66" s="209">
        <f>SUM(F60:F65)</f>
        <v>17</v>
      </c>
      <c r="G66" s="296">
        <v>9</v>
      </c>
      <c r="H66" s="297">
        <f>SUM(H60:H65)</f>
        <v>72</v>
      </c>
    </row>
    <row r="67" spans="1:17" ht="10.5" customHeight="1" x14ac:dyDescent="0.25">
      <c r="A67" s="142"/>
      <c r="B67" s="142"/>
      <c r="C67" s="142"/>
      <c r="D67" s="142"/>
      <c r="E67" s="142"/>
      <c r="F67" s="142"/>
      <c r="G67" s="142"/>
    </row>
    <row r="68" spans="1:17" ht="10.5" customHeight="1" x14ac:dyDescent="0.25">
      <c r="A68" s="142"/>
      <c r="B68" s="174" t="s">
        <v>128</v>
      </c>
      <c r="C68" s="142"/>
      <c r="D68" s="142" t="s">
        <v>65</v>
      </c>
      <c r="E68" s="142">
        <v>8</v>
      </c>
      <c r="F68" s="174" t="s">
        <v>62</v>
      </c>
      <c r="G68" s="142"/>
    </row>
    <row r="69" spans="1:17" x14ac:dyDescent="0.25">
      <c r="A69" s="142"/>
      <c r="B69" s="174" t="s">
        <v>129</v>
      </c>
      <c r="C69" s="142"/>
      <c r="D69" s="142" t="s">
        <v>65</v>
      </c>
      <c r="E69" s="210">
        <f>H66</f>
        <v>72</v>
      </c>
      <c r="F69" s="174" t="s">
        <v>62</v>
      </c>
      <c r="G69" s="142"/>
    </row>
    <row r="70" spans="1:17" x14ac:dyDescent="0.25">
      <c r="B70" s="37" t="s">
        <v>107</v>
      </c>
      <c r="E70" s="142"/>
      <c r="Q70" s="213"/>
    </row>
    <row r="71" spans="1:17" x14ac:dyDescent="0.25">
      <c r="B71" s="28" t="s">
        <v>138</v>
      </c>
      <c r="D71" s="142" t="s">
        <v>65</v>
      </c>
      <c r="E71" s="175">
        <f>E75-E72-E73</f>
        <v>60</v>
      </c>
      <c r="F71" s="28" t="s">
        <v>62</v>
      </c>
    </row>
    <row r="72" spans="1:17" x14ac:dyDescent="0.25">
      <c r="B72" s="28" t="s">
        <v>1206</v>
      </c>
      <c r="D72" s="142" t="s">
        <v>65</v>
      </c>
      <c r="E72" s="142">
        <v>8</v>
      </c>
      <c r="F72" s="28" t="s">
        <v>62</v>
      </c>
    </row>
    <row r="73" spans="1:17" x14ac:dyDescent="0.25">
      <c r="B73" s="28" t="s">
        <v>848</v>
      </c>
      <c r="D73" s="28" t="s">
        <v>65</v>
      </c>
      <c r="E73" s="142">
        <v>4</v>
      </c>
      <c r="F73" s="28" t="s">
        <v>62</v>
      </c>
    </row>
    <row r="75" spans="1:17" x14ac:dyDescent="0.25">
      <c r="C75" s="175" t="s">
        <v>130</v>
      </c>
      <c r="D75" s="142" t="s">
        <v>65</v>
      </c>
      <c r="E75" s="211">
        <v>72</v>
      </c>
      <c r="F75" s="196" t="s">
        <v>62</v>
      </c>
      <c r="O75" s="37"/>
      <c r="Q75" s="213"/>
    </row>
    <row r="76" spans="1:17" x14ac:dyDescent="0.25">
      <c r="O76" s="37"/>
      <c r="Q76" s="213"/>
    </row>
    <row r="77" spans="1:17" x14ac:dyDescent="0.25">
      <c r="K77" s="213"/>
    </row>
    <row r="78" spans="1:17" x14ac:dyDescent="0.25">
      <c r="C78" s="175"/>
      <c r="D78" s="142"/>
      <c r="E78" s="212"/>
      <c r="F78" s="196"/>
    </row>
    <row r="79" spans="1:17" x14ac:dyDescent="0.25">
      <c r="G79" s="28" t="s">
        <v>1626</v>
      </c>
    </row>
    <row r="80" spans="1:17" ht="16.5" customHeight="1" x14ac:dyDescent="0.25"/>
    <row r="81" spans="2:17" ht="16.5" customHeight="1" x14ac:dyDescent="0.25">
      <c r="B81" s="28" t="s">
        <v>1623</v>
      </c>
      <c r="G81" s="28" t="s">
        <v>41</v>
      </c>
    </row>
    <row r="82" spans="2:17" ht="16.5" customHeight="1" x14ac:dyDescent="0.25">
      <c r="K82" s="213"/>
      <c r="Q82" s="213"/>
    </row>
    <row r="83" spans="2:17" x14ac:dyDescent="0.25">
      <c r="K83" s="213"/>
    </row>
    <row r="85" spans="2:17" x14ac:dyDescent="0.25">
      <c r="B85" s="34" t="s">
        <v>1622</v>
      </c>
      <c r="G85" s="34" t="s">
        <v>1154</v>
      </c>
    </row>
    <row r="86" spans="2:17" x14ac:dyDescent="0.25">
      <c r="B86" s="28" t="s">
        <v>1683</v>
      </c>
      <c r="G86" s="28" t="s">
        <v>1155</v>
      </c>
    </row>
    <row r="87" spans="2:17" x14ac:dyDescent="0.25">
      <c r="G87" s="37"/>
    </row>
    <row r="88" spans="2:17" ht="16.5" customHeight="1" x14ac:dyDescent="0.25">
      <c r="E88" s="28" t="s">
        <v>33</v>
      </c>
      <c r="G88" s="37"/>
    </row>
    <row r="89" spans="2:17" x14ac:dyDescent="0.25">
      <c r="B89" s="28" t="s">
        <v>1624</v>
      </c>
      <c r="G89" s="28" t="s">
        <v>1625</v>
      </c>
    </row>
    <row r="93" spans="2:17" x14ac:dyDescent="0.25">
      <c r="B93" s="34" t="s">
        <v>1156</v>
      </c>
      <c r="G93" s="34" t="s">
        <v>1044</v>
      </c>
    </row>
    <row r="94" spans="2:17" x14ac:dyDescent="0.25">
      <c r="B94" s="34" t="s">
        <v>1620</v>
      </c>
      <c r="G94" s="28" t="s">
        <v>1621</v>
      </c>
    </row>
  </sheetData>
  <mergeCells count="20">
    <mergeCell ref="A49:G49"/>
    <mergeCell ref="D59:E59"/>
    <mergeCell ref="D60:E60"/>
    <mergeCell ref="D61:E61"/>
    <mergeCell ref="D62:E62"/>
    <mergeCell ref="D63:E63"/>
    <mergeCell ref="D65:E65"/>
    <mergeCell ref="D64:E64"/>
    <mergeCell ref="A66:B66"/>
    <mergeCell ref="D66:E66"/>
    <mergeCell ref="D14:E14"/>
    <mergeCell ref="D13:E13"/>
    <mergeCell ref="D12:E12"/>
    <mergeCell ref="D11:E11"/>
    <mergeCell ref="A1:G1"/>
    <mergeCell ref="D17:E17"/>
    <mergeCell ref="A18:B18"/>
    <mergeCell ref="D18:E18"/>
    <mergeCell ref="D16:E16"/>
    <mergeCell ref="D15:E15"/>
  </mergeCells>
  <printOptions horizontalCentered="1" verticalCentered="1"/>
  <pageMargins left="0.7" right="0.7" top="0.75" bottom="0.75" header="0.3" footer="0.3"/>
  <pageSetup paperSize="9" scale="51" pageOrder="overThenDown" orientation="portrait" horizont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14B70-43E3-432B-8123-BB3F3DD29C30}">
  <sheetPr>
    <tabColor theme="0"/>
    <pageSetUpPr fitToPage="1"/>
  </sheetPr>
  <dimension ref="A1:H46"/>
  <sheetViews>
    <sheetView topLeftCell="A10" workbookViewId="0">
      <selection activeCell="B37" sqref="B37:B38"/>
    </sheetView>
  </sheetViews>
  <sheetFormatPr defaultRowHeight="15" x14ac:dyDescent="0.25"/>
  <cols>
    <col min="1" max="1" width="5.140625" customWidth="1"/>
    <col min="2" max="2" width="30.140625" customWidth="1"/>
    <col min="3" max="3" width="16" customWidth="1"/>
    <col min="4" max="4" width="2.140625" customWidth="1"/>
    <col min="5" max="5" width="12.5703125" customWidth="1"/>
    <col min="6" max="6" width="13.5703125" customWidth="1"/>
    <col min="7" max="7" width="13.42578125" customWidth="1"/>
    <col min="8" max="8" width="14.42578125" customWidth="1"/>
  </cols>
  <sheetData>
    <row r="1" spans="1:8" ht="18.75" x14ac:dyDescent="0.25">
      <c r="A1" s="835" t="s">
        <v>1227</v>
      </c>
      <c r="B1" s="835"/>
      <c r="C1" s="835"/>
      <c r="D1" s="835"/>
      <c r="E1" s="835"/>
      <c r="F1" s="835"/>
      <c r="G1" s="835"/>
      <c r="H1" s="234" t="s">
        <v>684</v>
      </c>
    </row>
    <row r="2" spans="1:8" x14ac:dyDescent="0.25">
      <c r="A2" s="28"/>
      <c r="B2" s="28"/>
      <c r="C2" s="28"/>
      <c r="D2" s="28"/>
      <c r="E2" s="28"/>
      <c r="F2" s="28"/>
      <c r="G2" s="28"/>
      <c r="H2" s="640" t="s">
        <v>1616</v>
      </c>
    </row>
    <row r="3" spans="1:8" x14ac:dyDescent="0.25">
      <c r="A3" s="28" t="s">
        <v>594</v>
      </c>
      <c r="B3" s="37"/>
      <c r="C3" s="28" t="s">
        <v>703</v>
      </c>
      <c r="D3" s="28"/>
      <c r="E3" s="28"/>
      <c r="F3" s="28"/>
      <c r="G3" s="28"/>
      <c r="H3" s="28"/>
    </row>
    <row r="4" spans="1:8" x14ac:dyDescent="0.25">
      <c r="A4" s="28" t="s">
        <v>597</v>
      </c>
      <c r="B4" s="37"/>
      <c r="C4" s="28" t="s">
        <v>702</v>
      </c>
      <c r="D4" s="28"/>
      <c r="E4" s="28"/>
      <c r="F4" s="28"/>
      <c r="G4" s="28"/>
      <c r="H4" s="28"/>
    </row>
    <row r="5" spans="1:8" x14ac:dyDescent="0.25">
      <c r="A5" s="28" t="s">
        <v>38</v>
      </c>
      <c r="B5" s="28"/>
      <c r="C5" s="28" t="s">
        <v>701</v>
      </c>
      <c r="D5" s="28"/>
      <c r="E5" s="28"/>
      <c r="F5" s="28"/>
      <c r="G5" s="28"/>
      <c r="H5" s="28"/>
    </row>
    <row r="6" spans="1:8" x14ac:dyDescent="0.25">
      <c r="A6" s="28" t="s">
        <v>39</v>
      </c>
      <c r="B6" s="37"/>
      <c r="C6" s="28" t="s">
        <v>866</v>
      </c>
      <c r="D6" s="28"/>
      <c r="E6" s="28"/>
      <c r="F6" s="28"/>
      <c r="G6" s="28"/>
      <c r="H6" s="28"/>
    </row>
    <row r="7" spans="1:8" x14ac:dyDescent="0.25">
      <c r="A7" s="28" t="s">
        <v>595</v>
      </c>
      <c r="B7" s="37"/>
      <c r="C7" s="27" t="s">
        <v>704</v>
      </c>
      <c r="D7" s="28"/>
      <c r="E7" s="28"/>
      <c r="F7" s="28"/>
      <c r="G7" s="28"/>
      <c r="H7" s="28"/>
    </row>
    <row r="8" spans="1:8" x14ac:dyDescent="0.25">
      <c r="A8" s="28" t="s">
        <v>104</v>
      </c>
      <c r="B8" s="37"/>
      <c r="C8" s="28" t="s">
        <v>1158</v>
      </c>
      <c r="D8" s="28"/>
      <c r="E8" s="28"/>
      <c r="F8" s="28"/>
      <c r="G8" s="28"/>
      <c r="H8" s="28"/>
    </row>
    <row r="9" spans="1:8" x14ac:dyDescent="0.25">
      <c r="A9" s="28" t="s">
        <v>40</v>
      </c>
      <c r="B9" s="37"/>
      <c r="C9" s="28" t="s">
        <v>966</v>
      </c>
      <c r="D9" s="28"/>
      <c r="E9" s="28"/>
      <c r="F9" s="28"/>
      <c r="G9" s="28"/>
      <c r="H9" s="28"/>
    </row>
    <row r="10" spans="1:8" x14ac:dyDescent="0.25">
      <c r="A10" s="28"/>
      <c r="B10" s="28"/>
      <c r="C10" s="28"/>
      <c r="D10" s="28"/>
      <c r="E10" s="28"/>
      <c r="F10" s="28"/>
      <c r="G10" s="28"/>
      <c r="H10" s="28"/>
    </row>
    <row r="11" spans="1:8" ht="29.25" thickBot="1" x14ac:dyDescent="0.3">
      <c r="A11" s="207" t="s">
        <v>105</v>
      </c>
      <c r="B11" s="207" t="s">
        <v>106</v>
      </c>
      <c r="C11" s="207" t="s">
        <v>145</v>
      </c>
      <c r="D11" s="833" t="s">
        <v>146</v>
      </c>
      <c r="E11" s="834"/>
      <c r="F11" s="207" t="s">
        <v>147</v>
      </c>
      <c r="G11" s="207" t="s">
        <v>148</v>
      </c>
      <c r="H11" s="208" t="s">
        <v>149</v>
      </c>
    </row>
    <row r="12" spans="1:8" ht="15.75" thickTop="1" x14ac:dyDescent="0.25">
      <c r="A12" s="163">
        <v>1</v>
      </c>
      <c r="B12" s="287" t="s">
        <v>139</v>
      </c>
      <c r="C12" s="163">
        <v>4</v>
      </c>
      <c r="D12" s="837">
        <v>0</v>
      </c>
      <c r="E12" s="838"/>
      <c r="F12" s="163">
        <v>4</v>
      </c>
      <c r="G12" s="295">
        <v>2</v>
      </c>
      <c r="H12" s="295">
        <f t="shared" ref="H12:H17" si="0">8*G12</f>
        <v>16</v>
      </c>
    </row>
    <row r="13" spans="1:8" x14ac:dyDescent="0.25">
      <c r="A13" s="154">
        <v>2</v>
      </c>
      <c r="B13" s="288" t="s">
        <v>140</v>
      </c>
      <c r="C13" s="154">
        <v>4</v>
      </c>
      <c r="D13" s="839">
        <v>1</v>
      </c>
      <c r="E13" s="839"/>
      <c r="F13" s="163">
        <v>3</v>
      </c>
      <c r="G13" s="296">
        <v>2</v>
      </c>
      <c r="H13" s="295">
        <f t="shared" si="0"/>
        <v>16</v>
      </c>
    </row>
    <row r="14" spans="1:8" x14ac:dyDescent="0.25">
      <c r="A14" s="154">
        <v>3</v>
      </c>
      <c r="B14" s="288" t="s">
        <v>141</v>
      </c>
      <c r="C14" s="154">
        <v>4</v>
      </c>
      <c r="D14" s="839">
        <v>2</v>
      </c>
      <c r="E14" s="839"/>
      <c r="F14" s="163">
        <v>2</v>
      </c>
      <c r="G14" s="296">
        <v>1</v>
      </c>
      <c r="H14" s="295">
        <f t="shared" si="0"/>
        <v>8</v>
      </c>
    </row>
    <row r="15" spans="1:8" x14ac:dyDescent="0.25">
      <c r="A15" s="474">
        <v>4</v>
      </c>
      <c r="B15" s="478" t="s">
        <v>142</v>
      </c>
      <c r="C15" s="474">
        <v>5</v>
      </c>
      <c r="D15" s="836">
        <v>2</v>
      </c>
      <c r="E15" s="836"/>
      <c r="F15" s="479">
        <v>3</v>
      </c>
      <c r="G15" s="296">
        <v>1</v>
      </c>
      <c r="H15" s="295">
        <f t="shared" si="0"/>
        <v>8</v>
      </c>
    </row>
    <row r="16" spans="1:8" x14ac:dyDescent="0.25">
      <c r="A16" s="154">
        <v>5</v>
      </c>
      <c r="B16" s="288" t="s">
        <v>143</v>
      </c>
      <c r="C16" s="154">
        <v>4</v>
      </c>
      <c r="D16" s="823">
        <v>0</v>
      </c>
      <c r="E16" s="824"/>
      <c r="F16" s="163">
        <v>4</v>
      </c>
      <c r="G16" s="296">
        <v>2</v>
      </c>
      <c r="H16" s="295">
        <f t="shared" si="0"/>
        <v>16</v>
      </c>
    </row>
    <row r="17" spans="1:8" x14ac:dyDescent="0.25">
      <c r="A17" s="154">
        <v>6</v>
      </c>
      <c r="B17" s="288" t="s">
        <v>144</v>
      </c>
      <c r="C17" s="154">
        <v>4</v>
      </c>
      <c r="D17" s="823">
        <v>3</v>
      </c>
      <c r="E17" s="824"/>
      <c r="F17" s="163">
        <v>1</v>
      </c>
      <c r="G17" s="296">
        <v>1</v>
      </c>
      <c r="H17" s="295">
        <f t="shared" si="0"/>
        <v>8</v>
      </c>
    </row>
    <row r="18" spans="1:8" x14ac:dyDescent="0.25">
      <c r="A18" s="825" t="s">
        <v>28</v>
      </c>
      <c r="B18" s="826"/>
      <c r="C18" s="209">
        <f>SUM(C12:C17)</f>
        <v>25</v>
      </c>
      <c r="D18" s="827">
        <f>SUM(D12:E17)</f>
        <v>8</v>
      </c>
      <c r="E18" s="828"/>
      <c r="F18" s="209">
        <f>SUM(F12:F17)</f>
        <v>17</v>
      </c>
      <c r="G18" s="296">
        <v>9</v>
      </c>
      <c r="H18" s="297">
        <f>SUM(H12:H17)</f>
        <v>72</v>
      </c>
    </row>
    <row r="19" spans="1:8" x14ac:dyDescent="0.25">
      <c r="A19" s="142"/>
      <c r="B19" s="142"/>
      <c r="C19" s="142"/>
      <c r="D19" s="142"/>
      <c r="E19" s="142"/>
      <c r="F19" s="142"/>
      <c r="G19" s="142"/>
      <c r="H19" s="28"/>
    </row>
    <row r="20" spans="1:8" x14ac:dyDescent="0.25">
      <c r="A20" s="142"/>
      <c r="B20" s="174" t="s">
        <v>128</v>
      </c>
      <c r="C20" s="142"/>
      <c r="D20" s="142" t="s">
        <v>65</v>
      </c>
      <c r="E20" s="142">
        <v>8</v>
      </c>
      <c r="F20" s="174" t="s">
        <v>62</v>
      </c>
      <c r="G20" s="142"/>
      <c r="H20" s="28"/>
    </row>
    <row r="21" spans="1:8" x14ac:dyDescent="0.25">
      <c r="A21" s="142"/>
      <c r="B21" s="174" t="s">
        <v>129</v>
      </c>
      <c r="C21" s="142"/>
      <c r="D21" s="142" t="s">
        <v>65</v>
      </c>
      <c r="E21" s="210">
        <f>H18</f>
        <v>72</v>
      </c>
      <c r="F21" s="174" t="s">
        <v>62</v>
      </c>
      <c r="G21" s="142"/>
      <c r="H21" s="28"/>
    </row>
    <row r="22" spans="1:8" x14ac:dyDescent="0.25">
      <c r="A22" s="28"/>
      <c r="B22" s="37" t="s">
        <v>107</v>
      </c>
      <c r="C22" s="28"/>
      <c r="D22" s="28"/>
      <c r="E22" s="142"/>
      <c r="F22" s="28"/>
      <c r="G22" s="28"/>
      <c r="H22" s="28"/>
    </row>
    <row r="23" spans="1:8" x14ac:dyDescent="0.25">
      <c r="A23" s="28"/>
      <c r="B23" s="28" t="s">
        <v>138</v>
      </c>
      <c r="C23" s="28"/>
      <c r="D23" s="142" t="s">
        <v>65</v>
      </c>
      <c r="E23" s="175">
        <f>E27-E24-E25</f>
        <v>60</v>
      </c>
      <c r="F23" s="28" t="s">
        <v>62</v>
      </c>
      <c r="G23" s="28"/>
      <c r="H23" s="28"/>
    </row>
    <row r="24" spans="1:8" x14ac:dyDescent="0.25">
      <c r="A24" s="28"/>
      <c r="B24" s="28" t="s">
        <v>1206</v>
      </c>
      <c r="C24" s="28"/>
      <c r="D24" s="142" t="s">
        <v>65</v>
      </c>
      <c r="E24" s="142">
        <v>8</v>
      </c>
      <c r="F24" s="28" t="s">
        <v>62</v>
      </c>
      <c r="G24" s="28"/>
      <c r="H24" s="28"/>
    </row>
    <row r="25" spans="1:8" x14ac:dyDescent="0.25">
      <c r="A25" s="28"/>
      <c r="B25" s="28" t="s">
        <v>848</v>
      </c>
      <c r="C25" s="28"/>
      <c r="D25" s="28" t="s">
        <v>65</v>
      </c>
      <c r="E25" s="142">
        <v>4</v>
      </c>
      <c r="F25" s="28" t="s">
        <v>62</v>
      </c>
      <c r="G25" s="28"/>
      <c r="H25" s="28"/>
    </row>
    <row r="26" spans="1:8" x14ac:dyDescent="0.25">
      <c r="A26" s="28"/>
      <c r="B26" s="28"/>
      <c r="C26" s="28"/>
      <c r="D26" s="28"/>
      <c r="E26" s="28"/>
      <c r="F26" s="28"/>
      <c r="G26" s="28"/>
      <c r="H26" s="28"/>
    </row>
    <row r="27" spans="1:8" x14ac:dyDescent="0.25">
      <c r="A27" s="28"/>
      <c r="B27" s="28"/>
      <c r="C27" s="175" t="s">
        <v>130</v>
      </c>
      <c r="D27" s="142" t="s">
        <v>65</v>
      </c>
      <c r="E27" s="211">
        <v>72</v>
      </c>
      <c r="F27" s="196" t="s">
        <v>62</v>
      </c>
      <c r="G27" s="28"/>
      <c r="H27" s="28"/>
    </row>
    <row r="28" spans="1:8" x14ac:dyDescent="0.25">
      <c r="A28" s="28"/>
      <c r="B28" s="28"/>
      <c r="C28" s="28"/>
      <c r="D28" s="28"/>
      <c r="E28" s="28"/>
      <c r="F28" s="28"/>
      <c r="G28" s="28"/>
      <c r="H28" s="28"/>
    </row>
    <row r="29" spans="1:8" x14ac:dyDescent="0.25">
      <c r="A29" s="28"/>
      <c r="B29" s="28"/>
      <c r="C29" s="28"/>
      <c r="D29" s="28"/>
      <c r="E29" s="28"/>
      <c r="F29" s="28"/>
      <c r="G29" s="28"/>
      <c r="H29" s="28"/>
    </row>
    <row r="30" spans="1:8" x14ac:dyDescent="0.25">
      <c r="A30" s="28"/>
      <c r="B30" s="28"/>
      <c r="C30" s="175"/>
      <c r="D30" s="142"/>
      <c r="E30" s="212"/>
      <c r="F30" s="196"/>
      <c r="G30" s="28"/>
      <c r="H30" s="28"/>
    </row>
    <row r="31" spans="1:8" x14ac:dyDescent="0.25">
      <c r="A31" s="28"/>
      <c r="B31" s="28"/>
      <c r="C31" s="28"/>
      <c r="D31" s="28"/>
      <c r="E31" s="28"/>
      <c r="F31" s="28"/>
      <c r="G31" s="28" t="s">
        <v>1626</v>
      </c>
      <c r="H31" s="28"/>
    </row>
    <row r="32" spans="1:8" x14ac:dyDescent="0.25">
      <c r="A32" s="28"/>
      <c r="B32" s="28"/>
      <c r="C32" s="28"/>
      <c r="D32" s="28"/>
      <c r="E32" s="28"/>
      <c r="F32" s="28"/>
      <c r="G32" s="28"/>
      <c r="H32" s="28"/>
    </row>
    <row r="33" spans="1:8" x14ac:dyDescent="0.25">
      <c r="A33" s="28"/>
      <c r="B33" s="28" t="s">
        <v>1623</v>
      </c>
      <c r="C33" s="28"/>
      <c r="D33" s="28"/>
      <c r="E33" s="28"/>
      <c r="F33" s="28"/>
      <c r="G33" s="28" t="s">
        <v>41</v>
      </c>
      <c r="H33" s="28"/>
    </row>
    <row r="34" spans="1:8" x14ac:dyDescent="0.25">
      <c r="A34" s="28"/>
      <c r="B34" s="28"/>
      <c r="C34" s="28"/>
      <c r="D34" s="28"/>
      <c r="E34" s="28"/>
      <c r="F34" s="28"/>
      <c r="G34" s="28"/>
      <c r="H34" s="28"/>
    </row>
    <row r="35" spans="1:8" x14ac:dyDescent="0.25">
      <c r="A35" s="28"/>
      <c r="B35" s="28"/>
      <c r="C35" s="28"/>
      <c r="D35" s="28"/>
      <c r="E35" s="28"/>
      <c r="F35" s="28"/>
      <c r="G35" s="28"/>
      <c r="H35" s="28"/>
    </row>
    <row r="36" spans="1:8" x14ac:dyDescent="0.25">
      <c r="A36" s="28"/>
      <c r="B36" s="28"/>
      <c r="C36" s="28"/>
      <c r="D36" s="28"/>
      <c r="E36" s="28"/>
      <c r="F36" s="28"/>
      <c r="G36" s="28"/>
      <c r="H36" s="28"/>
    </row>
    <row r="37" spans="1:8" x14ac:dyDescent="0.25">
      <c r="A37" s="28"/>
      <c r="B37" s="34" t="s">
        <v>1622</v>
      </c>
      <c r="C37" s="28"/>
      <c r="D37" s="28"/>
      <c r="E37" s="28"/>
      <c r="F37" s="28"/>
      <c r="G37" s="34" t="s">
        <v>1154</v>
      </c>
      <c r="H37" s="28"/>
    </row>
    <row r="38" spans="1:8" x14ac:dyDescent="0.25">
      <c r="A38" s="28"/>
      <c r="B38" s="28" t="s">
        <v>1683</v>
      </c>
      <c r="C38" s="28"/>
      <c r="D38" s="28"/>
      <c r="E38" s="28"/>
      <c r="F38" s="28"/>
      <c r="G38" s="28" t="s">
        <v>1155</v>
      </c>
      <c r="H38" s="28"/>
    </row>
    <row r="39" spans="1:8" x14ac:dyDescent="0.25">
      <c r="A39" s="28"/>
      <c r="B39" s="28"/>
      <c r="C39" s="28"/>
      <c r="D39" s="28"/>
      <c r="E39" s="28"/>
      <c r="F39" s="28"/>
      <c r="G39" s="37"/>
      <c r="H39" s="28"/>
    </row>
    <row r="40" spans="1:8" x14ac:dyDescent="0.25">
      <c r="A40" s="28"/>
      <c r="B40" s="28"/>
      <c r="C40" s="28"/>
      <c r="D40" s="28"/>
      <c r="E40" s="28" t="s">
        <v>33</v>
      </c>
      <c r="F40" s="28"/>
      <c r="G40" s="37"/>
      <c r="H40" s="28"/>
    </row>
    <row r="41" spans="1:8" x14ac:dyDescent="0.25">
      <c r="A41" s="28"/>
      <c r="B41" s="28" t="s">
        <v>1624</v>
      </c>
      <c r="C41" s="28"/>
      <c r="D41" s="28"/>
      <c r="E41" s="28"/>
      <c r="F41" s="28"/>
      <c r="G41" s="28" t="s">
        <v>1625</v>
      </c>
      <c r="H41" s="28"/>
    </row>
    <row r="42" spans="1:8" x14ac:dyDescent="0.25">
      <c r="A42" s="28"/>
      <c r="B42" s="28"/>
      <c r="C42" s="28"/>
      <c r="D42" s="28"/>
      <c r="E42" s="28"/>
      <c r="F42" s="28"/>
      <c r="G42" s="28"/>
      <c r="H42" s="28"/>
    </row>
    <row r="43" spans="1:8" x14ac:dyDescent="0.25">
      <c r="A43" s="28"/>
      <c r="B43" s="28"/>
      <c r="C43" s="28"/>
      <c r="D43" s="28"/>
      <c r="E43" s="28"/>
      <c r="F43" s="28"/>
      <c r="G43" s="28"/>
      <c r="H43" s="28"/>
    </row>
    <row r="44" spans="1:8" x14ac:dyDescent="0.25">
      <c r="A44" s="28"/>
      <c r="B44" s="28"/>
      <c r="C44" s="28"/>
      <c r="D44" s="28"/>
      <c r="E44" s="28"/>
      <c r="F44" s="28"/>
      <c r="G44" s="28"/>
      <c r="H44" s="28"/>
    </row>
    <row r="45" spans="1:8" x14ac:dyDescent="0.25">
      <c r="A45" s="28"/>
      <c r="B45" s="34" t="s">
        <v>1156</v>
      </c>
      <c r="C45" s="28"/>
      <c r="D45" s="28"/>
      <c r="E45" s="28"/>
      <c r="F45" s="28"/>
      <c r="G45" s="34" t="s">
        <v>1044</v>
      </c>
      <c r="H45" s="28"/>
    </row>
    <row r="46" spans="1:8" x14ac:dyDescent="0.25">
      <c r="A46" s="28"/>
      <c r="B46" s="34" t="s">
        <v>1620</v>
      </c>
      <c r="C46" s="28"/>
      <c r="D46" s="28"/>
      <c r="E46" s="28"/>
      <c r="F46" s="28"/>
      <c r="G46" s="28" t="s">
        <v>1621</v>
      </c>
      <c r="H46" s="28"/>
    </row>
  </sheetData>
  <mergeCells count="10">
    <mergeCell ref="D16:E16"/>
    <mergeCell ref="D17:E17"/>
    <mergeCell ref="A18:B18"/>
    <mergeCell ref="D18:E18"/>
    <mergeCell ref="A1:G1"/>
    <mergeCell ref="D11:E11"/>
    <mergeCell ref="D12:E12"/>
    <mergeCell ref="D13:E13"/>
    <mergeCell ref="D14:E14"/>
    <mergeCell ref="D15:E15"/>
  </mergeCells>
  <pageMargins left="0.7" right="0.7" top="0.75" bottom="0.75" header="0.3" footer="0.3"/>
  <pageSetup paperSize="9" scale="8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4F5BE-E8FD-4748-9D34-682E219CAE3C}">
  <sheetPr>
    <tabColor theme="0"/>
    <pageSetUpPr fitToPage="1"/>
  </sheetPr>
  <dimension ref="A1:H46"/>
  <sheetViews>
    <sheetView topLeftCell="A14" workbookViewId="0">
      <selection activeCell="D40" sqref="D40"/>
    </sheetView>
  </sheetViews>
  <sheetFormatPr defaultRowHeight="15" x14ac:dyDescent="0.25"/>
  <cols>
    <col min="1" max="1" width="5.140625" customWidth="1"/>
    <col min="2" max="2" width="30.140625" customWidth="1"/>
    <col min="3" max="3" width="16" customWidth="1"/>
    <col min="4" max="4" width="2.140625" customWidth="1"/>
    <col min="5" max="5" width="12.5703125" customWidth="1"/>
    <col min="6" max="6" width="13.5703125" customWidth="1"/>
    <col min="7" max="7" width="13.42578125" customWidth="1"/>
    <col min="8" max="8" width="14.42578125" customWidth="1"/>
  </cols>
  <sheetData>
    <row r="1" spans="1:8" ht="18.75" x14ac:dyDescent="0.25">
      <c r="A1" s="835" t="s">
        <v>1227</v>
      </c>
      <c r="B1" s="835"/>
      <c r="C1" s="835"/>
      <c r="D1" s="835"/>
      <c r="E1" s="835"/>
      <c r="F1" s="835"/>
      <c r="G1" s="835"/>
      <c r="H1" s="234" t="s">
        <v>1617</v>
      </c>
    </row>
    <row r="2" spans="1:8" x14ac:dyDescent="0.25">
      <c r="A2" s="28"/>
      <c r="B2" s="28"/>
      <c r="C2" s="28"/>
      <c r="D2" s="28"/>
      <c r="E2" s="28"/>
      <c r="F2" s="28"/>
      <c r="G2" s="28"/>
      <c r="H2" s="168" t="s">
        <v>1616</v>
      </c>
    </row>
    <row r="3" spans="1:8" x14ac:dyDescent="0.25">
      <c r="A3" s="28" t="s">
        <v>594</v>
      </c>
      <c r="B3" s="37"/>
      <c r="C3" s="28" t="s">
        <v>703</v>
      </c>
      <c r="D3" s="28"/>
      <c r="E3" s="28"/>
      <c r="F3" s="28"/>
      <c r="G3" s="28"/>
      <c r="H3" s="28"/>
    </row>
    <row r="4" spans="1:8" x14ac:dyDescent="0.25">
      <c r="A4" s="28" t="s">
        <v>597</v>
      </c>
      <c r="B4" s="37"/>
      <c r="C4" s="28" t="s">
        <v>702</v>
      </c>
      <c r="D4" s="28"/>
      <c r="E4" s="28"/>
      <c r="F4" s="28"/>
      <c r="G4" s="28"/>
      <c r="H4" s="28"/>
    </row>
    <row r="5" spans="1:8" x14ac:dyDescent="0.25">
      <c r="A5" s="28" t="s">
        <v>38</v>
      </c>
      <c r="B5" s="28"/>
      <c r="C5" s="28" t="s">
        <v>701</v>
      </c>
      <c r="D5" s="28"/>
      <c r="E5" s="28"/>
      <c r="F5" s="28"/>
      <c r="G5" s="28"/>
      <c r="H5" s="28"/>
    </row>
    <row r="6" spans="1:8" x14ac:dyDescent="0.25">
      <c r="A6" s="28" t="s">
        <v>39</v>
      </c>
      <c r="B6" s="37"/>
      <c r="C6" s="28" t="s">
        <v>866</v>
      </c>
      <c r="D6" s="28"/>
      <c r="E6" s="28"/>
      <c r="F6" s="28"/>
      <c r="G6" s="28"/>
      <c r="H6" s="28"/>
    </row>
    <row r="7" spans="1:8" x14ac:dyDescent="0.25">
      <c r="A7" s="28" t="s">
        <v>595</v>
      </c>
      <c r="B7" s="37"/>
      <c r="C7" s="27" t="s">
        <v>699</v>
      </c>
      <c r="D7" s="28"/>
      <c r="E7" s="28"/>
      <c r="F7" s="28"/>
      <c r="G7" s="28"/>
      <c r="H7" s="28"/>
    </row>
    <row r="8" spans="1:8" x14ac:dyDescent="0.25">
      <c r="A8" s="28" t="s">
        <v>104</v>
      </c>
      <c r="B8" s="37"/>
      <c r="C8" s="28" t="s">
        <v>1619</v>
      </c>
      <c r="D8" s="28"/>
      <c r="E8" s="28"/>
      <c r="F8" s="28"/>
      <c r="G8" s="28"/>
      <c r="H8" s="28"/>
    </row>
    <row r="9" spans="1:8" x14ac:dyDescent="0.25">
      <c r="A9" s="28" t="s">
        <v>40</v>
      </c>
      <c r="B9" s="37"/>
      <c r="C9" s="28" t="s">
        <v>965</v>
      </c>
      <c r="D9" s="28"/>
      <c r="E9" s="28"/>
      <c r="F9" s="28"/>
      <c r="G9" s="28"/>
      <c r="H9" s="28"/>
    </row>
    <row r="10" spans="1:8" x14ac:dyDescent="0.25">
      <c r="A10" s="28"/>
      <c r="B10" s="28"/>
      <c r="C10" s="28"/>
      <c r="D10" s="28"/>
      <c r="E10" s="28"/>
      <c r="F10" s="28"/>
      <c r="G10" s="28"/>
      <c r="H10" s="28"/>
    </row>
    <row r="11" spans="1:8" ht="29.25" thickBot="1" x14ac:dyDescent="0.3">
      <c r="A11" s="207" t="s">
        <v>105</v>
      </c>
      <c r="B11" s="207" t="s">
        <v>106</v>
      </c>
      <c r="C11" s="207" t="s">
        <v>145</v>
      </c>
      <c r="D11" s="833" t="s">
        <v>146</v>
      </c>
      <c r="E11" s="834"/>
      <c r="F11" s="207" t="s">
        <v>147</v>
      </c>
      <c r="G11" s="207" t="s">
        <v>148</v>
      </c>
      <c r="H11" s="208" t="s">
        <v>149</v>
      </c>
    </row>
    <row r="12" spans="1:8" ht="15.75" thickTop="1" x14ac:dyDescent="0.25">
      <c r="A12" s="163">
        <v>1</v>
      </c>
      <c r="B12" s="287" t="s">
        <v>1638</v>
      </c>
      <c r="C12" s="163">
        <v>5</v>
      </c>
      <c r="D12" s="831">
        <v>2</v>
      </c>
      <c r="E12" s="832"/>
      <c r="F12" s="163">
        <v>3</v>
      </c>
      <c r="G12" s="295">
        <v>1</v>
      </c>
      <c r="H12" s="295">
        <f t="shared" ref="H12:H17" si="0">8*G12</f>
        <v>8</v>
      </c>
    </row>
    <row r="13" spans="1:8" x14ac:dyDescent="0.25">
      <c r="A13" s="154">
        <v>2</v>
      </c>
      <c r="B13" s="288" t="s">
        <v>1639</v>
      </c>
      <c r="C13" s="154">
        <v>4</v>
      </c>
      <c r="D13" s="823">
        <v>1</v>
      </c>
      <c r="E13" s="824"/>
      <c r="F13" s="163">
        <v>3</v>
      </c>
      <c r="G13" s="296">
        <v>1</v>
      </c>
      <c r="H13" s="295">
        <f t="shared" si="0"/>
        <v>8</v>
      </c>
    </row>
    <row r="14" spans="1:8" x14ac:dyDescent="0.25">
      <c r="A14" s="154">
        <v>3</v>
      </c>
      <c r="B14" s="288" t="s">
        <v>1640</v>
      </c>
      <c r="C14" s="154">
        <v>4</v>
      </c>
      <c r="D14" s="823">
        <v>0</v>
      </c>
      <c r="E14" s="824"/>
      <c r="F14" s="163">
        <v>4</v>
      </c>
      <c r="G14" s="296">
        <v>2</v>
      </c>
      <c r="H14" s="295">
        <f t="shared" si="0"/>
        <v>16</v>
      </c>
    </row>
    <row r="15" spans="1:8" x14ac:dyDescent="0.25">
      <c r="A15" s="474">
        <v>4</v>
      </c>
      <c r="B15" s="478" t="s">
        <v>1641</v>
      </c>
      <c r="C15" s="474">
        <v>5</v>
      </c>
      <c r="D15" s="829">
        <v>0</v>
      </c>
      <c r="E15" s="830"/>
      <c r="F15" s="479">
        <v>5</v>
      </c>
      <c r="G15" s="296">
        <v>3</v>
      </c>
      <c r="H15" s="295">
        <f t="shared" si="0"/>
        <v>24</v>
      </c>
    </row>
    <row r="16" spans="1:8" x14ac:dyDescent="0.25">
      <c r="A16" s="154">
        <v>5</v>
      </c>
      <c r="B16" s="288" t="s">
        <v>1651</v>
      </c>
      <c r="C16" s="154">
        <v>4</v>
      </c>
      <c r="D16" s="823">
        <v>3</v>
      </c>
      <c r="E16" s="824"/>
      <c r="F16" s="163">
        <v>1</v>
      </c>
      <c r="G16" s="296">
        <v>1</v>
      </c>
      <c r="H16" s="295">
        <f t="shared" si="0"/>
        <v>8</v>
      </c>
    </row>
    <row r="17" spans="1:8" x14ac:dyDescent="0.25">
      <c r="A17" s="154">
        <v>6</v>
      </c>
      <c r="B17" s="288" t="s">
        <v>1642</v>
      </c>
      <c r="C17" s="154">
        <v>4</v>
      </c>
      <c r="D17" s="823">
        <v>3</v>
      </c>
      <c r="E17" s="824"/>
      <c r="F17" s="163">
        <v>1</v>
      </c>
      <c r="G17" s="296">
        <v>0</v>
      </c>
      <c r="H17" s="295">
        <f t="shared" si="0"/>
        <v>0</v>
      </c>
    </row>
    <row r="18" spans="1:8" x14ac:dyDescent="0.25">
      <c r="A18" s="825" t="s">
        <v>28</v>
      </c>
      <c r="B18" s="826"/>
      <c r="C18" s="209">
        <f>SUM(C12:C17)</f>
        <v>26</v>
      </c>
      <c r="D18" s="827">
        <f>SUM(D12:E17)</f>
        <v>9</v>
      </c>
      <c r="E18" s="828"/>
      <c r="F18" s="209">
        <f>SUM(F12:F17)</f>
        <v>17</v>
      </c>
      <c r="G18" s="296">
        <f>SUM(G12:G17)</f>
        <v>8</v>
      </c>
      <c r="H18" s="297">
        <f>SUM(H12:H17)</f>
        <v>64</v>
      </c>
    </row>
    <row r="19" spans="1:8" x14ac:dyDescent="0.25">
      <c r="A19" s="142"/>
      <c r="B19" s="142"/>
      <c r="C19" s="142"/>
      <c r="D19" s="142"/>
      <c r="E19" s="142"/>
      <c r="F19" s="142"/>
      <c r="G19" s="142"/>
      <c r="H19" s="28"/>
    </row>
    <row r="20" spans="1:8" x14ac:dyDescent="0.25">
      <c r="A20" s="142"/>
      <c r="B20" s="174" t="s">
        <v>128</v>
      </c>
      <c r="C20" s="142"/>
      <c r="D20" s="142" t="s">
        <v>65</v>
      </c>
      <c r="E20" s="142">
        <v>8</v>
      </c>
      <c r="F20" s="174" t="s">
        <v>62</v>
      </c>
      <c r="G20" s="142"/>
      <c r="H20" s="28"/>
    </row>
    <row r="21" spans="1:8" x14ac:dyDescent="0.25">
      <c r="A21" s="142"/>
      <c r="B21" s="174" t="s">
        <v>129</v>
      </c>
      <c r="C21" s="142"/>
      <c r="D21" s="142" t="s">
        <v>65</v>
      </c>
      <c r="E21" s="210">
        <f>H18</f>
        <v>64</v>
      </c>
      <c r="F21" s="174" t="s">
        <v>62</v>
      </c>
      <c r="G21" s="142"/>
      <c r="H21" s="28"/>
    </row>
    <row r="22" spans="1:8" x14ac:dyDescent="0.25">
      <c r="A22" s="28"/>
      <c r="B22" s="37" t="s">
        <v>107</v>
      </c>
      <c r="C22" s="28"/>
      <c r="D22" s="28"/>
      <c r="E22" s="142"/>
      <c r="F22" s="28"/>
      <c r="G22" s="28"/>
      <c r="H22" s="28"/>
    </row>
    <row r="23" spans="1:8" x14ac:dyDescent="0.25">
      <c r="A23" s="28"/>
      <c r="B23" s="28" t="s">
        <v>138</v>
      </c>
      <c r="C23" s="28"/>
      <c r="D23" s="142" t="s">
        <v>65</v>
      </c>
      <c r="E23" s="175">
        <f>E27-E24-E25</f>
        <v>58</v>
      </c>
      <c r="F23" s="28" t="s">
        <v>62</v>
      </c>
      <c r="G23" s="28"/>
      <c r="H23" s="28"/>
    </row>
    <row r="24" spans="1:8" x14ac:dyDescent="0.25">
      <c r="A24" s="28"/>
      <c r="B24" s="28" t="s">
        <v>1206</v>
      </c>
      <c r="C24" s="28"/>
      <c r="D24" s="142" t="s">
        <v>65</v>
      </c>
      <c r="E24" s="142">
        <v>4</v>
      </c>
      <c r="F24" s="28" t="s">
        <v>62</v>
      </c>
      <c r="G24" s="28"/>
      <c r="H24" s="28"/>
    </row>
    <row r="25" spans="1:8" x14ac:dyDescent="0.25">
      <c r="A25" s="28"/>
      <c r="B25" s="28" t="s">
        <v>848</v>
      </c>
      <c r="C25" s="28"/>
      <c r="D25" s="28" t="s">
        <v>65</v>
      </c>
      <c r="E25" s="142">
        <v>2</v>
      </c>
      <c r="F25" s="28" t="s">
        <v>62</v>
      </c>
      <c r="G25" s="28"/>
      <c r="H25" s="28"/>
    </row>
    <row r="26" spans="1:8" x14ac:dyDescent="0.25">
      <c r="A26" s="28"/>
      <c r="B26" s="28"/>
      <c r="C26" s="28"/>
      <c r="D26" s="28"/>
      <c r="E26" s="28"/>
      <c r="F26" s="28"/>
      <c r="G26" s="28"/>
      <c r="H26" s="28"/>
    </row>
    <row r="27" spans="1:8" x14ac:dyDescent="0.25">
      <c r="A27" s="28"/>
      <c r="B27" s="28"/>
      <c r="C27" s="175" t="s">
        <v>130</v>
      </c>
      <c r="D27" s="142" t="s">
        <v>65</v>
      </c>
      <c r="E27" s="211">
        <v>64</v>
      </c>
      <c r="F27" s="196" t="s">
        <v>62</v>
      </c>
      <c r="G27" s="28"/>
      <c r="H27" s="28"/>
    </row>
    <row r="28" spans="1:8" x14ac:dyDescent="0.25">
      <c r="A28" s="28"/>
      <c r="B28" s="28"/>
      <c r="C28" s="28"/>
      <c r="D28" s="28"/>
      <c r="E28" s="28"/>
      <c r="F28" s="28"/>
      <c r="G28" s="28"/>
      <c r="H28" s="28"/>
    </row>
    <row r="29" spans="1:8" x14ac:dyDescent="0.25">
      <c r="A29" s="28"/>
      <c r="B29" s="28"/>
      <c r="C29" s="28"/>
      <c r="D29" s="28"/>
      <c r="E29" s="28"/>
      <c r="F29" s="28"/>
      <c r="G29" s="28"/>
      <c r="H29" s="28"/>
    </row>
    <row r="30" spans="1:8" x14ac:dyDescent="0.25">
      <c r="A30" s="28"/>
      <c r="B30" s="28"/>
      <c r="C30" s="175"/>
      <c r="D30" s="142"/>
      <c r="E30" s="212"/>
      <c r="F30" s="196"/>
      <c r="G30" s="28"/>
      <c r="H30" s="28"/>
    </row>
    <row r="31" spans="1:8" x14ac:dyDescent="0.25">
      <c r="A31" s="28"/>
      <c r="B31" s="28"/>
      <c r="C31" s="28"/>
      <c r="D31" s="28"/>
      <c r="E31" s="28"/>
      <c r="F31" s="28"/>
      <c r="G31" s="28" t="s">
        <v>1626</v>
      </c>
      <c r="H31" s="28"/>
    </row>
    <row r="32" spans="1:8" x14ac:dyDescent="0.25">
      <c r="A32" s="28"/>
      <c r="B32" s="28"/>
      <c r="C32" s="28"/>
      <c r="D32" s="28"/>
      <c r="E32" s="28"/>
      <c r="F32" s="28"/>
      <c r="G32" s="28"/>
      <c r="H32" s="28"/>
    </row>
    <row r="33" spans="1:8" x14ac:dyDescent="0.25">
      <c r="A33" s="28"/>
      <c r="B33" s="28" t="s">
        <v>1623</v>
      </c>
      <c r="C33" s="28"/>
      <c r="D33" s="28"/>
      <c r="E33" s="28"/>
      <c r="F33" s="28"/>
      <c r="G33" s="28" t="s">
        <v>41</v>
      </c>
      <c r="H33" s="28"/>
    </row>
    <row r="34" spans="1:8" x14ac:dyDescent="0.25">
      <c r="A34" s="28"/>
      <c r="B34" s="28"/>
      <c r="C34" s="28"/>
      <c r="D34" s="28"/>
      <c r="E34" s="28"/>
      <c r="F34" s="28"/>
      <c r="G34" s="28"/>
      <c r="H34" s="28"/>
    </row>
    <row r="35" spans="1:8" x14ac:dyDescent="0.25">
      <c r="A35" s="28"/>
      <c r="B35" s="28"/>
      <c r="C35" s="28"/>
      <c r="D35" s="28"/>
      <c r="E35" s="28"/>
      <c r="F35" s="28"/>
      <c r="G35" s="28"/>
      <c r="H35" s="28"/>
    </row>
    <row r="36" spans="1:8" x14ac:dyDescent="0.25">
      <c r="A36" s="28"/>
      <c r="B36" s="28"/>
      <c r="C36" s="28"/>
      <c r="D36" s="28"/>
      <c r="E36" s="28"/>
      <c r="F36" s="28"/>
      <c r="G36" s="28"/>
      <c r="H36" s="28"/>
    </row>
    <row r="37" spans="1:8" x14ac:dyDescent="0.25">
      <c r="A37" s="28"/>
      <c r="B37" s="34" t="s">
        <v>1622</v>
      </c>
      <c r="C37" s="28"/>
      <c r="D37" s="28"/>
      <c r="E37" s="28"/>
      <c r="F37" s="28"/>
      <c r="G37" s="34" t="s">
        <v>1154</v>
      </c>
      <c r="H37" s="28"/>
    </row>
    <row r="38" spans="1:8" x14ac:dyDescent="0.25">
      <c r="A38" s="28"/>
      <c r="B38" s="28" t="s">
        <v>1683</v>
      </c>
      <c r="C38" s="28"/>
      <c r="D38" s="28"/>
      <c r="E38" s="28"/>
      <c r="F38" s="28"/>
      <c r="G38" s="28" t="s">
        <v>1155</v>
      </c>
      <c r="H38" s="28"/>
    </row>
    <row r="39" spans="1:8" x14ac:dyDescent="0.25">
      <c r="A39" s="28"/>
      <c r="B39" s="28"/>
      <c r="C39" s="28"/>
      <c r="D39" s="28"/>
      <c r="E39" s="28"/>
      <c r="F39" s="28"/>
      <c r="G39" s="37"/>
      <c r="H39" s="28"/>
    </row>
    <row r="40" spans="1:8" x14ac:dyDescent="0.25">
      <c r="A40" s="28"/>
      <c r="B40" s="28"/>
      <c r="C40" s="28"/>
      <c r="D40" s="28"/>
      <c r="E40" s="28" t="s">
        <v>33</v>
      </c>
      <c r="F40" s="28"/>
      <c r="G40" s="37"/>
      <c r="H40" s="28"/>
    </row>
    <row r="41" spans="1:8" x14ac:dyDescent="0.25">
      <c r="A41" s="28"/>
      <c r="B41" s="28" t="s">
        <v>1624</v>
      </c>
      <c r="C41" s="28"/>
      <c r="D41" s="28"/>
      <c r="E41" s="28"/>
      <c r="F41" s="28"/>
      <c r="G41" s="28" t="s">
        <v>1625</v>
      </c>
      <c r="H41" s="28"/>
    </row>
    <row r="42" spans="1:8" x14ac:dyDescent="0.25">
      <c r="A42" s="28"/>
      <c r="B42" s="28"/>
      <c r="C42" s="28"/>
      <c r="D42" s="28"/>
      <c r="E42" s="28"/>
      <c r="F42" s="28"/>
      <c r="G42" s="28"/>
      <c r="H42" s="28"/>
    </row>
    <row r="43" spans="1:8" x14ac:dyDescent="0.25">
      <c r="A43" s="28"/>
      <c r="B43" s="28"/>
      <c r="C43" s="28"/>
      <c r="D43" s="28"/>
      <c r="E43" s="28"/>
      <c r="F43" s="28"/>
      <c r="G43" s="28"/>
      <c r="H43" s="28"/>
    </row>
    <row r="44" spans="1:8" x14ac:dyDescent="0.25">
      <c r="A44" s="28"/>
      <c r="B44" s="28"/>
      <c r="C44" s="28"/>
      <c r="D44" s="28"/>
      <c r="E44" s="28"/>
      <c r="F44" s="28"/>
      <c r="G44" s="28"/>
      <c r="H44" s="28"/>
    </row>
    <row r="45" spans="1:8" x14ac:dyDescent="0.25">
      <c r="A45" s="28"/>
      <c r="B45" s="34" t="s">
        <v>1156</v>
      </c>
      <c r="C45" s="28"/>
      <c r="D45" s="28"/>
      <c r="E45" s="28"/>
      <c r="F45" s="28"/>
      <c r="G45" s="34" t="s">
        <v>1044</v>
      </c>
      <c r="H45" s="28"/>
    </row>
    <row r="46" spans="1:8" x14ac:dyDescent="0.25">
      <c r="A46" s="28"/>
      <c r="B46" s="34" t="s">
        <v>1620</v>
      </c>
      <c r="C46" s="28"/>
      <c r="D46" s="28"/>
      <c r="E46" s="28"/>
      <c r="F46" s="28"/>
      <c r="G46" s="28" t="s">
        <v>1621</v>
      </c>
      <c r="H46" s="28"/>
    </row>
  </sheetData>
  <mergeCells count="10">
    <mergeCell ref="D16:E16"/>
    <mergeCell ref="D17:E17"/>
    <mergeCell ref="A18:B18"/>
    <mergeCell ref="D18:E18"/>
    <mergeCell ref="A1:G1"/>
    <mergeCell ref="D11:E11"/>
    <mergeCell ref="D12:E12"/>
    <mergeCell ref="D13:E13"/>
    <mergeCell ref="D14:E14"/>
    <mergeCell ref="D15:E15"/>
  </mergeCells>
  <printOptions horizontalCentered="1"/>
  <pageMargins left="0.7" right="0.7" top="0.75" bottom="0.75" header="0.3" footer="0.3"/>
  <pageSetup paperSize="9" scale="81" orientation="portrait" horizont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0"/>
    <pageSetUpPr fitToPage="1"/>
  </sheetPr>
  <dimension ref="B1:G49"/>
  <sheetViews>
    <sheetView zoomScale="78" workbookViewId="0">
      <selection activeCell="F40" sqref="A1:XFD1048576"/>
    </sheetView>
  </sheetViews>
  <sheetFormatPr defaultColWidth="9.140625" defaultRowHeight="16.5" customHeight="1" x14ac:dyDescent="0.25"/>
  <cols>
    <col min="1" max="1" width="3.42578125" style="27" customWidth="1"/>
    <col min="2" max="2" width="17.85546875" style="27" customWidth="1"/>
    <col min="3" max="3" width="94" style="27" customWidth="1"/>
    <col min="4" max="4" width="16.140625" style="27" customWidth="1"/>
    <col min="5" max="5" width="17.7109375" style="27" customWidth="1"/>
    <col min="6" max="6" width="8.5703125" style="27" customWidth="1"/>
    <col min="7" max="16384" width="9.140625" style="27"/>
  </cols>
  <sheetData>
    <row r="1" spans="2:6" ht="16.5" customHeight="1" x14ac:dyDescent="0.25">
      <c r="C1" s="28"/>
      <c r="D1" s="28"/>
      <c r="E1" s="848" t="s">
        <v>1628</v>
      </c>
      <c r="F1" s="848"/>
    </row>
    <row r="2" spans="2:6" ht="16.5" customHeight="1" x14ac:dyDescent="0.25">
      <c r="C2" s="205" t="s">
        <v>108</v>
      </c>
      <c r="D2" s="28"/>
      <c r="E2" s="849" t="s">
        <v>1616</v>
      </c>
      <c r="F2" s="850"/>
    </row>
    <row r="3" spans="2:6" ht="16.5" customHeight="1" x14ac:dyDescent="0.25">
      <c r="D3" s="28"/>
      <c r="E3" s="28"/>
      <c r="F3" s="28"/>
    </row>
    <row r="4" spans="2:6" ht="16.5" customHeight="1" x14ac:dyDescent="0.25">
      <c r="B4" s="46" t="s">
        <v>594</v>
      </c>
      <c r="C4" s="46" t="s">
        <v>703</v>
      </c>
      <c r="D4" s="28"/>
      <c r="E4" s="28"/>
      <c r="F4" s="28"/>
    </row>
    <row r="5" spans="2:6" ht="16.5" customHeight="1" x14ac:dyDescent="0.25">
      <c r="B5" s="46" t="s">
        <v>597</v>
      </c>
      <c r="C5" s="46" t="s">
        <v>702</v>
      </c>
      <c r="D5" s="28"/>
      <c r="E5" s="28"/>
      <c r="F5" s="28"/>
    </row>
    <row r="6" spans="2:6" ht="16.5" customHeight="1" x14ac:dyDescent="0.25">
      <c r="B6" s="45" t="s">
        <v>38</v>
      </c>
      <c r="C6" s="28" t="s">
        <v>712</v>
      </c>
      <c r="D6" s="28"/>
      <c r="E6" s="28"/>
      <c r="F6" s="28"/>
    </row>
    <row r="7" spans="2:6" ht="16.5" customHeight="1" x14ac:dyDescent="0.25">
      <c r="B7" s="46" t="s">
        <v>131</v>
      </c>
      <c r="C7" s="45" t="s">
        <v>705</v>
      </c>
      <c r="D7" s="37"/>
      <c r="E7" s="28"/>
      <c r="F7" s="28"/>
    </row>
    <row r="8" spans="2:6" ht="16.5" customHeight="1" x14ac:dyDescent="0.25">
      <c r="B8" s="46" t="s">
        <v>39</v>
      </c>
      <c r="C8" s="46" t="s">
        <v>888</v>
      </c>
      <c r="D8" s="37"/>
      <c r="E8" s="28"/>
      <c r="F8" s="28"/>
    </row>
    <row r="9" spans="2:6" ht="16.5" customHeight="1" x14ac:dyDescent="0.25">
      <c r="B9" s="27" t="s">
        <v>104</v>
      </c>
      <c r="C9" s="27" t="s">
        <v>1158</v>
      </c>
      <c r="D9" s="37"/>
      <c r="E9" s="28"/>
      <c r="F9" s="28"/>
    </row>
    <row r="10" spans="2:6" ht="16.5" customHeight="1" x14ac:dyDescent="0.25">
      <c r="B10" s="45" t="s">
        <v>40</v>
      </c>
      <c r="C10" s="45" t="s">
        <v>966</v>
      </c>
      <c r="D10" s="37"/>
      <c r="E10" s="28"/>
      <c r="F10" s="28"/>
    </row>
    <row r="11" spans="2:6" ht="16.5" customHeight="1" x14ac:dyDescent="0.25">
      <c r="D11" s="28"/>
      <c r="E11" s="28"/>
      <c r="F11" s="28"/>
    </row>
    <row r="12" spans="2:6" ht="16.5" customHeight="1" x14ac:dyDescent="0.25">
      <c r="B12" s="851" t="s">
        <v>1055</v>
      </c>
      <c r="C12" s="851" t="s">
        <v>616</v>
      </c>
      <c r="D12" s="853" t="s">
        <v>288</v>
      </c>
      <c r="E12" s="853"/>
      <c r="F12" s="854" t="s">
        <v>6</v>
      </c>
    </row>
    <row r="13" spans="2:6" ht="16.5" customHeight="1" x14ac:dyDescent="0.25">
      <c r="B13" s="851"/>
      <c r="C13" s="851"/>
      <c r="D13" s="855" t="s">
        <v>47</v>
      </c>
      <c r="E13" s="855" t="s">
        <v>48</v>
      </c>
      <c r="F13" s="854"/>
    </row>
    <row r="14" spans="2:6" ht="16.5" customHeight="1" x14ac:dyDescent="0.25">
      <c r="B14" s="852"/>
      <c r="C14" s="852"/>
      <c r="D14" s="856"/>
      <c r="E14" s="856"/>
      <c r="F14" s="855"/>
    </row>
    <row r="15" spans="2:6" ht="16.5" customHeight="1" x14ac:dyDescent="0.25">
      <c r="B15" s="839">
        <v>3</v>
      </c>
      <c r="C15" s="298" t="s">
        <v>1162</v>
      </c>
      <c r="D15" s="473">
        <v>20</v>
      </c>
      <c r="E15" s="473"/>
      <c r="F15" s="843">
        <f>D15+E16</f>
        <v>24</v>
      </c>
    </row>
    <row r="16" spans="2:6" ht="16.5" customHeight="1" x14ac:dyDescent="0.25">
      <c r="B16" s="839"/>
      <c r="C16" s="298" t="s">
        <v>849</v>
      </c>
      <c r="D16" s="473"/>
      <c r="E16" s="473">
        <v>4</v>
      </c>
      <c r="F16" s="844"/>
    </row>
    <row r="17" spans="2:7" ht="26.25" customHeight="1" x14ac:dyDescent="0.25">
      <c r="B17" s="839"/>
      <c r="C17" s="298" t="s">
        <v>1208</v>
      </c>
      <c r="D17" s="209">
        <v>20</v>
      </c>
      <c r="E17" s="209"/>
      <c r="F17" s="840">
        <f>D17+E18</f>
        <v>24</v>
      </c>
    </row>
    <row r="18" spans="2:7" ht="16.5" customHeight="1" x14ac:dyDescent="0.25">
      <c r="B18" s="839"/>
      <c r="C18" s="298" t="s">
        <v>850</v>
      </c>
      <c r="D18" s="49"/>
      <c r="E18" s="49">
        <v>4</v>
      </c>
      <c r="F18" s="842"/>
      <c r="G18" s="28"/>
    </row>
    <row r="19" spans="2:7" ht="16.5" customHeight="1" x14ac:dyDescent="0.25">
      <c r="B19" s="839"/>
      <c r="C19" s="27" t="s">
        <v>1163</v>
      </c>
      <c r="D19" s="472">
        <v>14</v>
      </c>
      <c r="E19" s="472"/>
      <c r="F19" s="840">
        <f>D19+E20</f>
        <v>16</v>
      </c>
      <c r="G19" s="28"/>
    </row>
    <row r="20" spans="2:7" ht="16.5" customHeight="1" x14ac:dyDescent="0.25">
      <c r="B20" s="839"/>
      <c r="C20" s="305" t="s">
        <v>1056</v>
      </c>
      <c r="D20" s="209"/>
      <c r="E20" s="209">
        <v>2</v>
      </c>
      <c r="F20" s="842"/>
      <c r="G20" s="28"/>
    </row>
    <row r="21" spans="2:7" ht="16.5" customHeight="1" x14ac:dyDescent="0.25">
      <c r="B21" s="839"/>
      <c r="C21" s="566" t="s">
        <v>28</v>
      </c>
      <c r="D21" s="568">
        <f t="shared" ref="D21:E21" si="0">SUM(D15:D20)</f>
        <v>54</v>
      </c>
      <c r="E21" s="568">
        <f t="shared" si="0"/>
        <v>10</v>
      </c>
      <c r="F21" s="568">
        <f>SUM(F15:F20)</f>
        <v>64</v>
      </c>
      <c r="G21" s="28"/>
    </row>
    <row r="22" spans="2:7" ht="16.5" customHeight="1" x14ac:dyDescent="0.25">
      <c r="B22" s="845">
        <v>4</v>
      </c>
      <c r="C22" s="298" t="s">
        <v>1159</v>
      </c>
      <c r="D22" s="209">
        <v>36</v>
      </c>
      <c r="E22" s="473"/>
      <c r="F22" s="843">
        <v>40</v>
      </c>
      <c r="G22" s="28"/>
    </row>
    <row r="23" spans="2:7" ht="16.5" customHeight="1" x14ac:dyDescent="0.25">
      <c r="B23" s="846"/>
      <c r="C23" s="298" t="s">
        <v>1228</v>
      </c>
      <c r="D23" s="473"/>
      <c r="E23" s="473">
        <v>4</v>
      </c>
      <c r="F23" s="844"/>
      <c r="G23" s="28"/>
    </row>
    <row r="24" spans="2:7" ht="30" x14ac:dyDescent="0.25">
      <c r="B24" s="846"/>
      <c r="C24" s="457" t="s">
        <v>1147</v>
      </c>
      <c r="D24" s="473">
        <v>28</v>
      </c>
      <c r="E24" s="473"/>
      <c r="F24" s="840">
        <v>32</v>
      </c>
      <c r="G24" s="28"/>
    </row>
    <row r="25" spans="2:7" ht="15" x14ac:dyDescent="0.25">
      <c r="B25" s="846"/>
      <c r="C25" s="298" t="s">
        <v>1228</v>
      </c>
      <c r="D25" s="49"/>
      <c r="E25" s="49">
        <v>2</v>
      </c>
      <c r="F25" s="841"/>
      <c r="G25" s="28"/>
    </row>
    <row r="26" spans="2:7" ht="15" x14ac:dyDescent="0.25">
      <c r="B26" s="846"/>
      <c r="C26" s="305" t="s">
        <v>1056</v>
      </c>
      <c r="D26" s="209"/>
      <c r="E26" s="209">
        <v>2</v>
      </c>
      <c r="F26" s="842"/>
      <c r="G26" s="28"/>
    </row>
    <row r="27" spans="2:7" ht="16.5" customHeight="1" x14ac:dyDescent="0.25">
      <c r="B27" s="847"/>
      <c r="C27" s="569" t="s">
        <v>28</v>
      </c>
      <c r="D27" s="567">
        <v>60</v>
      </c>
      <c r="E27" s="567">
        <v>12</v>
      </c>
      <c r="F27" s="570">
        <v>72</v>
      </c>
      <c r="G27" s="28"/>
    </row>
    <row r="28" spans="2:7" ht="16.5" customHeight="1" x14ac:dyDescent="0.25">
      <c r="B28" s="28"/>
      <c r="C28" s="28"/>
      <c r="D28" s="28"/>
      <c r="E28" s="28"/>
      <c r="G28" s="28"/>
    </row>
    <row r="29" spans="2:7" ht="16.5" customHeight="1" x14ac:dyDescent="0.25">
      <c r="B29" s="28"/>
      <c r="C29" s="28"/>
      <c r="D29" s="28" t="s">
        <v>1144</v>
      </c>
      <c r="E29" s="28"/>
      <c r="F29" s="28"/>
      <c r="G29" s="28"/>
    </row>
    <row r="30" spans="2:7" ht="16.5" customHeight="1" x14ac:dyDescent="0.25">
      <c r="B30" s="28"/>
      <c r="C30" s="28"/>
      <c r="D30" s="28"/>
      <c r="E30" s="28"/>
      <c r="F30" s="28"/>
      <c r="G30" s="28"/>
    </row>
    <row r="31" spans="2:7" ht="16.5" customHeight="1" x14ac:dyDescent="0.25">
      <c r="B31" s="28" t="s">
        <v>1623</v>
      </c>
      <c r="C31" s="28"/>
      <c r="D31" s="28" t="s">
        <v>41</v>
      </c>
      <c r="E31" s="28"/>
      <c r="F31" s="28"/>
      <c r="G31" s="28"/>
    </row>
    <row r="32" spans="2:7" ht="16.5" customHeight="1" x14ac:dyDescent="0.25">
      <c r="B32" s="28"/>
      <c r="C32" s="28"/>
      <c r="D32" s="28"/>
      <c r="E32" s="28"/>
      <c r="F32" s="28"/>
      <c r="G32" s="28"/>
    </row>
    <row r="33" spans="2:7" ht="16.5" customHeight="1" x14ac:dyDescent="0.25">
      <c r="B33" s="28"/>
      <c r="C33" s="28"/>
      <c r="D33" s="28"/>
      <c r="E33" s="28"/>
      <c r="F33" s="28"/>
      <c r="G33" s="28"/>
    </row>
    <row r="34" spans="2:7" ht="16.5" customHeight="1" x14ac:dyDescent="0.25">
      <c r="B34" s="28"/>
      <c r="C34" s="28"/>
      <c r="D34" s="28"/>
      <c r="E34" s="28"/>
      <c r="F34" s="28"/>
      <c r="G34" s="28"/>
    </row>
    <row r="35" spans="2:7" ht="16.5" customHeight="1" x14ac:dyDescent="0.25">
      <c r="B35" s="34" t="s">
        <v>1622</v>
      </c>
      <c r="C35" s="28"/>
      <c r="D35" s="34" t="s">
        <v>1154</v>
      </c>
      <c r="E35" s="28"/>
      <c r="F35" s="34"/>
      <c r="G35" s="28"/>
    </row>
    <row r="36" spans="2:7" ht="16.5" customHeight="1" x14ac:dyDescent="0.25">
      <c r="B36" s="28" t="s">
        <v>1683</v>
      </c>
      <c r="C36" s="28"/>
      <c r="D36" s="28" t="s">
        <v>1155</v>
      </c>
      <c r="E36" s="28"/>
      <c r="F36" s="28"/>
      <c r="G36" s="28"/>
    </row>
    <row r="37" spans="2:7" ht="16.5" customHeight="1" x14ac:dyDescent="0.25">
      <c r="B37" s="28"/>
      <c r="C37" s="28"/>
      <c r="D37" s="37"/>
      <c r="E37" s="28"/>
      <c r="F37" s="37"/>
      <c r="G37" s="28"/>
    </row>
    <row r="38" spans="2:7" ht="16.5" customHeight="1" x14ac:dyDescent="0.25">
      <c r="B38" s="28"/>
      <c r="C38" s="142" t="s">
        <v>33</v>
      </c>
      <c r="D38" s="37"/>
      <c r="E38" s="28"/>
      <c r="F38" s="37"/>
      <c r="G38" s="28"/>
    </row>
    <row r="39" spans="2:7" ht="16.5" customHeight="1" x14ac:dyDescent="0.25">
      <c r="B39" s="28" t="s">
        <v>1624</v>
      </c>
      <c r="C39" s="28"/>
      <c r="D39" s="28" t="s">
        <v>1625</v>
      </c>
      <c r="E39" s="28"/>
      <c r="F39" s="28"/>
      <c r="G39" s="28"/>
    </row>
    <row r="40" spans="2:7" ht="16.5" customHeight="1" x14ac:dyDescent="0.25">
      <c r="B40" s="28"/>
      <c r="C40" s="28"/>
      <c r="D40" s="28"/>
      <c r="E40" s="28"/>
      <c r="F40" s="28"/>
      <c r="G40" s="28"/>
    </row>
    <row r="41" spans="2:7" ht="16.5" customHeight="1" x14ac:dyDescent="0.25">
      <c r="B41" s="28"/>
      <c r="C41" s="28"/>
      <c r="D41" s="28"/>
      <c r="E41" s="28"/>
      <c r="F41" s="28"/>
      <c r="G41" s="28"/>
    </row>
    <row r="42" spans="2:7" ht="16.5" customHeight="1" x14ac:dyDescent="0.25">
      <c r="B42" s="28"/>
      <c r="C42" s="28"/>
      <c r="D42" s="28"/>
      <c r="E42" s="28"/>
      <c r="F42" s="28"/>
      <c r="G42" s="28"/>
    </row>
    <row r="43" spans="2:7" ht="16.5" customHeight="1" x14ac:dyDescent="0.25">
      <c r="B43" s="34" t="s">
        <v>1156</v>
      </c>
      <c r="C43" s="28"/>
      <c r="D43" s="34" t="s">
        <v>1044</v>
      </c>
      <c r="E43" s="28"/>
      <c r="F43" s="34"/>
      <c r="G43" s="28"/>
    </row>
    <row r="44" spans="2:7" ht="16.5" customHeight="1" x14ac:dyDescent="0.25">
      <c r="B44" s="34" t="s">
        <v>1620</v>
      </c>
      <c r="C44" s="28"/>
      <c r="D44" s="28" t="s">
        <v>1621</v>
      </c>
      <c r="E44" s="28"/>
      <c r="F44" s="28"/>
      <c r="G44" s="28"/>
    </row>
    <row r="45" spans="2:7" ht="16.5" customHeight="1" x14ac:dyDescent="0.25">
      <c r="B45" s="143"/>
      <c r="C45" s="144"/>
      <c r="D45" s="143"/>
      <c r="E45" s="144"/>
      <c r="G45" s="28"/>
    </row>
    <row r="46" spans="2:7" ht="16.5" customHeight="1" x14ac:dyDescent="0.25">
      <c r="G46" s="28"/>
    </row>
    <row r="47" spans="2:7" ht="16.5" customHeight="1" x14ac:dyDescent="0.25">
      <c r="G47" s="28"/>
    </row>
    <row r="48" spans="2:7" ht="16.5" customHeight="1" x14ac:dyDescent="0.25">
      <c r="G48" s="28"/>
    </row>
    <row r="49" spans="7:7" ht="16.5" customHeight="1" x14ac:dyDescent="0.25">
      <c r="G49" s="28"/>
    </row>
  </sheetData>
  <mergeCells count="15">
    <mergeCell ref="E1:F1"/>
    <mergeCell ref="E2:F2"/>
    <mergeCell ref="B12:B14"/>
    <mergeCell ref="C12:C14"/>
    <mergeCell ref="D12:E12"/>
    <mergeCell ref="F12:F14"/>
    <mergeCell ref="D13:D14"/>
    <mergeCell ref="E13:E14"/>
    <mergeCell ref="F24:F26"/>
    <mergeCell ref="F22:F23"/>
    <mergeCell ref="B22:B27"/>
    <mergeCell ref="F19:F20"/>
    <mergeCell ref="B15:B21"/>
    <mergeCell ref="F17:F18"/>
    <mergeCell ref="F15:F16"/>
  </mergeCells>
  <printOptions horizontalCentered="1" verticalCentered="1"/>
  <pageMargins left="0.7" right="0.7" top="0.75" bottom="0.75" header="0.3" footer="0.3"/>
  <pageSetup paperSize="9" scale="79" fitToWidth="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14C03-6F4A-4107-9B86-B204A0684DDB}">
  <sheetPr>
    <tabColor theme="0"/>
    <pageSetUpPr fitToPage="1"/>
  </sheetPr>
  <dimension ref="B1:G49"/>
  <sheetViews>
    <sheetView topLeftCell="A14" workbookViewId="0">
      <selection activeCell="B35" sqref="B35:B36"/>
    </sheetView>
  </sheetViews>
  <sheetFormatPr defaultColWidth="9.140625" defaultRowHeight="15" x14ac:dyDescent="0.25"/>
  <cols>
    <col min="1" max="1" width="3.42578125" style="27" customWidth="1"/>
    <col min="2" max="2" width="17.85546875" style="27" customWidth="1"/>
    <col min="3" max="3" width="94" style="27" customWidth="1"/>
    <col min="4" max="4" width="16.140625" style="27" customWidth="1"/>
    <col min="5" max="5" width="17.7109375" style="27" customWidth="1"/>
    <col min="6" max="6" width="8.5703125" style="27" customWidth="1"/>
    <col min="7" max="16384" width="9.140625" style="27"/>
  </cols>
  <sheetData>
    <row r="1" spans="2:6" ht="16.5" customHeight="1" x14ac:dyDescent="0.25">
      <c r="C1" s="28"/>
      <c r="D1" s="28"/>
      <c r="E1" s="848" t="s">
        <v>1628</v>
      </c>
      <c r="F1" s="848"/>
    </row>
    <row r="2" spans="2:6" ht="16.5" customHeight="1" x14ac:dyDescent="0.25">
      <c r="C2" s="205" t="s">
        <v>108</v>
      </c>
      <c r="D2" s="28"/>
      <c r="E2" s="849" t="s">
        <v>1616</v>
      </c>
      <c r="F2" s="850"/>
    </row>
    <row r="3" spans="2:6" ht="16.5" customHeight="1" x14ac:dyDescent="0.25">
      <c r="D3" s="28"/>
      <c r="E3" s="28"/>
      <c r="F3" s="28"/>
    </row>
    <row r="4" spans="2:6" ht="16.5" customHeight="1" x14ac:dyDescent="0.25">
      <c r="B4" s="46" t="s">
        <v>594</v>
      </c>
      <c r="C4" s="46" t="s">
        <v>703</v>
      </c>
      <c r="D4" s="28"/>
      <c r="E4" s="28"/>
      <c r="F4" s="28"/>
    </row>
    <row r="5" spans="2:6" ht="16.5" customHeight="1" x14ac:dyDescent="0.25">
      <c r="B5" s="46" t="s">
        <v>597</v>
      </c>
      <c r="C5" s="46" t="s">
        <v>702</v>
      </c>
      <c r="D5" s="28"/>
      <c r="E5" s="28"/>
      <c r="F5" s="28"/>
    </row>
    <row r="6" spans="2:6" ht="16.5" customHeight="1" x14ac:dyDescent="0.25">
      <c r="B6" s="45" t="s">
        <v>38</v>
      </c>
      <c r="C6" s="28" t="s">
        <v>712</v>
      </c>
      <c r="D6" s="28"/>
      <c r="E6" s="28"/>
      <c r="F6" s="28"/>
    </row>
    <row r="7" spans="2:6" ht="16.5" customHeight="1" x14ac:dyDescent="0.25">
      <c r="B7" s="46" t="s">
        <v>131</v>
      </c>
      <c r="C7" s="45" t="s">
        <v>705</v>
      </c>
      <c r="D7" s="37"/>
      <c r="E7" s="28"/>
      <c r="F7" s="28"/>
    </row>
    <row r="8" spans="2:6" ht="16.5" customHeight="1" x14ac:dyDescent="0.25">
      <c r="B8" s="46" t="s">
        <v>39</v>
      </c>
      <c r="C8" s="46" t="s">
        <v>888</v>
      </c>
      <c r="D8" s="37"/>
      <c r="E8" s="28"/>
      <c r="F8" s="28"/>
    </row>
    <row r="9" spans="2:6" ht="16.5" customHeight="1" x14ac:dyDescent="0.25">
      <c r="B9" s="27" t="s">
        <v>104</v>
      </c>
      <c r="C9" s="27" t="s">
        <v>1158</v>
      </c>
      <c r="D9" s="37"/>
      <c r="E9" s="28"/>
      <c r="F9" s="28"/>
    </row>
    <row r="10" spans="2:6" ht="16.5" customHeight="1" x14ac:dyDescent="0.25">
      <c r="B10" s="45" t="s">
        <v>40</v>
      </c>
      <c r="C10" s="45" t="s">
        <v>966</v>
      </c>
      <c r="D10" s="37"/>
      <c r="E10" s="28"/>
      <c r="F10" s="28"/>
    </row>
    <row r="11" spans="2:6" ht="16.5" customHeight="1" x14ac:dyDescent="0.25">
      <c r="D11" s="28"/>
      <c r="E11" s="28"/>
      <c r="F11" s="28"/>
    </row>
    <row r="12" spans="2:6" ht="16.5" customHeight="1" x14ac:dyDescent="0.25">
      <c r="B12" s="851" t="s">
        <v>1055</v>
      </c>
      <c r="C12" s="851" t="s">
        <v>616</v>
      </c>
      <c r="D12" s="853" t="s">
        <v>288</v>
      </c>
      <c r="E12" s="853"/>
      <c r="F12" s="854" t="s">
        <v>6</v>
      </c>
    </row>
    <row r="13" spans="2:6" ht="16.5" customHeight="1" x14ac:dyDescent="0.25">
      <c r="B13" s="851"/>
      <c r="C13" s="851"/>
      <c r="D13" s="855" t="s">
        <v>47</v>
      </c>
      <c r="E13" s="855" t="s">
        <v>48</v>
      </c>
      <c r="F13" s="854"/>
    </row>
    <row r="14" spans="2:6" ht="16.5" customHeight="1" x14ac:dyDescent="0.25">
      <c r="B14" s="852"/>
      <c r="C14" s="852"/>
      <c r="D14" s="856"/>
      <c r="E14" s="856"/>
      <c r="F14" s="855"/>
    </row>
    <row r="15" spans="2:6" ht="16.5" customHeight="1" x14ac:dyDescent="0.25">
      <c r="B15" s="839">
        <v>3</v>
      </c>
      <c r="C15" s="298" t="s">
        <v>1162</v>
      </c>
      <c r="D15" s="473">
        <v>20</v>
      </c>
      <c r="E15" s="473"/>
      <c r="F15" s="843">
        <f>D15+E16</f>
        <v>24</v>
      </c>
    </row>
    <row r="16" spans="2:6" ht="16.5" customHeight="1" x14ac:dyDescent="0.25">
      <c r="B16" s="839"/>
      <c r="C16" s="298" t="s">
        <v>849</v>
      </c>
      <c r="D16" s="473"/>
      <c r="E16" s="473">
        <v>4</v>
      </c>
      <c r="F16" s="844"/>
    </row>
    <row r="17" spans="2:7" ht="26.25" customHeight="1" x14ac:dyDescent="0.25">
      <c r="B17" s="839"/>
      <c r="C17" s="298" t="s">
        <v>1208</v>
      </c>
      <c r="D17" s="209">
        <v>20</v>
      </c>
      <c r="E17" s="209"/>
      <c r="F17" s="840">
        <f>D17+E18</f>
        <v>24</v>
      </c>
    </row>
    <row r="18" spans="2:7" ht="16.5" customHeight="1" x14ac:dyDescent="0.25">
      <c r="B18" s="839"/>
      <c r="C18" s="298" t="s">
        <v>850</v>
      </c>
      <c r="D18" s="49"/>
      <c r="E18" s="49">
        <v>4</v>
      </c>
      <c r="F18" s="842"/>
      <c r="G18" s="28"/>
    </row>
    <row r="19" spans="2:7" ht="16.5" customHeight="1" x14ac:dyDescent="0.25">
      <c r="B19" s="839"/>
      <c r="C19" s="27" t="s">
        <v>1163</v>
      </c>
      <c r="D19" s="472">
        <v>14</v>
      </c>
      <c r="E19" s="472"/>
      <c r="F19" s="840">
        <f>D19+E20</f>
        <v>16</v>
      </c>
      <c r="G19" s="28"/>
    </row>
    <row r="20" spans="2:7" ht="16.5" customHeight="1" x14ac:dyDescent="0.25">
      <c r="B20" s="839"/>
      <c r="C20" s="305" t="s">
        <v>1056</v>
      </c>
      <c r="D20" s="209"/>
      <c r="E20" s="209">
        <v>2</v>
      </c>
      <c r="F20" s="842"/>
      <c r="G20" s="28"/>
    </row>
    <row r="21" spans="2:7" ht="16.5" customHeight="1" x14ac:dyDescent="0.25">
      <c r="B21" s="839"/>
      <c r="C21" s="566" t="s">
        <v>28</v>
      </c>
      <c r="D21" s="568">
        <f t="shared" ref="D21:E21" si="0">SUM(D15:D20)</f>
        <v>54</v>
      </c>
      <c r="E21" s="568">
        <f t="shared" si="0"/>
        <v>10</v>
      </c>
      <c r="F21" s="568">
        <f>SUM(F15:F20)</f>
        <v>64</v>
      </c>
      <c r="G21" s="28"/>
    </row>
    <row r="22" spans="2:7" ht="16.5" customHeight="1" x14ac:dyDescent="0.25">
      <c r="B22" s="845">
        <v>4</v>
      </c>
      <c r="C22" s="298" t="s">
        <v>1159</v>
      </c>
      <c r="D22" s="209">
        <v>36</v>
      </c>
      <c r="E22" s="473"/>
      <c r="F22" s="843">
        <v>40</v>
      </c>
      <c r="G22" s="28"/>
    </row>
    <row r="23" spans="2:7" ht="16.5" customHeight="1" x14ac:dyDescent="0.25">
      <c r="B23" s="846"/>
      <c r="C23" s="298" t="s">
        <v>1228</v>
      </c>
      <c r="D23" s="473"/>
      <c r="E23" s="473">
        <v>4</v>
      </c>
      <c r="F23" s="844"/>
      <c r="G23" s="28"/>
    </row>
    <row r="24" spans="2:7" ht="30" x14ac:dyDescent="0.25">
      <c r="B24" s="846"/>
      <c r="C24" s="457" t="s">
        <v>1147</v>
      </c>
      <c r="D24" s="473">
        <v>28</v>
      </c>
      <c r="E24" s="473"/>
      <c r="F24" s="840">
        <v>32</v>
      </c>
      <c r="G24" s="28"/>
    </row>
    <row r="25" spans="2:7" x14ac:dyDescent="0.25">
      <c r="B25" s="846"/>
      <c r="C25" s="298" t="s">
        <v>1228</v>
      </c>
      <c r="D25" s="49"/>
      <c r="E25" s="49">
        <v>2</v>
      </c>
      <c r="F25" s="841"/>
      <c r="G25" s="28"/>
    </row>
    <row r="26" spans="2:7" x14ac:dyDescent="0.25">
      <c r="B26" s="846"/>
      <c r="C26" s="305" t="s">
        <v>1056</v>
      </c>
      <c r="D26" s="209"/>
      <c r="E26" s="209">
        <v>2</v>
      </c>
      <c r="F26" s="842"/>
      <c r="G26" s="28"/>
    </row>
    <row r="27" spans="2:7" ht="16.5" customHeight="1" x14ac:dyDescent="0.25">
      <c r="B27" s="847"/>
      <c r="C27" s="569" t="s">
        <v>28</v>
      </c>
      <c r="D27" s="567">
        <v>60</v>
      </c>
      <c r="E27" s="567">
        <v>12</v>
      </c>
      <c r="F27" s="570">
        <v>72</v>
      </c>
      <c r="G27" s="28"/>
    </row>
    <row r="28" spans="2:7" ht="16.5" customHeight="1" x14ac:dyDescent="0.25">
      <c r="B28" s="28"/>
      <c r="C28" s="28"/>
      <c r="D28" s="28"/>
      <c r="E28" s="28"/>
      <c r="G28" s="28"/>
    </row>
    <row r="29" spans="2:7" ht="16.5" customHeight="1" x14ac:dyDescent="0.25">
      <c r="B29" s="28"/>
      <c r="C29" s="28"/>
      <c r="D29" s="28" t="s">
        <v>1144</v>
      </c>
      <c r="E29" s="28"/>
      <c r="F29" s="28"/>
      <c r="G29" s="28"/>
    </row>
    <row r="30" spans="2:7" ht="16.5" customHeight="1" x14ac:dyDescent="0.25">
      <c r="B30" s="28"/>
      <c r="C30" s="28"/>
      <c r="D30" s="28"/>
      <c r="E30" s="28"/>
      <c r="F30" s="28"/>
      <c r="G30" s="28"/>
    </row>
    <row r="31" spans="2:7" ht="16.5" customHeight="1" x14ac:dyDescent="0.25">
      <c r="B31" s="28" t="s">
        <v>1623</v>
      </c>
      <c r="C31" s="28"/>
      <c r="D31" s="28" t="s">
        <v>41</v>
      </c>
      <c r="E31" s="28"/>
      <c r="F31" s="28"/>
      <c r="G31" s="28"/>
    </row>
    <row r="32" spans="2:7" ht="16.5" customHeight="1" x14ac:dyDescent="0.25">
      <c r="B32" s="28"/>
      <c r="C32" s="28"/>
      <c r="D32" s="28"/>
      <c r="E32" s="28"/>
      <c r="F32" s="28"/>
      <c r="G32" s="28"/>
    </row>
    <row r="33" spans="2:7" ht="16.5" customHeight="1" x14ac:dyDescent="0.25">
      <c r="B33" s="28"/>
      <c r="C33" s="28"/>
      <c r="D33" s="28"/>
      <c r="E33" s="28"/>
      <c r="F33" s="28"/>
      <c r="G33" s="28"/>
    </row>
    <row r="34" spans="2:7" ht="16.5" customHeight="1" x14ac:dyDescent="0.25">
      <c r="B34" s="28"/>
      <c r="C34" s="28"/>
      <c r="D34" s="28"/>
      <c r="E34" s="28"/>
      <c r="F34" s="28"/>
      <c r="G34" s="28"/>
    </row>
    <row r="35" spans="2:7" ht="16.5" customHeight="1" x14ac:dyDescent="0.25">
      <c r="B35" s="34" t="s">
        <v>1622</v>
      </c>
      <c r="C35" s="28"/>
      <c r="D35" s="34" t="s">
        <v>1154</v>
      </c>
      <c r="E35" s="28"/>
      <c r="F35" s="34"/>
      <c r="G35" s="28"/>
    </row>
    <row r="36" spans="2:7" ht="16.5" customHeight="1" x14ac:dyDescent="0.25">
      <c r="B36" s="28" t="s">
        <v>1683</v>
      </c>
      <c r="C36" s="28"/>
      <c r="D36" s="28" t="s">
        <v>1155</v>
      </c>
      <c r="E36" s="28"/>
      <c r="F36" s="28"/>
      <c r="G36" s="28"/>
    </row>
    <row r="37" spans="2:7" ht="16.5" customHeight="1" x14ac:dyDescent="0.25">
      <c r="B37" s="28"/>
      <c r="C37" s="28"/>
      <c r="D37" s="37"/>
      <c r="E37" s="28"/>
      <c r="F37" s="37"/>
      <c r="G37" s="28"/>
    </row>
    <row r="38" spans="2:7" ht="16.5" customHeight="1" x14ac:dyDescent="0.25">
      <c r="B38" s="28"/>
      <c r="C38" s="142" t="s">
        <v>33</v>
      </c>
      <c r="D38" s="37"/>
      <c r="E38" s="28"/>
      <c r="F38" s="37"/>
      <c r="G38" s="28"/>
    </row>
    <row r="39" spans="2:7" ht="16.5" customHeight="1" x14ac:dyDescent="0.25">
      <c r="B39" s="28" t="s">
        <v>1624</v>
      </c>
      <c r="C39" s="28"/>
      <c r="D39" s="28" t="s">
        <v>1625</v>
      </c>
      <c r="E39" s="28"/>
      <c r="F39" s="28"/>
      <c r="G39" s="28"/>
    </row>
    <row r="40" spans="2:7" ht="16.5" customHeight="1" x14ac:dyDescent="0.25">
      <c r="B40" s="28"/>
      <c r="C40" s="28"/>
      <c r="D40" s="28"/>
      <c r="E40" s="28"/>
      <c r="F40" s="28"/>
      <c r="G40" s="28"/>
    </row>
    <row r="41" spans="2:7" ht="16.5" customHeight="1" x14ac:dyDescent="0.25">
      <c r="B41" s="28"/>
      <c r="C41" s="28"/>
      <c r="D41" s="28"/>
      <c r="E41" s="28"/>
      <c r="F41" s="28"/>
      <c r="G41" s="28"/>
    </row>
    <row r="42" spans="2:7" ht="16.5" customHeight="1" x14ac:dyDescent="0.25">
      <c r="B42" s="28"/>
      <c r="C42" s="28"/>
      <c r="D42" s="28"/>
      <c r="E42" s="28"/>
      <c r="F42" s="28"/>
      <c r="G42" s="28"/>
    </row>
    <row r="43" spans="2:7" ht="16.5" customHeight="1" x14ac:dyDescent="0.25">
      <c r="B43" s="34" t="s">
        <v>1156</v>
      </c>
      <c r="C43" s="28"/>
      <c r="D43" s="34" t="s">
        <v>1044</v>
      </c>
      <c r="E43" s="28"/>
      <c r="F43" s="34"/>
      <c r="G43" s="28"/>
    </row>
    <row r="44" spans="2:7" ht="16.5" customHeight="1" x14ac:dyDescent="0.25">
      <c r="B44" s="34" t="s">
        <v>1620</v>
      </c>
      <c r="C44" s="28"/>
      <c r="D44" s="28" t="s">
        <v>1621</v>
      </c>
      <c r="E44" s="28"/>
      <c r="F44" s="28"/>
      <c r="G44" s="28"/>
    </row>
    <row r="45" spans="2:7" ht="16.5" customHeight="1" x14ac:dyDescent="0.25">
      <c r="B45" s="143"/>
      <c r="C45" s="144"/>
      <c r="D45" s="143"/>
      <c r="E45" s="144"/>
      <c r="G45" s="28"/>
    </row>
    <row r="46" spans="2:7" ht="16.5" customHeight="1" x14ac:dyDescent="0.25">
      <c r="G46" s="28"/>
    </row>
    <row r="47" spans="2:7" ht="16.5" customHeight="1" x14ac:dyDescent="0.25">
      <c r="G47" s="28"/>
    </row>
    <row r="48" spans="2:7" ht="16.5" customHeight="1" x14ac:dyDescent="0.25">
      <c r="G48" s="28"/>
    </row>
    <row r="49" spans="7:7" ht="16.5" customHeight="1" x14ac:dyDescent="0.25">
      <c r="G49" s="28"/>
    </row>
  </sheetData>
  <mergeCells count="15">
    <mergeCell ref="B15:B21"/>
    <mergeCell ref="F15:F16"/>
    <mergeCell ref="F17:F18"/>
    <mergeCell ref="F19:F20"/>
    <mergeCell ref="B22:B27"/>
    <mergeCell ref="F22:F23"/>
    <mergeCell ref="F24:F26"/>
    <mergeCell ref="E1:F1"/>
    <mergeCell ref="E2:F2"/>
    <mergeCell ref="B12:B14"/>
    <mergeCell ref="C12:C14"/>
    <mergeCell ref="D12:E12"/>
    <mergeCell ref="F12:F14"/>
    <mergeCell ref="D13:D14"/>
    <mergeCell ref="E13:E14"/>
  </mergeCells>
  <printOptions horizontalCentered="1"/>
  <pageMargins left="0.7" right="0.7" top="0.75" bottom="0.75" header="0.3" footer="0.3"/>
  <pageSetup scale="6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0B94E-6A3B-41D3-9B7E-4B12A8A90878}">
  <sheetPr>
    <tabColor theme="0"/>
    <pageSetUpPr fitToPage="1"/>
  </sheetPr>
  <dimension ref="A1:K43"/>
  <sheetViews>
    <sheetView topLeftCell="E15" zoomScale="87" workbookViewId="0">
      <selection activeCell="J20" sqref="J20"/>
    </sheetView>
  </sheetViews>
  <sheetFormatPr defaultColWidth="9.140625" defaultRowHeight="15" x14ac:dyDescent="0.25"/>
  <cols>
    <col min="1" max="1" width="3.42578125" style="27" customWidth="1"/>
    <col min="2" max="2" width="7.140625" style="27" customWidth="1"/>
    <col min="3" max="3" width="10.85546875" style="27" customWidth="1"/>
    <col min="4" max="4" width="13.42578125" style="27" customWidth="1"/>
    <col min="5" max="5" width="26.7109375" style="27" customWidth="1"/>
    <col min="6" max="6" width="33.85546875" style="27" customWidth="1"/>
    <col min="7" max="7" width="36.28515625" style="27" customWidth="1"/>
    <col min="8" max="8" width="11.42578125" style="27" customWidth="1"/>
    <col min="9" max="9" width="18.5703125" style="27" customWidth="1"/>
    <col min="10" max="10" width="24.42578125" style="27" customWidth="1"/>
    <col min="11" max="16384" width="9.140625" style="27"/>
  </cols>
  <sheetData>
    <row r="1" spans="1:11" ht="18.75" x14ac:dyDescent="0.3">
      <c r="C1" s="751" t="s">
        <v>615</v>
      </c>
      <c r="D1" s="751"/>
      <c r="E1" s="751"/>
      <c r="F1" s="751"/>
      <c r="G1" s="751"/>
      <c r="H1" s="751"/>
      <c r="I1" s="751"/>
      <c r="J1" s="751"/>
      <c r="K1" s="751"/>
    </row>
    <row r="3" spans="1:11" x14ac:dyDescent="0.25">
      <c r="J3" s="866" t="s">
        <v>1628</v>
      </c>
      <c r="K3" s="867"/>
    </row>
    <row r="4" spans="1:11" ht="15.75" x14ac:dyDescent="0.25">
      <c r="B4"/>
      <c r="C4" s="26" t="s">
        <v>313</v>
      </c>
      <c r="D4" s="25"/>
      <c r="E4" s="26" t="s">
        <v>317</v>
      </c>
      <c r="I4" s="688"/>
      <c r="J4" s="868" t="s">
        <v>1616</v>
      </c>
      <c r="K4" s="869"/>
    </row>
    <row r="5" spans="1:11" ht="15.75" x14ac:dyDescent="0.25">
      <c r="A5"/>
      <c r="B5"/>
      <c r="C5" s="865" t="s">
        <v>39</v>
      </c>
      <c r="D5" s="865"/>
      <c r="E5" s="30" t="s">
        <v>866</v>
      </c>
      <c r="J5" s="33"/>
    </row>
    <row r="6" spans="1:11" ht="15.75" x14ac:dyDescent="0.25">
      <c r="A6"/>
      <c r="B6"/>
      <c r="C6" s="284" t="s">
        <v>597</v>
      </c>
      <c r="D6" s="25"/>
      <c r="E6" s="865" t="s">
        <v>702</v>
      </c>
      <c r="F6" s="865"/>
      <c r="J6" s="33"/>
    </row>
    <row r="7" spans="1:11" ht="15.75" x14ac:dyDescent="0.25">
      <c r="A7"/>
      <c r="B7"/>
      <c r="C7" s="865" t="s">
        <v>38</v>
      </c>
      <c r="D7" s="865"/>
      <c r="E7" s="30" t="s">
        <v>703</v>
      </c>
      <c r="I7" s="335"/>
      <c r="J7" s="33"/>
    </row>
    <row r="8" spans="1:11" ht="15.75" x14ac:dyDescent="0.25">
      <c r="A8"/>
      <c r="B8"/>
      <c r="C8" s="865" t="s">
        <v>314</v>
      </c>
      <c r="D8" s="865"/>
      <c r="E8" s="30" t="s">
        <v>1664</v>
      </c>
      <c r="I8" s="335"/>
      <c r="J8" s="33"/>
    </row>
    <row r="9" spans="1:11" ht="15.75" x14ac:dyDescent="0.25">
      <c r="A9"/>
      <c r="B9" s="25"/>
      <c r="C9" s="25"/>
      <c r="D9" s="25"/>
      <c r="E9" s="25"/>
      <c r="F9" s="25"/>
      <c r="G9" s="25"/>
      <c r="H9" s="25"/>
      <c r="I9" s="25"/>
      <c r="J9" s="36"/>
      <c r="K9" s="25"/>
    </row>
    <row r="10" spans="1:11" ht="15.75" x14ac:dyDescent="0.25">
      <c r="A10"/>
      <c r="B10" s="42"/>
      <c r="C10" s="42"/>
      <c r="D10" s="42"/>
      <c r="E10" s="42"/>
      <c r="F10" s="42"/>
      <c r="G10" s="42"/>
      <c r="H10" s="42"/>
      <c r="I10"/>
      <c r="J10" s="291"/>
      <c r="K10"/>
    </row>
    <row r="11" spans="1:11" ht="28.5" x14ac:dyDescent="0.25">
      <c r="A11"/>
      <c r="B11" s="531" t="s">
        <v>617</v>
      </c>
      <c r="C11" s="531" t="s">
        <v>315</v>
      </c>
      <c r="D11" s="532" t="s">
        <v>625</v>
      </c>
      <c r="E11" s="531" t="s">
        <v>619</v>
      </c>
      <c r="F11" s="531" t="s">
        <v>626</v>
      </c>
      <c r="G11" s="531" t="s">
        <v>627</v>
      </c>
      <c r="H11" s="531" t="s">
        <v>628</v>
      </c>
      <c r="I11" s="531" t="s">
        <v>629</v>
      </c>
      <c r="J11" s="584" t="s">
        <v>316</v>
      </c>
      <c r="K11" s="531" t="s">
        <v>293</v>
      </c>
    </row>
    <row r="12" spans="1:11" ht="43.5" customHeight="1" x14ac:dyDescent="0.25">
      <c r="A12"/>
      <c r="B12" s="860">
        <v>1</v>
      </c>
      <c r="C12" s="863" t="s">
        <v>1233</v>
      </c>
      <c r="D12" s="860">
        <v>3</v>
      </c>
      <c r="E12" s="864" t="s">
        <v>729</v>
      </c>
      <c r="F12" s="864" t="s">
        <v>711</v>
      </c>
      <c r="G12" s="864" t="s">
        <v>730</v>
      </c>
      <c r="H12" s="874" t="s">
        <v>1209</v>
      </c>
      <c r="I12" s="874" t="s">
        <v>737</v>
      </c>
      <c r="J12" s="876" t="s">
        <v>810</v>
      </c>
      <c r="K12" s="860"/>
    </row>
    <row r="13" spans="1:11" ht="15" customHeight="1" x14ac:dyDescent="0.25">
      <c r="A13" s="862"/>
      <c r="B13" s="860"/>
      <c r="C13" s="863"/>
      <c r="D13" s="860"/>
      <c r="E13" s="864"/>
      <c r="F13" s="864"/>
      <c r="G13" s="864"/>
      <c r="H13" s="875"/>
      <c r="I13" s="875"/>
      <c r="J13" s="876"/>
      <c r="K13" s="860"/>
    </row>
    <row r="14" spans="1:11" ht="66.75" customHeight="1" x14ac:dyDescent="0.25">
      <c r="A14" s="862"/>
      <c r="B14" s="303">
        <v>2</v>
      </c>
      <c r="C14" s="301" t="s">
        <v>1233</v>
      </c>
      <c r="D14" s="303">
        <v>3</v>
      </c>
      <c r="E14" s="533" t="s">
        <v>731</v>
      </c>
      <c r="F14" s="533" t="s">
        <v>731</v>
      </c>
      <c r="G14" s="533" t="s">
        <v>732</v>
      </c>
      <c r="H14" s="301" t="s">
        <v>733</v>
      </c>
      <c r="I14" s="301" t="s">
        <v>733</v>
      </c>
      <c r="J14" s="21" t="s">
        <v>811</v>
      </c>
      <c r="K14" s="303"/>
    </row>
    <row r="15" spans="1:11" ht="103.5" customHeight="1" x14ac:dyDescent="0.25">
      <c r="A15"/>
      <c r="B15" s="303">
        <v>3</v>
      </c>
      <c r="C15" s="301" t="s">
        <v>1234</v>
      </c>
      <c r="D15" s="303">
        <v>3</v>
      </c>
      <c r="E15" s="299" t="s">
        <v>734</v>
      </c>
      <c r="F15" s="299" t="s">
        <v>734</v>
      </c>
      <c r="G15" s="299" t="s">
        <v>735</v>
      </c>
      <c r="H15" s="301" t="s">
        <v>733</v>
      </c>
      <c r="I15" s="301" t="s">
        <v>737</v>
      </c>
      <c r="J15" s="21" t="s">
        <v>812</v>
      </c>
      <c r="K15" s="303"/>
    </row>
    <row r="16" spans="1:11" ht="81" customHeight="1" x14ac:dyDescent="0.25">
      <c r="A16"/>
      <c r="B16" s="860">
        <v>4</v>
      </c>
      <c r="C16" s="870" t="s">
        <v>1235</v>
      </c>
      <c r="D16" s="860">
        <v>4</v>
      </c>
      <c r="E16" s="871" t="s">
        <v>746</v>
      </c>
      <c r="F16" s="861" t="s">
        <v>747</v>
      </c>
      <c r="G16" s="872" t="s">
        <v>748</v>
      </c>
      <c r="H16" s="874" t="s">
        <v>1209</v>
      </c>
      <c r="I16" s="857" t="s">
        <v>1193</v>
      </c>
      <c r="J16" s="859" t="s">
        <v>812</v>
      </c>
      <c r="K16" s="860"/>
    </row>
    <row r="17" spans="1:11" ht="15" customHeight="1" x14ac:dyDescent="0.25">
      <c r="A17"/>
      <c r="B17" s="860"/>
      <c r="C17" s="870"/>
      <c r="D17" s="860"/>
      <c r="E17" s="871"/>
      <c r="F17" s="859"/>
      <c r="G17" s="873"/>
      <c r="H17" s="875"/>
      <c r="I17" s="858"/>
      <c r="J17" s="859"/>
      <c r="K17" s="860"/>
    </row>
    <row r="18" spans="1:11" ht="92.25" customHeight="1" x14ac:dyDescent="0.25">
      <c r="A18"/>
      <c r="B18" s="860">
        <v>5</v>
      </c>
      <c r="C18" s="870" t="s">
        <v>1684</v>
      </c>
      <c r="D18" s="860">
        <v>4</v>
      </c>
      <c r="E18" s="861" t="s">
        <v>709</v>
      </c>
      <c r="F18" s="1390" t="s">
        <v>1685</v>
      </c>
      <c r="G18" s="1390" t="s">
        <v>1686</v>
      </c>
      <c r="H18" s="870" t="s">
        <v>1687</v>
      </c>
      <c r="I18" s="1391" t="s">
        <v>1193</v>
      </c>
      <c r="J18" s="859" t="s">
        <v>812</v>
      </c>
      <c r="K18" s="860"/>
    </row>
    <row r="19" spans="1:11" ht="15" customHeight="1" x14ac:dyDescent="0.25">
      <c r="A19"/>
      <c r="B19" s="860"/>
      <c r="C19" s="870"/>
      <c r="D19" s="860"/>
      <c r="E19" s="861"/>
      <c r="F19" s="1390"/>
      <c r="G19" s="1390"/>
      <c r="H19" s="870"/>
      <c r="I19" s="1391"/>
      <c r="J19" s="859"/>
      <c r="K19" s="860"/>
    </row>
    <row r="20" spans="1:11" x14ac:dyDescent="0.25">
      <c r="A20"/>
      <c r="B20" s="28"/>
      <c r="C20" s="28"/>
      <c r="D20"/>
      <c r="E20"/>
      <c r="G20"/>
      <c r="H20"/>
      <c r="K20"/>
    </row>
    <row r="21" spans="1:11" x14ac:dyDescent="0.25">
      <c r="A21"/>
      <c r="B21" s="28"/>
      <c r="C21" s="28"/>
      <c r="D21"/>
      <c r="E21"/>
      <c r="G21"/>
      <c r="H21"/>
      <c r="J21" s="27" t="s">
        <v>1145</v>
      </c>
      <c r="K21"/>
    </row>
    <row r="22" spans="1:11" x14ac:dyDescent="0.25">
      <c r="A22"/>
      <c r="B22" s="28"/>
      <c r="C22" s="28"/>
      <c r="D22"/>
      <c r="E22"/>
      <c r="G22"/>
      <c r="H22"/>
      <c r="J22"/>
      <c r="K22"/>
    </row>
    <row r="23" spans="1:11" x14ac:dyDescent="0.25">
      <c r="A23"/>
      <c r="D23" s="28" t="s">
        <v>1623</v>
      </c>
      <c r="E23" s="28"/>
      <c r="G23"/>
      <c r="H23"/>
      <c r="I23" s="28" t="s">
        <v>41</v>
      </c>
      <c r="K23"/>
    </row>
    <row r="24" spans="1:11" x14ac:dyDescent="0.25">
      <c r="A24"/>
      <c r="D24" s="28"/>
      <c r="E24" s="28"/>
      <c r="G24"/>
      <c r="H24"/>
      <c r="I24" s="28"/>
      <c r="K24"/>
    </row>
    <row r="25" spans="1:11" x14ac:dyDescent="0.25">
      <c r="A25"/>
      <c r="D25" s="28"/>
      <c r="E25" s="28"/>
      <c r="G25"/>
      <c r="H25"/>
      <c r="I25" s="28"/>
      <c r="K25"/>
    </row>
    <row r="26" spans="1:11" x14ac:dyDescent="0.25">
      <c r="A26"/>
      <c r="D26" s="28"/>
      <c r="E26" s="28"/>
      <c r="G26"/>
      <c r="H26"/>
      <c r="I26" s="28"/>
      <c r="K26"/>
    </row>
    <row r="27" spans="1:11" x14ac:dyDescent="0.25">
      <c r="A27"/>
      <c r="D27" s="34" t="s">
        <v>1622</v>
      </c>
      <c r="E27" s="28"/>
      <c r="G27"/>
      <c r="H27"/>
      <c r="I27" s="34" t="s">
        <v>1154</v>
      </c>
      <c r="K27"/>
    </row>
    <row r="28" spans="1:11" x14ac:dyDescent="0.25">
      <c r="A28"/>
      <c r="D28" s="28" t="s">
        <v>1683</v>
      </c>
      <c r="E28" s="28"/>
      <c r="G28"/>
      <c r="H28"/>
      <c r="I28" s="28" t="s">
        <v>1155</v>
      </c>
      <c r="K28"/>
    </row>
    <row r="29" spans="1:11" x14ac:dyDescent="0.25">
      <c r="A29"/>
      <c r="D29" s="28"/>
      <c r="E29" s="28"/>
      <c r="G29"/>
      <c r="H29"/>
      <c r="K29"/>
    </row>
    <row r="30" spans="1:11" x14ac:dyDescent="0.25">
      <c r="A30"/>
      <c r="D30"/>
      <c r="E30" s="144"/>
      <c r="F30" s="1389" t="s">
        <v>33</v>
      </c>
      <c r="G30" s="142"/>
      <c r="H30"/>
      <c r="I30"/>
      <c r="K30"/>
    </row>
    <row r="31" spans="1:11" x14ac:dyDescent="0.25">
      <c r="A31"/>
      <c r="D31" s="28" t="s">
        <v>1624</v>
      </c>
      <c r="E31" s="144"/>
      <c r="G31"/>
      <c r="H31"/>
      <c r="I31" s="28" t="s">
        <v>1625</v>
      </c>
      <c r="K31"/>
    </row>
    <row r="32" spans="1:11" x14ac:dyDescent="0.25">
      <c r="A32"/>
      <c r="D32" s="28"/>
      <c r="E32" s="144"/>
      <c r="G32"/>
      <c r="H32"/>
      <c r="I32" s="28"/>
      <c r="K32"/>
    </row>
    <row r="33" spans="1:11" x14ac:dyDescent="0.25">
      <c r="A33"/>
      <c r="D33" s="28"/>
      <c r="E33" s="28"/>
      <c r="G33"/>
      <c r="H33"/>
      <c r="I33" s="28"/>
      <c r="K33"/>
    </row>
    <row r="34" spans="1:11" x14ac:dyDescent="0.25">
      <c r="A34"/>
      <c r="D34" s="28"/>
      <c r="E34" s="144"/>
      <c r="G34"/>
      <c r="H34"/>
      <c r="I34" s="28"/>
      <c r="K34"/>
    </row>
    <row r="35" spans="1:11" x14ac:dyDescent="0.25">
      <c r="A35"/>
      <c r="D35" s="34" t="s">
        <v>1156</v>
      </c>
      <c r="E35" s="144"/>
      <c r="G35"/>
      <c r="H35"/>
      <c r="I35" s="34" t="s">
        <v>1044</v>
      </c>
      <c r="K35"/>
    </row>
    <row r="36" spans="1:11" x14ac:dyDescent="0.25">
      <c r="A36"/>
      <c r="D36" s="34" t="s">
        <v>1620</v>
      </c>
      <c r="E36"/>
      <c r="G36"/>
      <c r="H36"/>
      <c r="I36" s="28" t="s">
        <v>1621</v>
      </c>
      <c r="K36"/>
    </row>
    <row r="37" spans="1:11" x14ac:dyDescent="0.25">
      <c r="A37"/>
      <c r="J37" s="291"/>
      <c r="K37"/>
    </row>
    <row r="38" spans="1:11" x14ac:dyDescent="0.25">
      <c r="A38"/>
      <c r="J38" s="291"/>
      <c r="K38"/>
    </row>
    <row r="39" spans="1:11" x14ac:dyDescent="0.25">
      <c r="A39"/>
      <c r="J39" s="291"/>
      <c r="K39"/>
    </row>
    <row r="40" spans="1:11" x14ac:dyDescent="0.25">
      <c r="A40"/>
      <c r="J40" s="291"/>
      <c r="K40"/>
    </row>
    <row r="41" spans="1:11" ht="15.75" x14ac:dyDescent="0.25">
      <c r="A41"/>
      <c r="B41" s="26"/>
      <c r="C41"/>
      <c r="D41"/>
      <c r="E41"/>
      <c r="F41"/>
      <c r="G41"/>
      <c r="H41" s="26"/>
      <c r="I41" s="26"/>
      <c r="J41" s="291"/>
      <c r="K41"/>
    </row>
    <row r="42" spans="1:11" x14ac:dyDescent="0.25">
      <c r="A42"/>
    </row>
    <row r="43" spans="1:11" x14ac:dyDescent="0.25">
      <c r="A43"/>
    </row>
  </sheetData>
  <mergeCells count="38">
    <mergeCell ref="I18:I19"/>
    <mergeCell ref="J18:J19"/>
    <mergeCell ref="K18:K19"/>
    <mergeCell ref="B18:B19"/>
    <mergeCell ref="C18:C19"/>
    <mergeCell ref="D18:D19"/>
    <mergeCell ref="E18:E19"/>
    <mergeCell ref="F18:F19"/>
    <mergeCell ref="B16:B17"/>
    <mergeCell ref="C16:C17"/>
    <mergeCell ref="D16:D17"/>
    <mergeCell ref="E16:E17"/>
    <mergeCell ref="F16:F17"/>
    <mergeCell ref="C1:K1"/>
    <mergeCell ref="J3:K3"/>
    <mergeCell ref="C5:D5"/>
    <mergeCell ref="E6:F6"/>
    <mergeCell ref="C7:D7"/>
    <mergeCell ref="J4:K4"/>
    <mergeCell ref="C8:D8"/>
    <mergeCell ref="A13:A14"/>
    <mergeCell ref="B12:B13"/>
    <mergeCell ref="C12:C13"/>
    <mergeCell ref="D12:D13"/>
    <mergeCell ref="E12:E13"/>
    <mergeCell ref="F12:F13"/>
    <mergeCell ref="G12:G13"/>
    <mergeCell ref="H12:H13"/>
    <mergeCell ref="I12:I13"/>
    <mergeCell ref="J12:J13"/>
    <mergeCell ref="K12:K13"/>
    <mergeCell ref="G16:G17"/>
    <mergeCell ref="H16:H17"/>
    <mergeCell ref="I16:I17"/>
    <mergeCell ref="J16:J17"/>
    <mergeCell ref="K16:K17"/>
    <mergeCell ref="G18:G19"/>
    <mergeCell ref="H18:H19"/>
  </mergeCells>
  <printOptions horizontalCentered="1"/>
  <pageMargins left="0.25" right="0.25" top="0.75" bottom="0.75" header="0.3" footer="0.3"/>
  <pageSetup paperSize="9" scale="57"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sheetPr>
  <dimension ref="A1:AE59"/>
  <sheetViews>
    <sheetView topLeftCell="A10" zoomScale="77" zoomScaleNormal="90" workbookViewId="0">
      <selection activeCell="A34" sqref="A34:AC34"/>
    </sheetView>
  </sheetViews>
  <sheetFormatPr defaultColWidth="9.140625" defaultRowHeight="15.75" customHeight="1" x14ac:dyDescent="0.25"/>
  <cols>
    <col min="1" max="1" width="4.85546875" style="27" customWidth="1"/>
    <col min="2" max="2" width="56.7109375" style="27" customWidth="1"/>
    <col min="3" max="3" width="5.140625" style="27" customWidth="1"/>
    <col min="4" max="4" width="3.28515625" style="27" customWidth="1"/>
    <col min="5" max="5" width="2.85546875" style="27" customWidth="1"/>
    <col min="6" max="6" width="3.42578125" style="27" customWidth="1"/>
    <col min="7" max="7" width="3" style="27" customWidth="1"/>
    <col min="8" max="8" width="3.42578125" style="27" customWidth="1"/>
    <col min="9" max="9" width="3.140625" style="27" customWidth="1"/>
    <col min="10" max="10" width="2.85546875" style="27" customWidth="1"/>
    <col min="11" max="11" width="3.42578125" style="27" customWidth="1"/>
    <col min="12" max="12" width="3.140625" style="27" customWidth="1"/>
    <col min="13" max="13" width="3.42578125" style="27" customWidth="1"/>
    <col min="14" max="14" width="2.85546875" style="27" customWidth="1"/>
    <col min="15" max="15" width="3.42578125" style="27" customWidth="1"/>
    <col min="16" max="16" width="3.140625" style="27" customWidth="1"/>
    <col min="17" max="18" width="2.85546875" style="27" customWidth="1"/>
    <col min="19" max="19" width="3.42578125" style="27" customWidth="1"/>
    <col min="20" max="20" width="3" style="27" customWidth="1"/>
    <col min="21" max="21" width="3.42578125" style="27" customWidth="1"/>
    <col min="22" max="22" width="3.140625" style="27" customWidth="1"/>
    <col min="23" max="23" width="3.42578125" style="27" customWidth="1"/>
    <col min="24" max="24" width="3.140625" style="27" customWidth="1"/>
    <col min="25" max="25" width="2.7109375" style="27" customWidth="1"/>
    <col min="26" max="26" width="3.42578125" style="27" customWidth="1"/>
    <col min="27" max="27" width="3.5703125" style="27" customWidth="1"/>
    <col min="28" max="28" width="3.42578125" style="27" customWidth="1"/>
    <col min="29" max="29" width="3.28515625" style="27" customWidth="1"/>
    <col min="30" max="30" width="3.7109375" style="27" customWidth="1"/>
    <col min="31" max="16384" width="9.140625" style="27"/>
  </cols>
  <sheetData>
    <row r="1" spans="1:31" ht="15.75" customHeight="1" x14ac:dyDescent="0.25">
      <c r="AC1" s="164" t="s">
        <v>1628</v>
      </c>
      <c r="AD1" s="164"/>
      <c r="AE1" s="164"/>
    </row>
    <row r="2" spans="1:31" ht="15.75" customHeight="1" x14ac:dyDescent="0.25">
      <c r="AC2" s="675" t="s">
        <v>1616</v>
      </c>
      <c r="AD2" s="676"/>
      <c r="AE2" s="676"/>
    </row>
    <row r="3" spans="1:31" ht="15.75" customHeight="1" x14ac:dyDescent="0.25">
      <c r="A3" s="897" t="s">
        <v>113</v>
      </c>
      <c r="B3" s="897"/>
      <c r="C3" s="897"/>
      <c r="D3" s="897"/>
      <c r="E3" s="897"/>
      <c r="F3" s="897"/>
      <c r="G3" s="897"/>
      <c r="H3" s="897"/>
      <c r="I3" s="897"/>
      <c r="J3" s="897"/>
      <c r="K3" s="897"/>
      <c r="L3" s="897"/>
      <c r="M3" s="897"/>
      <c r="N3" s="897"/>
      <c r="O3" s="897"/>
      <c r="P3" s="897"/>
      <c r="Q3" s="897"/>
      <c r="R3" s="897"/>
      <c r="S3" s="897"/>
      <c r="T3" s="897"/>
      <c r="U3" s="897"/>
      <c r="V3" s="897"/>
      <c r="W3" s="897"/>
      <c r="X3" s="897"/>
      <c r="Y3" s="897"/>
      <c r="Z3" s="897"/>
      <c r="AA3" s="897"/>
      <c r="AB3" s="897"/>
      <c r="AC3" s="897"/>
    </row>
    <row r="4" spans="1:31" ht="15.75" customHeight="1" x14ac:dyDescent="0.25">
      <c r="A4" s="146"/>
      <c r="B4" s="146"/>
      <c r="C4" s="146"/>
      <c r="D4" s="146"/>
      <c r="E4" s="146"/>
      <c r="F4" s="146"/>
      <c r="G4" s="146"/>
      <c r="H4" s="146"/>
      <c r="I4" s="146"/>
      <c r="J4" s="146"/>
      <c r="K4" s="146"/>
      <c r="L4" s="146"/>
      <c r="M4" s="146"/>
      <c r="N4" s="146"/>
      <c r="O4" s="146"/>
      <c r="P4" s="146"/>
      <c r="Q4" s="146"/>
      <c r="R4" s="146"/>
      <c r="S4" s="146"/>
      <c r="T4" s="146"/>
      <c r="U4" s="146"/>
      <c r="V4" s="146"/>
      <c r="W4" s="146"/>
      <c r="X4" s="146"/>
      <c r="Y4" s="146"/>
      <c r="Z4" s="146"/>
      <c r="AA4" s="146"/>
      <c r="AB4" s="146"/>
      <c r="AC4" s="146"/>
    </row>
    <row r="5" spans="1:31" ht="15.75" customHeight="1" x14ac:dyDescent="0.25">
      <c r="A5" s="146" t="s">
        <v>38</v>
      </c>
      <c r="B5" s="146"/>
      <c r="C5" s="146" t="s">
        <v>701</v>
      </c>
      <c r="D5" s="146"/>
      <c r="E5" s="146"/>
      <c r="F5" s="146"/>
      <c r="G5" s="146"/>
      <c r="H5" s="146"/>
      <c r="I5" s="146"/>
      <c r="J5" s="146"/>
      <c r="K5" s="146"/>
      <c r="L5" s="146"/>
      <c r="M5" s="37"/>
      <c r="N5" s="37" t="s">
        <v>594</v>
      </c>
      <c r="O5" s="146"/>
      <c r="P5" s="146"/>
      <c r="Q5" s="146"/>
      <c r="R5" s="146"/>
      <c r="S5" s="146"/>
      <c r="T5" s="37" t="s">
        <v>703</v>
      </c>
      <c r="U5" s="146"/>
      <c r="V5" s="146"/>
      <c r="W5" s="146"/>
      <c r="X5" s="146"/>
      <c r="Y5" s="146"/>
      <c r="Z5" s="146"/>
      <c r="AA5" s="146"/>
      <c r="AB5" s="146"/>
      <c r="AC5" s="146"/>
    </row>
    <row r="6" spans="1:31" ht="15.75" customHeight="1" x14ac:dyDescent="0.25">
      <c r="A6" s="146" t="s">
        <v>150</v>
      </c>
      <c r="B6" s="146"/>
      <c r="C6" s="146" t="s">
        <v>1637</v>
      </c>
      <c r="D6" s="146"/>
      <c r="E6" s="146"/>
      <c r="F6" s="146"/>
      <c r="G6" s="146"/>
      <c r="H6" s="146"/>
      <c r="I6" s="146"/>
      <c r="J6" s="146"/>
      <c r="K6" s="146"/>
      <c r="L6" s="146"/>
      <c r="M6" s="146"/>
      <c r="N6" s="37" t="s">
        <v>595</v>
      </c>
      <c r="O6" s="146"/>
      <c r="P6" s="146"/>
      <c r="Q6" s="146"/>
      <c r="R6" s="146"/>
      <c r="S6" s="146"/>
      <c r="T6" s="146" t="s">
        <v>704</v>
      </c>
      <c r="U6" s="146"/>
      <c r="V6" s="146"/>
      <c r="W6" s="146"/>
      <c r="X6" s="146"/>
      <c r="Y6" s="146"/>
      <c r="Z6" s="146"/>
      <c r="AA6" s="146"/>
      <c r="AB6" s="146"/>
      <c r="AC6" s="146" t="s">
        <v>36</v>
      </c>
    </row>
    <row r="7" spans="1:31" ht="15.75" customHeight="1" x14ac:dyDescent="0.25">
      <c r="A7" s="146" t="s">
        <v>597</v>
      </c>
      <c r="B7" s="146"/>
      <c r="C7" s="37" t="s">
        <v>702</v>
      </c>
      <c r="D7" s="146"/>
      <c r="E7" s="146"/>
      <c r="F7" s="146"/>
      <c r="G7" s="146"/>
      <c r="H7" s="146"/>
      <c r="I7" s="146"/>
      <c r="J7" s="146"/>
      <c r="K7" s="146"/>
      <c r="L7" s="146"/>
      <c r="M7" s="146"/>
      <c r="N7" s="146" t="s">
        <v>40</v>
      </c>
      <c r="O7" s="146"/>
      <c r="P7" s="146"/>
      <c r="Q7" s="146"/>
      <c r="R7" s="146"/>
      <c r="S7" s="146"/>
      <c r="T7" s="146" t="s">
        <v>966</v>
      </c>
      <c r="U7" s="146"/>
      <c r="V7" s="146"/>
      <c r="W7" s="146"/>
      <c r="X7" s="146"/>
      <c r="Y7" s="146"/>
      <c r="Z7" s="146"/>
      <c r="AA7" s="146"/>
      <c r="AB7" s="146"/>
      <c r="AC7" s="146"/>
    </row>
    <row r="8" spans="1:31" ht="15.75" customHeight="1" x14ac:dyDescent="0.25">
      <c r="A8" s="146"/>
      <c r="B8" s="471"/>
      <c r="C8" s="146"/>
      <c r="D8" s="146"/>
      <c r="E8" s="146"/>
      <c r="F8" s="146"/>
      <c r="G8" s="146"/>
      <c r="H8" s="146"/>
      <c r="I8" s="146"/>
      <c r="J8" s="146"/>
      <c r="K8" s="146"/>
      <c r="L8" s="146"/>
      <c r="M8" s="146"/>
      <c r="N8" s="146"/>
      <c r="O8" s="146"/>
      <c r="P8" s="146"/>
      <c r="Q8" s="146"/>
      <c r="R8" s="146"/>
      <c r="S8" s="146"/>
      <c r="T8" s="146"/>
      <c r="U8" s="146"/>
      <c r="V8" s="146"/>
      <c r="W8" s="146"/>
      <c r="X8" s="146"/>
      <c r="Y8" s="146"/>
      <c r="Z8" s="146"/>
      <c r="AA8" s="146"/>
      <c r="AB8" s="146"/>
      <c r="AC8" s="146"/>
    </row>
    <row r="9" spans="1:31" ht="15.75" customHeight="1" x14ac:dyDescent="0.25">
      <c r="A9" s="898" t="s">
        <v>4</v>
      </c>
      <c r="B9" s="886" t="s">
        <v>616</v>
      </c>
      <c r="C9" s="886" t="s">
        <v>114</v>
      </c>
      <c r="D9" s="880" t="s">
        <v>106</v>
      </c>
      <c r="E9" s="881"/>
      <c r="F9" s="881"/>
      <c r="G9" s="881"/>
      <c r="H9" s="881"/>
      <c r="I9" s="881"/>
      <c r="J9" s="881"/>
      <c r="K9" s="881"/>
      <c r="L9" s="881"/>
      <c r="M9" s="881"/>
      <c r="N9" s="881"/>
      <c r="O9" s="881"/>
      <c r="P9" s="881"/>
      <c r="Q9" s="881"/>
      <c r="R9" s="881"/>
      <c r="S9" s="881"/>
      <c r="T9" s="881"/>
      <c r="U9" s="881"/>
      <c r="V9" s="881"/>
      <c r="W9" s="881"/>
      <c r="X9" s="881"/>
      <c r="Y9" s="881"/>
      <c r="Z9" s="881"/>
      <c r="AA9" s="881"/>
      <c r="AB9" s="881"/>
      <c r="AC9" s="881"/>
      <c r="AD9" s="882"/>
      <c r="AE9" s="886" t="s">
        <v>293</v>
      </c>
    </row>
    <row r="10" spans="1:31" ht="15.75" customHeight="1" x14ac:dyDescent="0.25">
      <c r="A10" s="898"/>
      <c r="B10" s="887"/>
      <c r="C10" s="887"/>
      <c r="D10" s="913" t="s">
        <v>1638</v>
      </c>
      <c r="E10" s="914"/>
      <c r="F10" s="914"/>
      <c r="G10" s="914"/>
      <c r="H10" s="915"/>
      <c r="I10" s="889" t="s">
        <v>1639</v>
      </c>
      <c r="J10" s="890"/>
      <c r="K10" s="890"/>
      <c r="L10" s="891"/>
      <c r="M10" s="916" t="s">
        <v>1640</v>
      </c>
      <c r="N10" s="916"/>
      <c r="O10" s="916"/>
      <c r="P10" s="916"/>
      <c r="Q10" s="917" t="s">
        <v>1641</v>
      </c>
      <c r="R10" s="918"/>
      <c r="S10" s="918"/>
      <c r="T10" s="918"/>
      <c r="U10" s="919"/>
      <c r="V10" s="920" t="s">
        <v>1647</v>
      </c>
      <c r="W10" s="921"/>
      <c r="X10" s="921"/>
      <c r="Y10" s="922"/>
      <c r="Z10" s="892" t="s">
        <v>1642</v>
      </c>
      <c r="AA10" s="893"/>
      <c r="AB10" s="893"/>
      <c r="AC10" s="893"/>
      <c r="AD10" s="894"/>
      <c r="AE10" s="887"/>
    </row>
    <row r="11" spans="1:31" ht="15.75" customHeight="1" x14ac:dyDescent="0.25">
      <c r="A11" s="899"/>
      <c r="B11" s="887"/>
      <c r="C11" s="887"/>
      <c r="D11" s="664">
        <v>1</v>
      </c>
      <c r="E11" s="664">
        <v>2</v>
      </c>
      <c r="F11" s="664">
        <v>3</v>
      </c>
      <c r="G11" s="664">
        <v>4</v>
      </c>
      <c r="H11" s="664">
        <v>5</v>
      </c>
      <c r="I11" s="665">
        <v>1</v>
      </c>
      <c r="J11" s="665">
        <v>2</v>
      </c>
      <c r="K11" s="665">
        <v>3</v>
      </c>
      <c r="L11" s="665">
        <v>4</v>
      </c>
      <c r="M11" s="577">
        <v>1</v>
      </c>
      <c r="N11" s="576">
        <v>2</v>
      </c>
      <c r="O11" s="577">
        <v>3</v>
      </c>
      <c r="P11" s="577">
        <v>4</v>
      </c>
      <c r="Q11" s="666">
        <v>1</v>
      </c>
      <c r="R11" s="666">
        <v>2</v>
      </c>
      <c r="S11" s="666">
        <v>3</v>
      </c>
      <c r="T11" s="666">
        <v>4</v>
      </c>
      <c r="U11" s="666">
        <v>5</v>
      </c>
      <c r="V11" s="667">
        <v>1</v>
      </c>
      <c r="W11" s="667">
        <v>2</v>
      </c>
      <c r="X11" s="667">
        <v>3</v>
      </c>
      <c r="Y11" s="667">
        <v>4</v>
      </c>
      <c r="Z11" s="668">
        <v>1</v>
      </c>
      <c r="AA11" s="668">
        <v>2</v>
      </c>
      <c r="AB11" s="668">
        <v>3</v>
      </c>
      <c r="AC11" s="668">
        <v>4</v>
      </c>
      <c r="AD11" s="668">
        <v>5</v>
      </c>
      <c r="AE11" s="888"/>
    </row>
    <row r="12" spans="1:31" ht="30" customHeight="1" x14ac:dyDescent="0.25">
      <c r="A12" s="297">
        <v>1</v>
      </c>
      <c r="B12" s="670" t="s">
        <v>1643</v>
      </c>
      <c r="C12" s="923">
        <v>24</v>
      </c>
      <c r="D12" s="877" t="s">
        <v>1645</v>
      </c>
      <c r="E12" s="877" t="s">
        <v>1645</v>
      </c>
      <c r="F12" s="883" t="s">
        <v>1629</v>
      </c>
      <c r="G12" s="547">
        <v>8</v>
      </c>
      <c r="H12" s="883" t="s">
        <v>1629</v>
      </c>
      <c r="I12" s="877" t="s">
        <v>1646</v>
      </c>
      <c r="J12" s="883" t="s">
        <v>1629</v>
      </c>
      <c r="K12" s="547">
        <v>8</v>
      </c>
      <c r="L12" s="883" t="s">
        <v>1629</v>
      </c>
      <c r="M12" s="547">
        <v>4</v>
      </c>
      <c r="N12" s="883" t="s">
        <v>1629</v>
      </c>
      <c r="O12" s="293"/>
      <c r="P12" s="883" t="s">
        <v>1629</v>
      </c>
      <c r="Q12" s="293"/>
      <c r="R12" s="883" t="s">
        <v>1629</v>
      </c>
      <c r="S12" s="293"/>
      <c r="T12" s="883" t="s">
        <v>1629</v>
      </c>
      <c r="U12" s="293"/>
      <c r="V12" s="877" t="s">
        <v>1648</v>
      </c>
      <c r="W12" s="877" t="s">
        <v>1631</v>
      </c>
      <c r="X12" s="877" t="s">
        <v>1631</v>
      </c>
      <c r="Y12" s="293"/>
      <c r="Z12" s="877" t="s">
        <v>1632</v>
      </c>
      <c r="AA12" s="877" t="s">
        <v>1649</v>
      </c>
      <c r="AB12" s="883" t="s">
        <v>1629</v>
      </c>
      <c r="AC12" s="877" t="s">
        <v>1650</v>
      </c>
      <c r="AD12" s="877" t="s">
        <v>1650</v>
      </c>
      <c r="AE12" s="293"/>
    </row>
    <row r="13" spans="1:31" ht="15" x14ac:dyDescent="0.25">
      <c r="A13" s="297">
        <v>2</v>
      </c>
      <c r="B13" s="658" t="s">
        <v>849</v>
      </c>
      <c r="C13" s="924"/>
      <c r="D13" s="878"/>
      <c r="E13" s="878"/>
      <c r="F13" s="884"/>
      <c r="G13" s="296"/>
      <c r="H13" s="884"/>
      <c r="I13" s="878"/>
      <c r="J13" s="884"/>
      <c r="K13" s="296"/>
      <c r="L13" s="884"/>
      <c r="M13" s="547">
        <v>4</v>
      </c>
      <c r="N13" s="884"/>
      <c r="O13" s="293"/>
      <c r="P13" s="884"/>
      <c r="Q13" s="293"/>
      <c r="R13" s="884"/>
      <c r="S13" s="293"/>
      <c r="T13" s="884"/>
      <c r="U13" s="293"/>
      <c r="V13" s="878"/>
      <c r="W13" s="878"/>
      <c r="X13" s="878"/>
      <c r="Y13" s="293"/>
      <c r="Z13" s="878"/>
      <c r="AA13" s="878"/>
      <c r="AB13" s="884"/>
      <c r="AC13" s="878"/>
      <c r="AD13" s="878"/>
      <c r="AE13" s="293"/>
    </row>
    <row r="14" spans="1:31" ht="30" x14ac:dyDescent="0.25">
      <c r="A14" s="297">
        <v>3</v>
      </c>
      <c r="B14" s="671" t="s">
        <v>744</v>
      </c>
      <c r="C14" s="923">
        <v>24</v>
      </c>
      <c r="D14" s="878"/>
      <c r="E14" s="878"/>
      <c r="F14" s="884"/>
      <c r="G14" s="293"/>
      <c r="H14" s="884"/>
      <c r="I14" s="878"/>
      <c r="J14" s="884"/>
      <c r="K14" s="293"/>
      <c r="L14" s="884"/>
      <c r="M14" s="547" t="s">
        <v>1229</v>
      </c>
      <c r="N14" s="884"/>
      <c r="O14" s="657">
        <v>8</v>
      </c>
      <c r="P14" s="884"/>
      <c r="Q14" s="657">
        <v>8</v>
      </c>
      <c r="R14" s="884"/>
      <c r="S14" s="657">
        <v>4</v>
      </c>
      <c r="T14" s="884"/>
      <c r="U14" s="293"/>
      <c r="V14" s="878"/>
      <c r="W14" s="878"/>
      <c r="X14" s="878"/>
      <c r="Y14" s="293"/>
      <c r="Z14" s="878"/>
      <c r="AA14" s="878"/>
      <c r="AB14" s="884"/>
      <c r="AC14" s="878"/>
      <c r="AD14" s="878"/>
      <c r="AE14" s="293"/>
    </row>
    <row r="15" spans="1:31" ht="15" x14ac:dyDescent="0.25">
      <c r="A15" s="297">
        <v>4</v>
      </c>
      <c r="B15" s="659" t="s">
        <v>850</v>
      </c>
      <c r="C15" s="924"/>
      <c r="D15" s="878"/>
      <c r="E15" s="878"/>
      <c r="F15" s="884"/>
      <c r="G15" s="293"/>
      <c r="H15" s="884"/>
      <c r="I15" s="878"/>
      <c r="J15" s="884"/>
      <c r="K15" s="293"/>
      <c r="L15" s="884"/>
      <c r="M15" s="547" t="s">
        <v>66</v>
      </c>
      <c r="N15" s="884"/>
      <c r="O15" s="293"/>
      <c r="P15" s="884"/>
      <c r="Q15" s="293"/>
      <c r="R15" s="884"/>
      <c r="S15" s="657">
        <v>4</v>
      </c>
      <c r="T15" s="884"/>
      <c r="U15" s="296"/>
      <c r="V15" s="878"/>
      <c r="W15" s="878"/>
      <c r="X15" s="878"/>
      <c r="Y15" s="296"/>
      <c r="Z15" s="878"/>
      <c r="AA15" s="878"/>
      <c r="AB15" s="884"/>
      <c r="AC15" s="878"/>
      <c r="AD15" s="878"/>
      <c r="AE15" s="293"/>
    </row>
    <row r="16" spans="1:31" ht="30" x14ac:dyDescent="0.25">
      <c r="A16" s="297">
        <v>5</v>
      </c>
      <c r="B16" s="672" t="s">
        <v>1644</v>
      </c>
      <c r="C16" s="923">
        <v>16</v>
      </c>
      <c r="D16" s="878"/>
      <c r="E16" s="878"/>
      <c r="F16" s="884"/>
      <c r="G16" s="293"/>
      <c r="H16" s="884"/>
      <c r="I16" s="878"/>
      <c r="J16" s="884"/>
      <c r="K16" s="293"/>
      <c r="L16" s="884"/>
      <c r="M16" s="293"/>
      <c r="N16" s="884"/>
      <c r="O16" s="293"/>
      <c r="P16" s="884"/>
      <c r="Q16" s="293"/>
      <c r="R16" s="884"/>
      <c r="S16" s="657" t="s">
        <v>1229</v>
      </c>
      <c r="T16" s="884"/>
      <c r="U16" s="648">
        <v>8</v>
      </c>
      <c r="V16" s="878"/>
      <c r="W16" s="878"/>
      <c r="X16" s="878"/>
      <c r="Y16" s="648">
        <v>6</v>
      </c>
      <c r="Z16" s="878"/>
      <c r="AA16" s="878"/>
      <c r="AB16" s="884"/>
      <c r="AC16" s="878"/>
      <c r="AD16" s="878"/>
      <c r="AE16" s="293"/>
    </row>
    <row r="17" spans="1:31" ht="15.75" customHeight="1" x14ac:dyDescent="0.25">
      <c r="A17" s="297">
        <v>6</v>
      </c>
      <c r="B17" s="660" t="s">
        <v>1056</v>
      </c>
      <c r="C17" s="924"/>
      <c r="D17" s="879"/>
      <c r="E17" s="879"/>
      <c r="F17" s="885"/>
      <c r="G17" s="293"/>
      <c r="H17" s="885"/>
      <c r="I17" s="879"/>
      <c r="J17" s="885"/>
      <c r="K17" s="293"/>
      <c r="L17" s="885"/>
      <c r="M17" s="293"/>
      <c r="N17" s="885"/>
      <c r="O17" s="641"/>
      <c r="P17" s="885"/>
      <c r="Q17" s="641"/>
      <c r="R17" s="885"/>
      <c r="S17" s="657" t="s">
        <v>66</v>
      </c>
      <c r="T17" s="885"/>
      <c r="U17" s="641"/>
      <c r="V17" s="879"/>
      <c r="W17" s="879"/>
      <c r="X17" s="879"/>
      <c r="Y17" s="674">
        <v>2</v>
      </c>
      <c r="Z17" s="879"/>
      <c r="AA17" s="879"/>
      <c r="AB17" s="885"/>
      <c r="AC17" s="879"/>
      <c r="AD17" s="879"/>
      <c r="AE17" s="293"/>
    </row>
    <row r="18" spans="1:31" ht="15.75" customHeight="1" x14ac:dyDescent="0.25">
      <c r="A18" s="663">
        <v>7</v>
      </c>
      <c r="B18" s="661"/>
      <c r="C18" s="669">
        <v>64</v>
      </c>
      <c r="D18" s="356"/>
      <c r="E18" s="356"/>
      <c r="F18" s="356"/>
      <c r="G18" s="356"/>
      <c r="H18" s="356"/>
      <c r="I18" s="356"/>
      <c r="J18" s="356"/>
      <c r="K18" s="356"/>
      <c r="L18" s="356"/>
      <c r="M18" s="356"/>
      <c r="N18" s="29"/>
      <c r="O18" s="356"/>
      <c r="P18" s="356"/>
      <c r="Q18" s="356"/>
      <c r="R18" s="356"/>
      <c r="S18" s="356"/>
      <c r="T18" s="356"/>
      <c r="U18" s="356"/>
      <c r="V18" s="356"/>
      <c r="W18" s="356"/>
      <c r="X18" s="356"/>
      <c r="Y18" s="356"/>
      <c r="Z18" s="356"/>
      <c r="AA18" s="356"/>
      <c r="AB18" s="662"/>
      <c r="AC18" s="662"/>
      <c r="AD18" s="662"/>
      <c r="AE18" s="29"/>
    </row>
    <row r="20" spans="1:31" ht="15.75" customHeight="1" x14ac:dyDescent="0.25">
      <c r="C20" s="28"/>
      <c r="X20" s="27" t="s">
        <v>1145</v>
      </c>
    </row>
    <row r="21" spans="1:31" ht="15.75" customHeight="1" x14ac:dyDescent="0.25">
      <c r="B21" s="28" t="s">
        <v>33</v>
      </c>
    </row>
    <row r="22" spans="1:31" ht="15.75" customHeight="1" x14ac:dyDescent="0.25">
      <c r="B22" s="28" t="s">
        <v>1624</v>
      </c>
      <c r="C22" s="28" t="s">
        <v>1625</v>
      </c>
      <c r="D22" s="28"/>
      <c r="E22" s="28"/>
      <c r="N22" s="28" t="s">
        <v>1623</v>
      </c>
      <c r="O22" s="28"/>
      <c r="X22" s="27" t="s">
        <v>41</v>
      </c>
    </row>
    <row r="23" spans="1:31" ht="15.75" customHeight="1" x14ac:dyDescent="0.25">
      <c r="B23" s="28"/>
      <c r="C23" s="28"/>
      <c r="D23" s="28"/>
      <c r="E23" s="28"/>
      <c r="N23" s="28"/>
      <c r="O23" s="28"/>
    </row>
    <row r="24" spans="1:31" ht="15.75" customHeight="1" x14ac:dyDescent="0.25">
      <c r="B24" s="28"/>
      <c r="C24" s="28"/>
      <c r="D24" s="28"/>
      <c r="E24" s="28"/>
      <c r="N24" s="28"/>
      <c r="O24" s="28"/>
    </row>
    <row r="25" spans="1:31" ht="15.75" customHeight="1" x14ac:dyDescent="0.25">
      <c r="B25" s="28"/>
      <c r="C25" s="28"/>
      <c r="D25" s="28"/>
      <c r="E25" s="28"/>
      <c r="N25" s="28"/>
      <c r="O25" s="28"/>
    </row>
    <row r="26" spans="1:31" ht="15.75" customHeight="1" x14ac:dyDescent="0.25">
      <c r="B26" s="34"/>
      <c r="C26" s="34"/>
      <c r="D26" s="28"/>
      <c r="N26" s="34"/>
      <c r="O26" s="28"/>
    </row>
    <row r="27" spans="1:31" ht="15.75" customHeight="1" x14ac:dyDescent="0.25">
      <c r="B27" s="34" t="s">
        <v>1156</v>
      </c>
      <c r="C27" s="34" t="s">
        <v>1044</v>
      </c>
      <c r="D27" s="28"/>
      <c r="N27" s="34" t="s">
        <v>1622</v>
      </c>
      <c r="X27" s="34" t="s">
        <v>1154</v>
      </c>
    </row>
    <row r="28" spans="1:31" ht="15.75" customHeight="1" x14ac:dyDescent="0.25">
      <c r="B28" s="34" t="s">
        <v>1620</v>
      </c>
      <c r="C28" s="28" t="s">
        <v>1621</v>
      </c>
      <c r="D28" s="28"/>
      <c r="N28" s="28" t="s">
        <v>1627</v>
      </c>
      <c r="X28" s="28" t="s">
        <v>1160</v>
      </c>
    </row>
    <row r="29" spans="1:31" ht="15.75" customHeight="1" x14ac:dyDescent="0.25">
      <c r="B29" s="28"/>
      <c r="D29" s="28"/>
    </row>
    <row r="30" spans="1:31" ht="15.75" customHeight="1" x14ac:dyDescent="0.25">
      <c r="D30" s="28"/>
    </row>
    <row r="31" spans="1:31" ht="15.75" customHeight="1" x14ac:dyDescent="0.25">
      <c r="D31" s="28"/>
      <c r="N31" s="28"/>
      <c r="O31" s="28"/>
    </row>
    <row r="32" spans="1:31" ht="15.75" customHeight="1" x14ac:dyDescent="0.25">
      <c r="X32" s="895"/>
      <c r="Y32" s="895"/>
      <c r="Z32" s="895"/>
      <c r="AA32" s="895"/>
      <c r="AB32" s="895"/>
      <c r="AC32" s="164" t="s">
        <v>1628</v>
      </c>
      <c r="AD32" s="164"/>
      <c r="AE32" s="164"/>
    </row>
    <row r="33" spans="1:31" ht="15.75" customHeight="1" x14ac:dyDescent="0.25">
      <c r="X33" s="896"/>
      <c r="Y33" s="896"/>
      <c r="Z33" s="896"/>
      <c r="AA33" s="896"/>
      <c r="AB33" s="896"/>
      <c r="AC33" s="675" t="s">
        <v>1616</v>
      </c>
      <c r="AD33" s="676"/>
      <c r="AE33" s="676"/>
    </row>
    <row r="34" spans="1:31" ht="15.75" customHeight="1" x14ac:dyDescent="0.25">
      <c r="A34" s="897" t="s">
        <v>113</v>
      </c>
      <c r="B34" s="897"/>
      <c r="C34" s="897"/>
      <c r="D34" s="897"/>
      <c r="E34" s="897"/>
      <c r="F34" s="897"/>
      <c r="G34" s="897"/>
      <c r="H34" s="897"/>
      <c r="I34" s="897"/>
      <c r="J34" s="897"/>
      <c r="K34" s="897"/>
      <c r="L34" s="897"/>
      <c r="M34" s="897"/>
      <c r="N34" s="897"/>
      <c r="O34" s="897"/>
      <c r="P34" s="897"/>
      <c r="Q34" s="897"/>
      <c r="R34" s="897"/>
      <c r="S34" s="897"/>
      <c r="T34" s="897"/>
      <c r="U34" s="897"/>
      <c r="V34" s="897"/>
      <c r="W34" s="897"/>
      <c r="X34" s="897"/>
      <c r="Y34" s="897"/>
      <c r="Z34" s="897"/>
      <c r="AA34" s="897"/>
      <c r="AB34" s="897"/>
      <c r="AC34" s="897"/>
    </row>
    <row r="35" spans="1:31" ht="15.75" customHeight="1" x14ac:dyDescent="0.25">
      <c r="A35" s="146"/>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6"/>
      <c r="AB35" s="146"/>
      <c r="AC35" s="146"/>
    </row>
    <row r="36" spans="1:31" ht="15.75" customHeight="1" x14ac:dyDescent="0.25">
      <c r="A36" s="146" t="s">
        <v>38</v>
      </c>
      <c r="B36" s="146"/>
      <c r="C36" s="146" t="s">
        <v>701</v>
      </c>
      <c r="D36" s="146"/>
      <c r="E36" s="146"/>
      <c r="F36" s="146"/>
      <c r="G36" s="146"/>
      <c r="H36" s="146"/>
      <c r="I36" s="146"/>
      <c r="J36" s="146"/>
      <c r="K36" s="146"/>
      <c r="L36" s="146"/>
      <c r="M36" s="37"/>
      <c r="N36" s="37" t="s">
        <v>594</v>
      </c>
      <c r="O36" s="146"/>
      <c r="P36" s="146"/>
      <c r="Q36" s="146"/>
      <c r="R36" s="146"/>
      <c r="S36" s="146"/>
      <c r="T36" s="37" t="s">
        <v>703</v>
      </c>
      <c r="U36" s="146"/>
      <c r="V36" s="146"/>
      <c r="W36" s="146"/>
      <c r="X36" s="146"/>
      <c r="Y36" s="146"/>
      <c r="Z36" s="146"/>
      <c r="AA36" s="146"/>
      <c r="AB36" s="146"/>
      <c r="AC36" s="146"/>
    </row>
    <row r="37" spans="1:31" ht="15.75" customHeight="1" x14ac:dyDescent="0.25">
      <c r="A37" s="146" t="s">
        <v>150</v>
      </c>
      <c r="B37" s="146"/>
      <c r="C37" s="146" t="s">
        <v>1161</v>
      </c>
      <c r="D37" s="146"/>
      <c r="E37" s="146"/>
      <c r="F37" s="146"/>
      <c r="G37" s="146"/>
      <c r="H37" s="146"/>
      <c r="I37" s="146"/>
      <c r="J37" s="146"/>
      <c r="K37" s="146"/>
      <c r="L37" s="146"/>
      <c r="M37" s="146"/>
      <c r="N37" s="37" t="s">
        <v>595</v>
      </c>
      <c r="O37" s="146"/>
      <c r="P37" s="146"/>
      <c r="Q37" s="146"/>
      <c r="R37" s="146"/>
      <c r="S37" s="146"/>
      <c r="T37" s="146" t="s">
        <v>704</v>
      </c>
      <c r="U37" s="146"/>
      <c r="V37" s="146"/>
      <c r="W37" s="146"/>
      <c r="X37" s="146"/>
      <c r="Y37" s="146"/>
      <c r="Z37" s="146"/>
      <c r="AA37" s="146"/>
      <c r="AB37" s="146"/>
      <c r="AC37" s="146" t="s">
        <v>36</v>
      </c>
    </row>
    <row r="38" spans="1:31" ht="15.75" customHeight="1" x14ac:dyDescent="0.25">
      <c r="A38" s="146" t="s">
        <v>597</v>
      </c>
      <c r="B38" s="146"/>
      <c r="C38" s="37" t="s">
        <v>702</v>
      </c>
      <c r="D38" s="146"/>
      <c r="E38" s="146"/>
      <c r="F38" s="146"/>
      <c r="G38" s="146"/>
      <c r="H38" s="146"/>
      <c r="I38" s="146"/>
      <c r="J38" s="146"/>
      <c r="K38" s="146"/>
      <c r="L38" s="146"/>
      <c r="M38" s="146"/>
      <c r="N38" s="146" t="s">
        <v>40</v>
      </c>
      <c r="O38" s="146"/>
      <c r="P38" s="146"/>
      <c r="Q38" s="146"/>
      <c r="R38" s="146"/>
      <c r="S38" s="146"/>
      <c r="T38" s="146" t="s">
        <v>966</v>
      </c>
      <c r="U38" s="146"/>
      <c r="V38" s="146"/>
      <c r="W38" s="146"/>
      <c r="X38" s="146"/>
      <c r="Y38" s="146"/>
      <c r="Z38" s="146"/>
      <c r="AA38" s="146"/>
      <c r="AB38" s="146"/>
      <c r="AC38" s="146"/>
    </row>
    <row r="39" spans="1:31" ht="15.75" customHeight="1" x14ac:dyDescent="0.25">
      <c r="A39" s="146"/>
      <c r="B39" s="471"/>
      <c r="C39" s="146"/>
      <c r="D39" s="146"/>
      <c r="E39" s="146"/>
      <c r="F39" s="146"/>
      <c r="G39" s="146"/>
      <c r="H39" s="146"/>
      <c r="I39" s="146"/>
      <c r="J39" s="146"/>
      <c r="K39" s="146"/>
      <c r="L39" s="146"/>
      <c r="M39" s="146"/>
      <c r="N39" s="146"/>
      <c r="O39" s="146"/>
      <c r="P39" s="146"/>
      <c r="Q39" s="146"/>
      <c r="R39" s="146"/>
      <c r="S39" s="146"/>
      <c r="T39" s="146"/>
      <c r="U39" s="146"/>
      <c r="V39" s="146"/>
      <c r="W39" s="146"/>
      <c r="X39" s="146"/>
      <c r="Y39" s="146"/>
      <c r="Z39" s="146"/>
      <c r="AA39" s="146"/>
      <c r="AB39" s="146"/>
      <c r="AC39" s="146"/>
    </row>
    <row r="40" spans="1:31" ht="15.75" customHeight="1" x14ac:dyDescent="0.25">
      <c r="A40" s="898" t="s">
        <v>4</v>
      </c>
      <c r="B40" s="900" t="s">
        <v>616</v>
      </c>
      <c r="C40" s="900" t="s">
        <v>114</v>
      </c>
      <c r="D40" s="881" t="s">
        <v>106</v>
      </c>
      <c r="E40" s="881"/>
      <c r="F40" s="881"/>
      <c r="G40" s="881"/>
      <c r="H40" s="881"/>
      <c r="I40" s="881"/>
      <c r="J40" s="881"/>
      <c r="K40" s="881"/>
      <c r="L40" s="881"/>
      <c r="M40" s="881"/>
      <c r="N40" s="881"/>
      <c r="O40" s="881"/>
      <c r="P40" s="881"/>
      <c r="Q40" s="881"/>
      <c r="R40" s="881"/>
      <c r="S40" s="881"/>
      <c r="T40" s="881"/>
      <c r="U40" s="881"/>
      <c r="V40" s="881"/>
      <c r="W40" s="881"/>
      <c r="X40" s="881"/>
      <c r="Y40" s="881"/>
      <c r="Z40" s="881"/>
      <c r="AA40" s="881"/>
      <c r="AB40" s="881"/>
      <c r="AC40" s="900" t="s">
        <v>293</v>
      </c>
      <c r="AD40" s="900"/>
      <c r="AE40" s="900"/>
    </row>
    <row r="41" spans="1:31" ht="15.75" customHeight="1" x14ac:dyDescent="0.25">
      <c r="A41" s="898"/>
      <c r="B41" s="900"/>
      <c r="C41" s="900"/>
      <c r="D41" s="901" t="s">
        <v>139</v>
      </c>
      <c r="E41" s="902"/>
      <c r="F41" s="902"/>
      <c r="G41" s="902"/>
      <c r="H41" s="903" t="s">
        <v>140</v>
      </c>
      <c r="I41" s="904"/>
      <c r="J41" s="904"/>
      <c r="K41" s="904"/>
      <c r="L41" s="916" t="s">
        <v>141</v>
      </c>
      <c r="M41" s="916"/>
      <c r="N41" s="916"/>
      <c r="O41" s="916"/>
      <c r="P41" s="926" t="s">
        <v>142</v>
      </c>
      <c r="Q41" s="927"/>
      <c r="R41" s="927"/>
      <c r="S41" s="927"/>
      <c r="T41" s="928"/>
      <c r="U41" s="929" t="s">
        <v>143</v>
      </c>
      <c r="V41" s="930"/>
      <c r="W41" s="930"/>
      <c r="X41" s="931"/>
      <c r="Y41" s="932" t="s">
        <v>144</v>
      </c>
      <c r="Z41" s="932"/>
      <c r="AA41" s="932"/>
      <c r="AB41" s="932"/>
      <c r="AC41" s="900"/>
      <c r="AD41" s="900"/>
      <c r="AE41" s="900"/>
    </row>
    <row r="42" spans="1:31" ht="15.75" customHeight="1" x14ac:dyDescent="0.25">
      <c r="A42" s="899"/>
      <c r="B42" s="900"/>
      <c r="C42" s="900"/>
      <c r="D42" s="651">
        <v>1</v>
      </c>
      <c r="E42" s="651">
        <v>2</v>
      </c>
      <c r="F42" s="651">
        <v>3</v>
      </c>
      <c r="G42" s="651">
        <v>4</v>
      </c>
      <c r="H42" s="561">
        <v>1</v>
      </c>
      <c r="I42" s="561">
        <v>2</v>
      </c>
      <c r="J42" s="561">
        <v>3</v>
      </c>
      <c r="K42" s="561">
        <v>4</v>
      </c>
      <c r="L42" s="577">
        <v>1</v>
      </c>
      <c r="M42" s="577">
        <v>2</v>
      </c>
      <c r="N42" s="576">
        <v>3</v>
      </c>
      <c r="O42" s="577">
        <v>4</v>
      </c>
      <c r="P42" s="578">
        <v>1</v>
      </c>
      <c r="Q42" s="578">
        <v>2</v>
      </c>
      <c r="R42" s="578">
        <v>3</v>
      </c>
      <c r="S42" s="578">
        <v>4</v>
      </c>
      <c r="T42" s="578">
        <v>5</v>
      </c>
      <c r="U42" s="579">
        <v>1</v>
      </c>
      <c r="V42" s="579">
        <v>2</v>
      </c>
      <c r="W42" s="579">
        <v>3</v>
      </c>
      <c r="X42" s="579">
        <v>4</v>
      </c>
      <c r="Y42" s="580">
        <v>1</v>
      </c>
      <c r="Z42" s="580">
        <v>2</v>
      </c>
      <c r="AA42" s="580">
        <v>3</v>
      </c>
      <c r="AB42" s="580">
        <v>4</v>
      </c>
      <c r="AC42" s="900"/>
      <c r="AD42" s="900"/>
      <c r="AE42" s="900"/>
    </row>
    <row r="43" spans="1:31" ht="30" x14ac:dyDescent="0.25">
      <c r="A43" s="297">
        <v>1</v>
      </c>
      <c r="B43" s="647" t="s">
        <v>1146</v>
      </c>
      <c r="C43" s="923">
        <v>40</v>
      </c>
      <c r="D43" s="648">
        <v>8</v>
      </c>
      <c r="E43" s="905" t="s">
        <v>1629</v>
      </c>
      <c r="F43" s="648">
        <v>8</v>
      </c>
      <c r="G43" s="905" t="s">
        <v>1629</v>
      </c>
      <c r="H43" s="648">
        <v>8</v>
      </c>
      <c r="I43" s="905" t="s">
        <v>1629</v>
      </c>
      <c r="J43" s="877" t="s">
        <v>1630</v>
      </c>
      <c r="K43" s="648">
        <v>8</v>
      </c>
      <c r="L43" s="910" t="s">
        <v>1629</v>
      </c>
      <c r="M43" s="649">
        <v>4</v>
      </c>
      <c r="N43" s="877" t="s">
        <v>1635</v>
      </c>
      <c r="O43" s="877" t="s">
        <v>1634</v>
      </c>
      <c r="P43" s="905" t="s">
        <v>1629</v>
      </c>
      <c r="Q43" s="877" t="s">
        <v>1631</v>
      </c>
      <c r="R43" s="877" t="s">
        <v>1632</v>
      </c>
      <c r="S43" s="296"/>
      <c r="T43" s="905" t="s">
        <v>1629</v>
      </c>
      <c r="U43" s="296"/>
      <c r="V43" s="905" t="s">
        <v>1629</v>
      </c>
      <c r="W43" s="650" t="s">
        <v>1229</v>
      </c>
      <c r="X43" s="905" t="s">
        <v>1629</v>
      </c>
      <c r="Y43" s="877" t="s">
        <v>1636</v>
      </c>
      <c r="Z43" s="877" t="s">
        <v>1633</v>
      </c>
      <c r="AA43" s="877" t="s">
        <v>1633</v>
      </c>
      <c r="AB43" s="656"/>
      <c r="AC43" s="933"/>
      <c r="AD43" s="933"/>
      <c r="AE43" s="933"/>
    </row>
    <row r="44" spans="1:31" ht="15.75" customHeight="1" x14ac:dyDescent="0.25">
      <c r="A44" s="297">
        <v>2</v>
      </c>
      <c r="B44" s="652" t="s">
        <v>1228</v>
      </c>
      <c r="C44" s="924"/>
      <c r="D44" s="296"/>
      <c r="E44" s="906"/>
      <c r="F44" s="296"/>
      <c r="G44" s="906"/>
      <c r="H44" s="296"/>
      <c r="I44" s="906"/>
      <c r="J44" s="878"/>
      <c r="K44" s="296"/>
      <c r="L44" s="911"/>
      <c r="M44" s="649">
        <v>4</v>
      </c>
      <c r="N44" s="908"/>
      <c r="O44" s="908"/>
      <c r="P44" s="906"/>
      <c r="Q44" s="878"/>
      <c r="R44" s="878"/>
      <c r="S44" s="296"/>
      <c r="T44" s="906"/>
      <c r="U44" s="296"/>
      <c r="V44" s="906"/>
      <c r="W44" s="650" t="s">
        <v>66</v>
      </c>
      <c r="X44" s="906"/>
      <c r="Y44" s="908"/>
      <c r="Z44" s="878"/>
      <c r="AA44" s="878"/>
      <c r="AB44" s="656"/>
      <c r="AC44" s="933"/>
      <c r="AD44" s="933"/>
      <c r="AE44" s="933"/>
    </row>
    <row r="45" spans="1:31" ht="45" x14ac:dyDescent="0.25">
      <c r="A45" s="297">
        <v>3</v>
      </c>
      <c r="B45" s="653" t="s">
        <v>1147</v>
      </c>
      <c r="C45" s="923">
        <v>32</v>
      </c>
      <c r="D45" s="296"/>
      <c r="E45" s="906"/>
      <c r="F45" s="296"/>
      <c r="G45" s="906"/>
      <c r="H45" s="296"/>
      <c r="I45" s="906"/>
      <c r="J45" s="878"/>
      <c r="K45" s="296"/>
      <c r="L45" s="911"/>
      <c r="M45" s="649" t="s">
        <v>1229</v>
      </c>
      <c r="N45" s="908"/>
      <c r="O45" s="908"/>
      <c r="P45" s="906"/>
      <c r="Q45" s="878"/>
      <c r="R45" s="878"/>
      <c r="S45" s="650">
        <v>8</v>
      </c>
      <c r="T45" s="906"/>
      <c r="U45" s="650">
        <v>8</v>
      </c>
      <c r="V45" s="906"/>
      <c r="W45" s="650">
        <v>4</v>
      </c>
      <c r="X45" s="906"/>
      <c r="Y45" s="908"/>
      <c r="Z45" s="878"/>
      <c r="AA45" s="878"/>
      <c r="AB45" s="650">
        <v>8</v>
      </c>
      <c r="AC45" s="933"/>
      <c r="AD45" s="933"/>
      <c r="AE45" s="933"/>
    </row>
    <row r="46" spans="1:31" ht="15.75" customHeight="1" x14ac:dyDescent="0.25">
      <c r="A46" s="297">
        <v>4</v>
      </c>
      <c r="B46" s="654" t="s">
        <v>1228</v>
      </c>
      <c r="C46" s="925"/>
      <c r="D46" s="296"/>
      <c r="E46" s="906"/>
      <c r="F46" s="296"/>
      <c r="G46" s="906"/>
      <c r="H46" s="296"/>
      <c r="I46" s="906"/>
      <c r="J46" s="878"/>
      <c r="K46" s="296"/>
      <c r="L46" s="911"/>
      <c r="M46" s="649" t="s">
        <v>66</v>
      </c>
      <c r="N46" s="908"/>
      <c r="O46" s="908"/>
      <c r="P46" s="906"/>
      <c r="Q46" s="878"/>
      <c r="R46" s="878"/>
      <c r="S46" s="296"/>
      <c r="T46" s="906"/>
      <c r="U46" s="296"/>
      <c r="V46" s="906"/>
      <c r="W46" s="650">
        <v>2</v>
      </c>
      <c r="X46" s="906"/>
      <c r="Y46" s="908"/>
      <c r="Z46" s="878"/>
      <c r="AA46" s="878"/>
      <c r="AB46" s="656"/>
      <c r="AC46" s="933"/>
      <c r="AD46" s="933"/>
      <c r="AE46" s="933"/>
    </row>
    <row r="47" spans="1:31" ht="15.75" customHeight="1" x14ac:dyDescent="0.25">
      <c r="A47" s="297">
        <v>5</v>
      </c>
      <c r="B47" s="655" t="s">
        <v>1056</v>
      </c>
      <c r="C47" s="925"/>
      <c r="D47" s="641"/>
      <c r="E47" s="907"/>
      <c r="F47" s="641"/>
      <c r="G47" s="907"/>
      <c r="H47" s="641"/>
      <c r="I47" s="907"/>
      <c r="J47" s="879"/>
      <c r="K47" s="646"/>
      <c r="L47" s="912"/>
      <c r="M47" s="649"/>
      <c r="N47" s="909"/>
      <c r="O47" s="909"/>
      <c r="P47" s="907"/>
      <c r="Q47" s="879"/>
      <c r="R47" s="879"/>
      <c r="S47" s="641"/>
      <c r="T47" s="907"/>
      <c r="U47" s="641"/>
      <c r="V47" s="907"/>
      <c r="W47" s="581">
        <v>2</v>
      </c>
      <c r="X47" s="907"/>
      <c r="Y47" s="909"/>
      <c r="Z47" s="879"/>
      <c r="AA47" s="879"/>
      <c r="AB47" s="656"/>
      <c r="AC47" s="933"/>
      <c r="AD47" s="933"/>
      <c r="AE47" s="933"/>
    </row>
    <row r="48" spans="1:31" s="48" customFormat="1" ht="15.75" customHeight="1" x14ac:dyDescent="0.25">
      <c r="A48" s="548"/>
      <c r="B48" s="582" t="s">
        <v>28</v>
      </c>
      <c r="C48" s="583">
        <f t="shared" ref="C48" si="0">C43+C45</f>
        <v>72</v>
      </c>
      <c r="D48" s="297"/>
      <c r="E48" s="297"/>
      <c r="F48" s="297"/>
      <c r="G48" s="297"/>
      <c r="H48" s="297"/>
      <c r="I48" s="297"/>
      <c r="J48" s="297"/>
      <c r="K48" s="297"/>
      <c r="L48" s="297"/>
      <c r="M48" s="297"/>
      <c r="N48" s="297"/>
      <c r="O48" s="297"/>
      <c r="P48" s="297"/>
      <c r="Q48" s="297"/>
      <c r="R48" s="297"/>
      <c r="S48" s="297"/>
      <c r="T48" s="297"/>
      <c r="U48" s="297"/>
      <c r="V48" s="297"/>
      <c r="W48" s="297"/>
      <c r="X48" s="297"/>
      <c r="Y48" s="297"/>
      <c r="Z48" s="297"/>
      <c r="AA48" s="297"/>
      <c r="AB48" s="297"/>
      <c r="AC48" s="934"/>
      <c r="AD48" s="934"/>
      <c r="AE48" s="934"/>
    </row>
    <row r="51" spans="2:24" ht="15.75" customHeight="1" x14ac:dyDescent="0.25">
      <c r="C51" s="28"/>
      <c r="X51" s="27" t="s">
        <v>1145</v>
      </c>
    </row>
    <row r="52" spans="2:24" ht="15.75" customHeight="1" x14ac:dyDescent="0.25">
      <c r="B52" s="28" t="s">
        <v>33</v>
      </c>
    </row>
    <row r="53" spans="2:24" ht="15.75" customHeight="1" x14ac:dyDescent="0.25">
      <c r="B53" s="28" t="s">
        <v>1624</v>
      </c>
      <c r="C53" s="28" t="s">
        <v>1625</v>
      </c>
      <c r="D53" s="28"/>
      <c r="E53" s="28"/>
      <c r="N53" s="28" t="s">
        <v>1623</v>
      </c>
      <c r="O53" s="28"/>
      <c r="X53" s="27" t="s">
        <v>41</v>
      </c>
    </row>
    <row r="54" spans="2:24" ht="15.75" customHeight="1" x14ac:dyDescent="0.25">
      <c r="B54" s="28"/>
      <c r="C54" s="28"/>
      <c r="D54" s="28"/>
      <c r="E54" s="28"/>
      <c r="N54" s="28"/>
      <c r="O54" s="28"/>
    </row>
    <row r="55" spans="2:24" ht="15.75" customHeight="1" x14ac:dyDescent="0.25">
      <c r="B55" s="28"/>
      <c r="C55" s="28"/>
      <c r="D55" s="28"/>
      <c r="E55" s="28"/>
      <c r="N55" s="28"/>
      <c r="O55" s="28"/>
    </row>
    <row r="56" spans="2:24" ht="15.75" customHeight="1" x14ac:dyDescent="0.25">
      <c r="B56" s="28"/>
      <c r="C56" s="28"/>
      <c r="D56" s="28"/>
      <c r="E56" s="28"/>
      <c r="N56" s="28"/>
      <c r="O56" s="28"/>
    </row>
    <row r="57" spans="2:24" ht="15.75" customHeight="1" x14ac:dyDescent="0.25">
      <c r="B57" s="34"/>
      <c r="C57" s="34"/>
      <c r="D57" s="28"/>
      <c r="N57" s="34"/>
      <c r="O57" s="28"/>
    </row>
    <row r="58" spans="2:24" ht="15.75" customHeight="1" x14ac:dyDescent="0.25">
      <c r="B58" s="34" t="s">
        <v>1156</v>
      </c>
      <c r="C58" s="34" t="s">
        <v>1044</v>
      </c>
      <c r="D58" s="28"/>
      <c r="N58" s="34" t="s">
        <v>1622</v>
      </c>
      <c r="X58" s="34" t="s">
        <v>1154</v>
      </c>
    </row>
    <row r="59" spans="2:24" ht="15.75" customHeight="1" x14ac:dyDescent="0.25">
      <c r="B59" s="34" t="s">
        <v>1620</v>
      </c>
      <c r="C59" s="28" t="s">
        <v>1621</v>
      </c>
      <c r="D59" s="28"/>
      <c r="N59" s="28" t="s">
        <v>1627</v>
      </c>
      <c r="X59" s="28" t="s">
        <v>1160</v>
      </c>
    </row>
  </sheetData>
  <mergeCells count="72">
    <mergeCell ref="AC47:AE47"/>
    <mergeCell ref="AC48:AE48"/>
    <mergeCell ref="AC40:AE42"/>
    <mergeCell ref="AC43:AE43"/>
    <mergeCell ref="AC44:AE44"/>
    <mergeCell ref="AC45:AE45"/>
    <mergeCell ref="AC46:AE46"/>
    <mergeCell ref="R43:R47"/>
    <mergeCell ref="T43:T47"/>
    <mergeCell ref="A3:AC3"/>
    <mergeCell ref="A9:A11"/>
    <mergeCell ref="B9:B11"/>
    <mergeCell ref="C9:C11"/>
    <mergeCell ref="L41:O41"/>
    <mergeCell ref="P41:T41"/>
    <mergeCell ref="U41:X41"/>
    <mergeCell ref="Y41:AB41"/>
    <mergeCell ref="C12:C13"/>
    <mergeCell ref="F12:F17"/>
    <mergeCell ref="H12:H17"/>
    <mergeCell ref="J12:J17"/>
    <mergeCell ref="L12:L17"/>
    <mergeCell ref="N12:N17"/>
    <mergeCell ref="O43:O47"/>
    <mergeCell ref="P43:P47"/>
    <mergeCell ref="Q43:Q47"/>
    <mergeCell ref="C43:C44"/>
    <mergeCell ref="E43:E47"/>
    <mergeCell ref="G43:G47"/>
    <mergeCell ref="I43:I47"/>
    <mergeCell ref="J43:J47"/>
    <mergeCell ref="C45:C47"/>
    <mergeCell ref="C14:C15"/>
    <mergeCell ref="D12:D17"/>
    <mergeCell ref="E12:E17"/>
    <mergeCell ref="W12:W17"/>
    <mergeCell ref="X12:X17"/>
    <mergeCell ref="T12:T17"/>
    <mergeCell ref="C16:C17"/>
    <mergeCell ref="P12:P17"/>
    <mergeCell ref="R12:R17"/>
    <mergeCell ref="Z43:Z47"/>
    <mergeCell ref="AA43:AA47"/>
    <mergeCell ref="X32:AB32"/>
    <mergeCell ref="X33:AB33"/>
    <mergeCell ref="A34:AC34"/>
    <mergeCell ref="A40:A42"/>
    <mergeCell ref="B40:B42"/>
    <mergeCell ref="C40:C42"/>
    <mergeCell ref="D40:AB40"/>
    <mergeCell ref="D41:G41"/>
    <mergeCell ref="H41:K41"/>
    <mergeCell ref="V43:V47"/>
    <mergeCell ref="X43:X47"/>
    <mergeCell ref="Y43:Y47"/>
    <mergeCell ref="L43:L47"/>
    <mergeCell ref="N43:N47"/>
    <mergeCell ref="AD12:AD17"/>
    <mergeCell ref="D9:AD9"/>
    <mergeCell ref="AB12:AB17"/>
    <mergeCell ref="AE9:AE11"/>
    <mergeCell ref="I10:L10"/>
    <mergeCell ref="Z10:AD10"/>
    <mergeCell ref="I12:I17"/>
    <mergeCell ref="V12:V17"/>
    <mergeCell ref="Z12:Z17"/>
    <mergeCell ref="AA12:AA17"/>
    <mergeCell ref="AC12:AC17"/>
    <mergeCell ref="D10:H10"/>
    <mergeCell ref="M10:P10"/>
    <mergeCell ref="Q10:U10"/>
    <mergeCell ref="V10:Y10"/>
  </mergeCells>
  <pageMargins left="0.55118110236220474" right="1.3779527559055118" top="0.39370078740157483" bottom="0.31496062992125984" header="0.31496062992125984" footer="0.27559055118110237"/>
  <pageSetup paperSize="9" scale="9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27AAE-2230-4DE0-8FFA-6B55A181AC61}">
  <sheetPr>
    <tabColor theme="0"/>
    <pageSetUpPr fitToPage="1"/>
  </sheetPr>
  <dimension ref="A1:AE28"/>
  <sheetViews>
    <sheetView zoomScale="78" workbookViewId="0">
      <selection activeCell="B20" sqref="B20:AA28"/>
    </sheetView>
  </sheetViews>
  <sheetFormatPr defaultRowHeight="15" x14ac:dyDescent="0.25"/>
  <cols>
    <col min="1" max="1" width="4.85546875" customWidth="1"/>
    <col min="2" max="2" width="56.7109375" customWidth="1"/>
    <col min="3" max="3" width="5.140625" customWidth="1"/>
    <col min="4" max="4" width="3.28515625" customWidth="1"/>
    <col min="5" max="5" width="2.85546875" customWidth="1"/>
    <col min="6" max="6" width="2.7109375" customWidth="1"/>
    <col min="7" max="8" width="3" customWidth="1"/>
    <col min="9" max="9" width="3.140625" customWidth="1"/>
    <col min="10" max="10" width="2.85546875" customWidth="1"/>
    <col min="11" max="11" width="3.42578125" customWidth="1"/>
    <col min="12" max="12" width="3.140625" customWidth="1"/>
    <col min="13" max="13" width="3.42578125" customWidth="1"/>
    <col min="14" max="14" width="2.85546875" customWidth="1"/>
    <col min="15" max="15" width="3.42578125" customWidth="1"/>
    <col min="16" max="16" width="3.140625" customWidth="1"/>
    <col min="17" max="18" width="2.85546875" customWidth="1"/>
    <col min="19" max="19" width="3.42578125" customWidth="1"/>
    <col min="20" max="20" width="3" customWidth="1"/>
    <col min="21" max="21" width="3.42578125" customWidth="1"/>
    <col min="22" max="22" width="3.140625" customWidth="1"/>
    <col min="23" max="23" width="3.42578125" customWidth="1"/>
    <col min="24" max="24" width="3.140625" customWidth="1"/>
    <col min="25" max="25" width="2.7109375" customWidth="1"/>
    <col min="26" max="26" width="3.42578125" customWidth="1"/>
    <col min="27" max="27" width="3.5703125" customWidth="1"/>
    <col min="28" max="28" width="2.7109375" customWidth="1"/>
    <col min="29" max="29" width="3.28515625" customWidth="1"/>
    <col min="30" max="30" width="3.7109375" customWidth="1"/>
  </cols>
  <sheetData>
    <row r="1" spans="1:31" x14ac:dyDescent="0.25">
      <c r="A1" s="27"/>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164" t="s">
        <v>1628</v>
      </c>
      <c r="AD1" s="164"/>
      <c r="AE1" s="164"/>
    </row>
    <row r="2" spans="1:31" x14ac:dyDescent="0.25">
      <c r="A2" s="27"/>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675" t="s">
        <v>1616</v>
      </c>
      <c r="AD2" s="676"/>
      <c r="AE2" s="676"/>
    </row>
    <row r="3" spans="1:31" x14ac:dyDescent="0.25">
      <c r="A3" s="897" t="s">
        <v>113</v>
      </c>
      <c r="B3" s="897"/>
      <c r="C3" s="897"/>
      <c r="D3" s="897"/>
      <c r="E3" s="897"/>
      <c r="F3" s="897"/>
      <c r="G3" s="897"/>
      <c r="H3" s="897"/>
      <c r="I3" s="897"/>
      <c r="J3" s="897"/>
      <c r="K3" s="897"/>
      <c r="L3" s="897"/>
      <c r="M3" s="897"/>
      <c r="N3" s="897"/>
      <c r="O3" s="897"/>
      <c r="P3" s="897"/>
      <c r="Q3" s="897"/>
      <c r="R3" s="897"/>
      <c r="S3" s="897"/>
      <c r="T3" s="897"/>
      <c r="U3" s="897"/>
      <c r="V3" s="897"/>
      <c r="W3" s="897"/>
      <c r="X3" s="897"/>
      <c r="Y3" s="897"/>
      <c r="Z3" s="897"/>
      <c r="AA3" s="897"/>
      <c r="AB3" s="897"/>
      <c r="AC3" s="897"/>
      <c r="AD3" s="27"/>
      <c r="AE3" s="27"/>
    </row>
    <row r="4" spans="1:31" x14ac:dyDescent="0.25">
      <c r="A4" s="146"/>
      <c r="B4" s="146"/>
      <c r="C4" s="146"/>
      <c r="D4" s="146"/>
      <c r="E4" s="146"/>
      <c r="F4" s="146"/>
      <c r="G4" s="146"/>
      <c r="H4" s="146"/>
      <c r="I4" s="146"/>
      <c r="J4" s="146"/>
      <c r="K4" s="146"/>
      <c r="L4" s="146"/>
      <c r="M4" s="146"/>
      <c r="N4" s="146"/>
      <c r="O4" s="146"/>
      <c r="P4" s="146"/>
      <c r="Q4" s="146"/>
      <c r="R4" s="146"/>
      <c r="S4" s="146"/>
      <c r="T4" s="146"/>
      <c r="U4" s="146"/>
      <c r="V4" s="146"/>
      <c r="W4" s="146"/>
      <c r="X4" s="146"/>
      <c r="Y4" s="146"/>
      <c r="Z4" s="146"/>
      <c r="AA4" s="146"/>
      <c r="AB4" s="146"/>
      <c r="AC4" s="146"/>
      <c r="AD4" s="27"/>
      <c r="AE4" s="27"/>
    </row>
    <row r="5" spans="1:31" x14ac:dyDescent="0.25">
      <c r="A5" s="146" t="s">
        <v>38</v>
      </c>
      <c r="B5" s="146"/>
      <c r="C5" s="146" t="s">
        <v>701</v>
      </c>
      <c r="D5" s="146"/>
      <c r="E5" s="146"/>
      <c r="F5" s="146"/>
      <c r="G5" s="146"/>
      <c r="H5" s="146"/>
      <c r="I5" s="146"/>
      <c r="J5" s="146"/>
      <c r="K5" s="146"/>
      <c r="L5" s="146"/>
      <c r="M5" s="37"/>
      <c r="N5" s="37" t="s">
        <v>594</v>
      </c>
      <c r="O5" s="146"/>
      <c r="P5" s="146"/>
      <c r="Q5" s="146"/>
      <c r="R5" s="146"/>
      <c r="S5" s="146"/>
      <c r="T5" s="37" t="s">
        <v>703</v>
      </c>
      <c r="U5" s="146"/>
      <c r="V5" s="146"/>
      <c r="W5" s="146"/>
      <c r="X5" s="146"/>
      <c r="Y5" s="146"/>
      <c r="Z5" s="146"/>
      <c r="AA5" s="146"/>
      <c r="AB5" s="146"/>
      <c r="AC5" s="146"/>
      <c r="AD5" s="27"/>
      <c r="AE5" s="27"/>
    </row>
    <row r="6" spans="1:31" x14ac:dyDescent="0.25">
      <c r="A6" s="146" t="s">
        <v>150</v>
      </c>
      <c r="B6" s="146"/>
      <c r="C6" s="146" t="s">
        <v>1637</v>
      </c>
      <c r="D6" s="146"/>
      <c r="E6" s="146"/>
      <c r="F6" s="146"/>
      <c r="G6" s="146"/>
      <c r="H6" s="146"/>
      <c r="I6" s="146"/>
      <c r="J6" s="146"/>
      <c r="K6" s="146"/>
      <c r="L6" s="146"/>
      <c r="M6" s="146"/>
      <c r="N6" s="37" t="s">
        <v>595</v>
      </c>
      <c r="O6" s="146"/>
      <c r="P6" s="146"/>
      <c r="Q6" s="146"/>
      <c r="R6" s="146"/>
      <c r="S6" s="146"/>
      <c r="T6" s="146" t="s">
        <v>704</v>
      </c>
      <c r="U6" s="146"/>
      <c r="V6" s="146"/>
      <c r="W6" s="146"/>
      <c r="X6" s="146"/>
      <c r="Y6" s="146"/>
      <c r="Z6" s="146"/>
      <c r="AA6" s="146"/>
      <c r="AB6" s="146"/>
      <c r="AC6" s="146" t="s">
        <v>36</v>
      </c>
      <c r="AD6" s="27"/>
      <c r="AE6" s="27"/>
    </row>
    <row r="7" spans="1:31" x14ac:dyDescent="0.25">
      <c r="A7" s="146" t="s">
        <v>597</v>
      </c>
      <c r="B7" s="146"/>
      <c r="C7" s="37" t="s">
        <v>702</v>
      </c>
      <c r="D7" s="146"/>
      <c r="E7" s="146"/>
      <c r="F7" s="146"/>
      <c r="G7" s="146"/>
      <c r="H7" s="146"/>
      <c r="I7" s="146"/>
      <c r="J7" s="146"/>
      <c r="K7" s="146"/>
      <c r="L7" s="146"/>
      <c r="M7" s="146"/>
      <c r="N7" s="146" t="s">
        <v>40</v>
      </c>
      <c r="O7" s="146"/>
      <c r="P7" s="146"/>
      <c r="Q7" s="146"/>
      <c r="R7" s="146"/>
      <c r="S7" s="146"/>
      <c r="T7" s="146" t="s">
        <v>966</v>
      </c>
      <c r="U7" s="146"/>
      <c r="V7" s="146"/>
      <c r="W7" s="146"/>
      <c r="X7" s="146"/>
      <c r="Y7" s="146"/>
      <c r="Z7" s="146"/>
      <c r="AA7" s="146"/>
      <c r="AB7" s="146"/>
      <c r="AC7" s="146"/>
      <c r="AD7" s="27"/>
      <c r="AE7" s="27"/>
    </row>
    <row r="8" spans="1:31" x14ac:dyDescent="0.25">
      <c r="A8" s="146"/>
      <c r="B8" s="471"/>
      <c r="C8" s="146"/>
      <c r="D8" s="146"/>
      <c r="E8" s="146"/>
      <c r="F8" s="146"/>
      <c r="G8" s="146"/>
      <c r="H8" s="146"/>
      <c r="I8" s="146"/>
      <c r="J8" s="146"/>
      <c r="K8" s="146"/>
      <c r="L8" s="146"/>
      <c r="M8" s="146"/>
      <c r="N8" s="146"/>
      <c r="O8" s="146"/>
      <c r="P8" s="146"/>
      <c r="Q8" s="146"/>
      <c r="R8" s="146"/>
      <c r="S8" s="146"/>
      <c r="T8" s="146"/>
      <c r="U8" s="146"/>
      <c r="V8" s="146"/>
      <c r="W8" s="146"/>
      <c r="X8" s="146"/>
      <c r="Y8" s="146"/>
      <c r="Z8" s="146"/>
      <c r="AA8" s="146"/>
      <c r="AB8" s="146"/>
      <c r="AC8" s="146"/>
      <c r="AD8" s="27"/>
      <c r="AE8" s="27"/>
    </row>
    <row r="9" spans="1:31" x14ac:dyDescent="0.25">
      <c r="A9" s="898" t="s">
        <v>4</v>
      </c>
      <c r="B9" s="886" t="s">
        <v>616</v>
      </c>
      <c r="C9" s="886" t="s">
        <v>114</v>
      </c>
      <c r="D9" s="880" t="s">
        <v>106</v>
      </c>
      <c r="E9" s="881"/>
      <c r="F9" s="881"/>
      <c r="G9" s="881"/>
      <c r="H9" s="881"/>
      <c r="I9" s="881"/>
      <c r="J9" s="881"/>
      <c r="K9" s="881"/>
      <c r="L9" s="881"/>
      <c r="M9" s="881"/>
      <c r="N9" s="881"/>
      <c r="O9" s="881"/>
      <c r="P9" s="881"/>
      <c r="Q9" s="881"/>
      <c r="R9" s="881"/>
      <c r="S9" s="881"/>
      <c r="T9" s="881"/>
      <c r="U9" s="881"/>
      <c r="V9" s="881"/>
      <c r="W9" s="881"/>
      <c r="X9" s="881"/>
      <c r="Y9" s="881"/>
      <c r="Z9" s="881"/>
      <c r="AA9" s="881"/>
      <c r="AB9" s="881"/>
      <c r="AC9" s="881"/>
      <c r="AD9" s="882"/>
      <c r="AE9" s="886" t="s">
        <v>293</v>
      </c>
    </row>
    <row r="10" spans="1:31" x14ac:dyDescent="0.25">
      <c r="A10" s="898"/>
      <c r="B10" s="887"/>
      <c r="C10" s="887"/>
      <c r="D10" s="913" t="s">
        <v>1638</v>
      </c>
      <c r="E10" s="914"/>
      <c r="F10" s="914"/>
      <c r="G10" s="914"/>
      <c r="H10" s="915"/>
      <c r="I10" s="889" t="s">
        <v>1639</v>
      </c>
      <c r="J10" s="890"/>
      <c r="K10" s="890"/>
      <c r="L10" s="891"/>
      <c r="M10" s="916" t="s">
        <v>1640</v>
      </c>
      <c r="N10" s="916"/>
      <c r="O10" s="916"/>
      <c r="P10" s="916"/>
      <c r="Q10" s="917" t="s">
        <v>1641</v>
      </c>
      <c r="R10" s="918"/>
      <c r="S10" s="918"/>
      <c r="T10" s="918"/>
      <c r="U10" s="919"/>
      <c r="V10" s="920" t="s">
        <v>1647</v>
      </c>
      <c r="W10" s="921"/>
      <c r="X10" s="921"/>
      <c r="Y10" s="922"/>
      <c r="Z10" s="892" t="s">
        <v>1642</v>
      </c>
      <c r="AA10" s="893"/>
      <c r="AB10" s="893"/>
      <c r="AC10" s="893"/>
      <c r="AD10" s="894"/>
      <c r="AE10" s="887"/>
    </row>
    <row r="11" spans="1:31" x14ac:dyDescent="0.25">
      <c r="A11" s="899"/>
      <c r="B11" s="887"/>
      <c r="C11" s="887"/>
      <c r="D11" s="664">
        <v>1</v>
      </c>
      <c r="E11" s="664">
        <v>2</v>
      </c>
      <c r="F11" s="664">
        <v>3</v>
      </c>
      <c r="G11" s="664">
        <v>4</v>
      </c>
      <c r="H11" s="664">
        <v>5</v>
      </c>
      <c r="I11" s="665">
        <v>1</v>
      </c>
      <c r="J11" s="665">
        <v>2</v>
      </c>
      <c r="K11" s="665">
        <v>3</v>
      </c>
      <c r="L11" s="665">
        <v>4</v>
      </c>
      <c r="M11" s="577">
        <v>1</v>
      </c>
      <c r="N11" s="576">
        <v>2</v>
      </c>
      <c r="O11" s="577">
        <v>3</v>
      </c>
      <c r="P11" s="577">
        <v>4</v>
      </c>
      <c r="Q11" s="666">
        <v>1</v>
      </c>
      <c r="R11" s="666">
        <v>2</v>
      </c>
      <c r="S11" s="666">
        <v>3</v>
      </c>
      <c r="T11" s="666">
        <v>4</v>
      </c>
      <c r="U11" s="666">
        <v>5</v>
      </c>
      <c r="V11" s="667">
        <v>1</v>
      </c>
      <c r="W11" s="667">
        <v>2</v>
      </c>
      <c r="X11" s="667">
        <v>3</v>
      </c>
      <c r="Y11" s="667">
        <v>4</v>
      </c>
      <c r="Z11" s="668">
        <v>1</v>
      </c>
      <c r="AA11" s="668">
        <v>2</v>
      </c>
      <c r="AB11" s="668">
        <v>3</v>
      </c>
      <c r="AC11" s="668">
        <v>4</v>
      </c>
      <c r="AD11" s="668">
        <v>5</v>
      </c>
      <c r="AE11" s="888"/>
    </row>
    <row r="12" spans="1:31" ht="30" x14ac:dyDescent="0.25">
      <c r="A12" s="297">
        <v>1</v>
      </c>
      <c r="B12" s="670" t="s">
        <v>1643</v>
      </c>
      <c r="C12" s="923">
        <v>24</v>
      </c>
      <c r="D12" s="877" t="s">
        <v>1645</v>
      </c>
      <c r="E12" s="877" t="s">
        <v>1645</v>
      </c>
      <c r="F12" s="883" t="s">
        <v>1629</v>
      </c>
      <c r="G12" s="547">
        <v>8</v>
      </c>
      <c r="H12" s="883" t="s">
        <v>1629</v>
      </c>
      <c r="I12" s="877" t="s">
        <v>1646</v>
      </c>
      <c r="J12" s="883" t="s">
        <v>1629</v>
      </c>
      <c r="K12" s="547">
        <v>8</v>
      </c>
      <c r="L12" s="883" t="s">
        <v>1629</v>
      </c>
      <c r="M12" s="547">
        <v>4</v>
      </c>
      <c r="N12" s="883" t="s">
        <v>1629</v>
      </c>
      <c r="O12" s="293"/>
      <c r="P12" s="883" t="s">
        <v>1629</v>
      </c>
      <c r="Q12" s="293"/>
      <c r="R12" s="883" t="s">
        <v>1629</v>
      </c>
      <c r="S12" s="293"/>
      <c r="T12" s="883" t="s">
        <v>1629</v>
      </c>
      <c r="U12" s="293"/>
      <c r="V12" s="877" t="s">
        <v>1648</v>
      </c>
      <c r="W12" s="877" t="s">
        <v>1631</v>
      </c>
      <c r="X12" s="877" t="s">
        <v>1631</v>
      </c>
      <c r="Y12" s="293"/>
      <c r="Z12" s="877" t="s">
        <v>1632</v>
      </c>
      <c r="AA12" s="877" t="s">
        <v>1649</v>
      </c>
      <c r="AB12" s="883" t="s">
        <v>1629</v>
      </c>
      <c r="AC12" s="877" t="s">
        <v>1650</v>
      </c>
      <c r="AD12" s="877" t="s">
        <v>1650</v>
      </c>
      <c r="AE12" s="293"/>
    </row>
    <row r="13" spans="1:31" x14ac:dyDescent="0.25">
      <c r="A13" s="297">
        <v>2</v>
      </c>
      <c r="B13" s="658" t="s">
        <v>849</v>
      </c>
      <c r="C13" s="924"/>
      <c r="D13" s="878"/>
      <c r="E13" s="878"/>
      <c r="F13" s="884"/>
      <c r="G13" s="296"/>
      <c r="H13" s="884"/>
      <c r="I13" s="878"/>
      <c r="J13" s="884"/>
      <c r="K13" s="296"/>
      <c r="L13" s="884"/>
      <c r="M13" s="547">
        <v>4</v>
      </c>
      <c r="N13" s="884"/>
      <c r="O13" s="293"/>
      <c r="P13" s="884"/>
      <c r="Q13" s="293"/>
      <c r="R13" s="884"/>
      <c r="S13" s="293"/>
      <c r="T13" s="884"/>
      <c r="U13" s="293"/>
      <c r="V13" s="878"/>
      <c r="W13" s="878"/>
      <c r="X13" s="878"/>
      <c r="Y13" s="293"/>
      <c r="Z13" s="878"/>
      <c r="AA13" s="878"/>
      <c r="AB13" s="884"/>
      <c r="AC13" s="878"/>
      <c r="AD13" s="878"/>
      <c r="AE13" s="293"/>
    </row>
    <row r="14" spans="1:31" ht="30" x14ac:dyDescent="0.25">
      <c r="A14" s="297">
        <v>3</v>
      </c>
      <c r="B14" s="671" t="s">
        <v>744</v>
      </c>
      <c r="C14" s="923">
        <v>24</v>
      </c>
      <c r="D14" s="878"/>
      <c r="E14" s="878"/>
      <c r="F14" s="884"/>
      <c r="G14" s="293"/>
      <c r="H14" s="884"/>
      <c r="I14" s="878"/>
      <c r="J14" s="884"/>
      <c r="K14" s="293"/>
      <c r="L14" s="884"/>
      <c r="M14" s="547" t="s">
        <v>1229</v>
      </c>
      <c r="N14" s="884"/>
      <c r="O14" s="657">
        <v>8</v>
      </c>
      <c r="P14" s="884"/>
      <c r="Q14" s="657">
        <v>8</v>
      </c>
      <c r="R14" s="884"/>
      <c r="S14" s="657">
        <v>4</v>
      </c>
      <c r="T14" s="884"/>
      <c r="U14" s="293"/>
      <c r="V14" s="878"/>
      <c r="W14" s="878"/>
      <c r="X14" s="878"/>
      <c r="Y14" s="293"/>
      <c r="Z14" s="878"/>
      <c r="AA14" s="878"/>
      <c r="AB14" s="884"/>
      <c r="AC14" s="878"/>
      <c r="AD14" s="878"/>
      <c r="AE14" s="293"/>
    </row>
    <row r="15" spans="1:31" x14ac:dyDescent="0.25">
      <c r="A15" s="297">
        <v>4</v>
      </c>
      <c r="B15" s="659" t="s">
        <v>850</v>
      </c>
      <c r="C15" s="924"/>
      <c r="D15" s="878"/>
      <c r="E15" s="878"/>
      <c r="F15" s="884"/>
      <c r="G15" s="293"/>
      <c r="H15" s="884"/>
      <c r="I15" s="878"/>
      <c r="J15" s="884"/>
      <c r="K15" s="293"/>
      <c r="L15" s="884"/>
      <c r="M15" s="547" t="s">
        <v>66</v>
      </c>
      <c r="N15" s="884"/>
      <c r="O15" s="293"/>
      <c r="P15" s="884"/>
      <c r="Q15" s="293"/>
      <c r="R15" s="884"/>
      <c r="S15" s="657">
        <v>4</v>
      </c>
      <c r="T15" s="884"/>
      <c r="U15" s="296"/>
      <c r="V15" s="878"/>
      <c r="W15" s="878"/>
      <c r="X15" s="878"/>
      <c r="Y15" s="296"/>
      <c r="Z15" s="878"/>
      <c r="AA15" s="878"/>
      <c r="AB15" s="884"/>
      <c r="AC15" s="878"/>
      <c r="AD15" s="878"/>
      <c r="AE15" s="293"/>
    </row>
    <row r="16" spans="1:31" ht="30" x14ac:dyDescent="0.25">
      <c r="A16" s="297">
        <v>5</v>
      </c>
      <c r="B16" s="672" t="s">
        <v>1644</v>
      </c>
      <c r="C16" s="923">
        <v>16</v>
      </c>
      <c r="D16" s="878"/>
      <c r="E16" s="878"/>
      <c r="F16" s="884"/>
      <c r="G16" s="293"/>
      <c r="H16" s="884"/>
      <c r="I16" s="878"/>
      <c r="J16" s="884"/>
      <c r="K16" s="293"/>
      <c r="L16" s="884"/>
      <c r="M16" s="293"/>
      <c r="N16" s="884"/>
      <c r="O16" s="293"/>
      <c r="P16" s="884"/>
      <c r="Q16" s="293"/>
      <c r="R16" s="884"/>
      <c r="S16" s="657" t="s">
        <v>1229</v>
      </c>
      <c r="T16" s="884"/>
      <c r="U16" s="648">
        <v>8</v>
      </c>
      <c r="V16" s="878"/>
      <c r="W16" s="878"/>
      <c r="X16" s="878"/>
      <c r="Y16" s="648">
        <v>6</v>
      </c>
      <c r="Z16" s="878"/>
      <c r="AA16" s="878"/>
      <c r="AB16" s="884"/>
      <c r="AC16" s="878"/>
      <c r="AD16" s="878"/>
      <c r="AE16" s="293"/>
    </row>
    <row r="17" spans="1:31" x14ac:dyDescent="0.25">
      <c r="A17" s="297">
        <v>6</v>
      </c>
      <c r="B17" s="660" t="s">
        <v>1056</v>
      </c>
      <c r="C17" s="924"/>
      <c r="D17" s="879"/>
      <c r="E17" s="879"/>
      <c r="F17" s="885"/>
      <c r="G17" s="293"/>
      <c r="H17" s="885"/>
      <c r="I17" s="879"/>
      <c r="J17" s="885"/>
      <c r="K17" s="293"/>
      <c r="L17" s="885"/>
      <c r="M17" s="293"/>
      <c r="N17" s="885"/>
      <c r="O17" s="641"/>
      <c r="P17" s="885"/>
      <c r="Q17" s="641"/>
      <c r="R17" s="885"/>
      <c r="S17" s="657" t="s">
        <v>66</v>
      </c>
      <c r="T17" s="885"/>
      <c r="U17" s="641"/>
      <c r="V17" s="879"/>
      <c r="W17" s="879"/>
      <c r="X17" s="879"/>
      <c r="Y17" s="674">
        <v>2</v>
      </c>
      <c r="Z17" s="879"/>
      <c r="AA17" s="879"/>
      <c r="AB17" s="885"/>
      <c r="AC17" s="879"/>
      <c r="AD17" s="879"/>
      <c r="AE17" s="293"/>
    </row>
    <row r="18" spans="1:31" x14ac:dyDescent="0.25">
      <c r="A18" s="663">
        <v>7</v>
      </c>
      <c r="B18" s="661"/>
      <c r="C18" s="669">
        <v>64</v>
      </c>
      <c r="D18" s="356"/>
      <c r="E18" s="356"/>
      <c r="F18" s="356"/>
      <c r="G18" s="356"/>
      <c r="H18" s="356"/>
      <c r="I18" s="356"/>
      <c r="J18" s="356"/>
      <c r="K18" s="356"/>
      <c r="L18" s="356"/>
      <c r="M18" s="356"/>
      <c r="N18" s="29"/>
      <c r="O18" s="356"/>
      <c r="P18" s="356"/>
      <c r="Q18" s="356"/>
      <c r="R18" s="356"/>
      <c r="S18" s="356"/>
      <c r="T18" s="356"/>
      <c r="U18" s="356"/>
      <c r="V18" s="356"/>
      <c r="W18" s="356"/>
      <c r="X18" s="356"/>
      <c r="Y18" s="356"/>
      <c r="Z18" s="356"/>
      <c r="AA18" s="356"/>
      <c r="AB18" s="662"/>
      <c r="AC18" s="662"/>
      <c r="AD18" s="662"/>
      <c r="AE18" s="29"/>
    </row>
    <row r="19" spans="1:31" x14ac:dyDescent="0.25">
      <c r="A19" s="27"/>
      <c r="B19" s="27"/>
      <c r="C19" s="27"/>
      <c r="D19" s="27"/>
      <c r="E19" s="27"/>
      <c r="F19" s="27"/>
      <c r="G19" s="27"/>
      <c r="H19" s="27"/>
      <c r="I19" s="27"/>
      <c r="J19" s="27"/>
      <c r="K19" s="27"/>
      <c r="L19" s="27"/>
      <c r="M19" s="27"/>
      <c r="N19" s="27"/>
      <c r="O19" s="27"/>
      <c r="P19" s="27"/>
      <c r="Q19" s="27"/>
      <c r="R19" s="27"/>
      <c r="S19" s="27"/>
      <c r="T19" s="27"/>
      <c r="U19" s="27"/>
      <c r="V19" s="27"/>
      <c r="W19" s="27"/>
      <c r="X19" s="27"/>
      <c r="Y19" s="27"/>
      <c r="Z19" s="27"/>
      <c r="AA19" s="27"/>
      <c r="AB19" s="27"/>
      <c r="AC19" s="27"/>
      <c r="AD19" s="27"/>
      <c r="AE19" s="27"/>
    </row>
    <row r="20" spans="1:31" x14ac:dyDescent="0.25">
      <c r="A20" s="27"/>
      <c r="B20" s="27"/>
      <c r="C20" s="28"/>
      <c r="D20" s="27"/>
      <c r="E20" s="27"/>
      <c r="F20" s="27"/>
      <c r="G20" s="27"/>
      <c r="H20" s="27"/>
      <c r="I20" s="27"/>
      <c r="J20" s="27"/>
      <c r="K20" s="27"/>
      <c r="L20" s="27"/>
      <c r="M20" s="27"/>
      <c r="N20" s="27"/>
      <c r="O20" s="27"/>
      <c r="P20" s="27"/>
      <c r="Q20" s="27"/>
      <c r="R20" s="27"/>
      <c r="S20" s="27"/>
      <c r="T20" s="27"/>
      <c r="U20" s="27"/>
      <c r="V20" s="27"/>
      <c r="W20" s="27"/>
      <c r="X20" s="27" t="s">
        <v>1145</v>
      </c>
      <c r="Y20" s="27"/>
      <c r="Z20" s="27"/>
      <c r="AA20" s="27"/>
      <c r="AB20" s="27"/>
      <c r="AC20" s="27"/>
      <c r="AD20" s="27"/>
      <c r="AE20" s="27"/>
    </row>
    <row r="21" spans="1:31" x14ac:dyDescent="0.25">
      <c r="A21" s="27"/>
      <c r="B21" s="28" t="s">
        <v>33</v>
      </c>
      <c r="C21" s="27"/>
      <c r="D21" s="27"/>
      <c r="E21" s="27"/>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row>
    <row r="22" spans="1:31" x14ac:dyDescent="0.25">
      <c r="A22" s="27"/>
      <c r="B22" s="28" t="s">
        <v>1624</v>
      </c>
      <c r="C22" s="28" t="s">
        <v>1625</v>
      </c>
      <c r="D22" s="28"/>
      <c r="E22" s="28"/>
      <c r="F22" s="27"/>
      <c r="G22" s="27"/>
      <c r="H22" s="27"/>
      <c r="I22" s="27"/>
      <c r="J22" s="27"/>
      <c r="K22" s="27"/>
      <c r="L22" s="27"/>
      <c r="M22" s="27"/>
      <c r="N22" s="28" t="s">
        <v>1623</v>
      </c>
      <c r="O22" s="28"/>
      <c r="P22" s="27"/>
      <c r="Q22" s="27"/>
      <c r="R22" s="27"/>
      <c r="S22" s="27"/>
      <c r="T22" s="27"/>
      <c r="U22" s="27"/>
      <c r="V22" s="27"/>
      <c r="W22" s="27"/>
      <c r="X22" s="27" t="s">
        <v>41</v>
      </c>
      <c r="Y22" s="27"/>
      <c r="Z22" s="27"/>
      <c r="AA22" s="27"/>
      <c r="AB22" s="27"/>
      <c r="AC22" s="27"/>
      <c r="AD22" s="27"/>
      <c r="AE22" s="27"/>
    </row>
    <row r="23" spans="1:31" x14ac:dyDescent="0.25">
      <c r="A23" s="27"/>
      <c r="B23" s="28"/>
      <c r="C23" s="28"/>
      <c r="D23" s="28"/>
      <c r="E23" s="28"/>
      <c r="F23" s="27"/>
      <c r="G23" s="27"/>
      <c r="H23" s="27"/>
      <c r="I23" s="27"/>
      <c r="J23" s="27"/>
      <c r="K23" s="27"/>
      <c r="L23" s="27"/>
      <c r="M23" s="27"/>
      <c r="N23" s="28"/>
      <c r="O23" s="28"/>
      <c r="P23" s="27"/>
      <c r="Q23" s="27"/>
      <c r="R23" s="27"/>
      <c r="S23" s="27"/>
      <c r="T23" s="27"/>
      <c r="U23" s="27"/>
      <c r="V23" s="27"/>
      <c r="W23" s="27"/>
      <c r="X23" s="27"/>
      <c r="Y23" s="27"/>
      <c r="Z23" s="27"/>
      <c r="AA23" s="27"/>
      <c r="AB23" s="27"/>
      <c r="AC23" s="27"/>
      <c r="AD23" s="27"/>
      <c r="AE23" s="27"/>
    </row>
    <row r="24" spans="1:31" x14ac:dyDescent="0.25">
      <c r="A24" s="27"/>
      <c r="B24" s="28"/>
      <c r="C24" s="28"/>
      <c r="D24" s="28"/>
      <c r="E24" s="28"/>
      <c r="F24" s="27"/>
      <c r="G24" s="27"/>
      <c r="H24" s="27"/>
      <c r="I24" s="27"/>
      <c r="J24" s="27"/>
      <c r="K24" s="27"/>
      <c r="L24" s="27"/>
      <c r="M24" s="27"/>
      <c r="N24" s="28"/>
      <c r="O24" s="28"/>
      <c r="P24" s="27"/>
      <c r="Q24" s="27"/>
      <c r="R24" s="27"/>
      <c r="S24" s="27"/>
      <c r="T24" s="27"/>
      <c r="U24" s="27"/>
      <c r="V24" s="27"/>
      <c r="W24" s="27"/>
      <c r="X24" s="27"/>
      <c r="Y24" s="27"/>
      <c r="Z24" s="27"/>
      <c r="AA24" s="27"/>
      <c r="AB24" s="27"/>
      <c r="AC24" s="27"/>
      <c r="AD24" s="27"/>
      <c r="AE24" s="27"/>
    </row>
    <row r="25" spans="1:31" x14ac:dyDescent="0.25">
      <c r="A25" s="27"/>
      <c r="B25" s="28"/>
      <c r="C25" s="28"/>
      <c r="D25" s="28"/>
      <c r="E25" s="28"/>
      <c r="F25" s="27"/>
      <c r="G25" s="27"/>
      <c r="H25" s="27"/>
      <c r="I25" s="27"/>
      <c r="J25" s="27"/>
      <c r="K25" s="27"/>
      <c r="L25" s="27"/>
      <c r="M25" s="27"/>
      <c r="N25" s="28"/>
      <c r="O25" s="28"/>
      <c r="P25" s="27"/>
      <c r="Q25" s="27"/>
      <c r="R25" s="27"/>
      <c r="S25" s="27"/>
      <c r="T25" s="27"/>
      <c r="U25" s="27"/>
      <c r="V25" s="27"/>
      <c r="W25" s="27"/>
      <c r="X25" s="27"/>
      <c r="Y25" s="27"/>
      <c r="Z25" s="27"/>
      <c r="AA25" s="27"/>
      <c r="AB25" s="27"/>
      <c r="AC25" s="27"/>
      <c r="AD25" s="27"/>
      <c r="AE25" s="27"/>
    </row>
    <row r="26" spans="1:31" x14ac:dyDescent="0.25">
      <c r="A26" s="27"/>
      <c r="B26" s="34"/>
      <c r="C26" s="34"/>
      <c r="D26" s="28"/>
      <c r="E26" s="27"/>
      <c r="F26" s="27"/>
      <c r="G26" s="27"/>
      <c r="H26" s="27"/>
      <c r="I26" s="27"/>
      <c r="J26" s="27"/>
      <c r="K26" s="27"/>
      <c r="L26" s="27"/>
      <c r="M26" s="27"/>
      <c r="N26" s="34"/>
      <c r="O26" s="28"/>
      <c r="P26" s="27"/>
      <c r="Q26" s="27"/>
      <c r="R26" s="27"/>
      <c r="S26" s="27"/>
      <c r="T26" s="27"/>
      <c r="U26" s="27"/>
      <c r="V26" s="27"/>
      <c r="W26" s="27"/>
      <c r="X26" s="27"/>
      <c r="Y26" s="27"/>
      <c r="Z26" s="27"/>
      <c r="AA26" s="27"/>
      <c r="AB26" s="27"/>
      <c r="AC26" s="27"/>
      <c r="AD26" s="27"/>
      <c r="AE26" s="27"/>
    </row>
    <row r="27" spans="1:31" x14ac:dyDescent="0.25">
      <c r="A27" s="27"/>
      <c r="B27" s="34" t="s">
        <v>1156</v>
      </c>
      <c r="C27" s="34" t="s">
        <v>1044</v>
      </c>
      <c r="D27" s="28"/>
      <c r="E27" s="27"/>
      <c r="F27" s="27"/>
      <c r="G27" s="27"/>
      <c r="H27" s="27"/>
      <c r="I27" s="27"/>
      <c r="J27" s="27"/>
      <c r="K27" s="27"/>
      <c r="L27" s="27"/>
      <c r="M27" s="27"/>
      <c r="N27" s="34" t="s">
        <v>1622</v>
      </c>
      <c r="O27" s="27"/>
      <c r="P27" s="27"/>
      <c r="Q27" s="27"/>
      <c r="R27" s="27"/>
      <c r="S27" s="27"/>
      <c r="T27" s="27"/>
      <c r="U27" s="27"/>
      <c r="V27" s="27"/>
      <c r="W27" s="27"/>
      <c r="X27" s="34" t="s">
        <v>1154</v>
      </c>
      <c r="Y27" s="27"/>
      <c r="Z27" s="27"/>
      <c r="AA27" s="27"/>
      <c r="AB27" s="27"/>
      <c r="AC27" s="27"/>
      <c r="AD27" s="27"/>
      <c r="AE27" s="27"/>
    </row>
    <row r="28" spans="1:31" x14ac:dyDescent="0.25">
      <c r="A28" s="27"/>
      <c r="B28" s="34" t="s">
        <v>1620</v>
      </c>
      <c r="C28" s="28" t="s">
        <v>1621</v>
      </c>
      <c r="D28" s="28"/>
      <c r="E28" s="27"/>
      <c r="F28" s="27"/>
      <c r="G28" s="27"/>
      <c r="H28" s="27"/>
      <c r="I28" s="27"/>
      <c r="J28" s="27"/>
      <c r="K28" s="27"/>
      <c r="L28" s="27"/>
      <c r="M28" s="27"/>
      <c r="N28" s="28" t="s">
        <v>1683</v>
      </c>
      <c r="O28" s="27"/>
      <c r="P28" s="27"/>
      <c r="Q28" s="27"/>
      <c r="R28" s="27"/>
      <c r="S28" s="27"/>
      <c r="T28" s="27"/>
      <c r="U28" s="27"/>
      <c r="V28" s="27"/>
      <c r="W28" s="27"/>
      <c r="X28" s="28" t="s">
        <v>1160</v>
      </c>
      <c r="Y28" s="27"/>
      <c r="Z28" s="27"/>
      <c r="AA28" s="27"/>
      <c r="AB28" s="27"/>
      <c r="AC28" s="27"/>
      <c r="AD28" s="27"/>
      <c r="AE28" s="27"/>
    </row>
  </sheetData>
  <mergeCells count="34">
    <mergeCell ref="AE9:AE11"/>
    <mergeCell ref="D10:H10"/>
    <mergeCell ref="I10:L10"/>
    <mergeCell ref="M10:P10"/>
    <mergeCell ref="Q10:U10"/>
    <mergeCell ref="A3:AC3"/>
    <mergeCell ref="A9:A11"/>
    <mergeCell ref="B9:B11"/>
    <mergeCell ref="C9:C11"/>
    <mergeCell ref="D9:AD9"/>
    <mergeCell ref="V10:Y10"/>
    <mergeCell ref="Z10:AD10"/>
    <mergeCell ref="C12:C13"/>
    <mergeCell ref="D12:D17"/>
    <mergeCell ref="E12:E17"/>
    <mergeCell ref="F12:F17"/>
    <mergeCell ref="H12:H17"/>
    <mergeCell ref="I12:I17"/>
    <mergeCell ref="J12:J17"/>
    <mergeCell ref="L12:L17"/>
    <mergeCell ref="AB12:AB17"/>
    <mergeCell ref="AC12:AC17"/>
    <mergeCell ref="AD12:AD17"/>
    <mergeCell ref="N12:N17"/>
    <mergeCell ref="P12:P17"/>
    <mergeCell ref="R12:R17"/>
    <mergeCell ref="T12:T17"/>
    <mergeCell ref="V12:V17"/>
    <mergeCell ref="W12:W17"/>
    <mergeCell ref="C14:C15"/>
    <mergeCell ref="C16:C17"/>
    <mergeCell ref="X12:X17"/>
    <mergeCell ref="Z12:Z17"/>
    <mergeCell ref="AA12:AA17"/>
  </mergeCells>
  <pageMargins left="0.7" right="0.7" top="0.75" bottom="0.75" header="0.3" footer="0.3"/>
  <pageSetup paperSize="9" scale="8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881B4-6BE1-49ED-92AE-473EF1726666}">
  <sheetPr>
    <tabColor theme="0"/>
    <pageSetUpPr fitToPage="1"/>
  </sheetPr>
  <dimension ref="A1:AE26"/>
  <sheetViews>
    <sheetView zoomScale="80" workbookViewId="0">
      <selection activeCell="F29" sqref="F29"/>
    </sheetView>
  </sheetViews>
  <sheetFormatPr defaultRowHeight="15" x14ac:dyDescent="0.25"/>
  <cols>
    <col min="1" max="1" width="4.85546875" customWidth="1"/>
    <col min="2" max="2" width="52.28515625" customWidth="1"/>
    <col min="3" max="3" width="5.140625" customWidth="1"/>
    <col min="4" max="4" width="3.28515625" customWidth="1"/>
    <col min="5" max="5" width="2.85546875" customWidth="1"/>
    <col min="6" max="6" width="3.42578125" customWidth="1"/>
    <col min="7" max="7" width="3" customWidth="1"/>
    <col min="8" max="8" width="3.42578125" customWidth="1"/>
    <col min="9" max="9" width="3.140625" customWidth="1"/>
    <col min="10" max="10" width="2.85546875" customWidth="1"/>
    <col min="11" max="11" width="3.42578125" customWidth="1"/>
    <col min="12" max="12" width="3.140625" customWidth="1"/>
    <col min="13" max="13" width="3.42578125" customWidth="1"/>
    <col min="14" max="14" width="2.85546875" customWidth="1"/>
    <col min="15" max="15" width="3.42578125" customWidth="1"/>
    <col min="16" max="16" width="3.140625" customWidth="1"/>
    <col min="17" max="18" width="2.85546875" customWidth="1"/>
    <col min="19" max="19" width="3.42578125" customWidth="1"/>
    <col min="20" max="20" width="3" customWidth="1"/>
    <col min="21" max="21" width="3.42578125" customWidth="1"/>
    <col min="22" max="22" width="3.140625" customWidth="1"/>
    <col min="23" max="23" width="3.42578125" customWidth="1"/>
    <col min="24" max="24" width="3.140625" customWidth="1"/>
    <col min="25" max="25" width="2.7109375" customWidth="1"/>
    <col min="26" max="26" width="3.42578125" customWidth="1"/>
    <col min="27" max="27" width="3.5703125" customWidth="1"/>
    <col min="28" max="28" width="3.42578125" customWidth="1"/>
    <col min="29" max="29" width="3.28515625" customWidth="1"/>
    <col min="30" max="30" width="3.7109375" customWidth="1"/>
  </cols>
  <sheetData>
    <row r="1" spans="1:31" x14ac:dyDescent="0.25">
      <c r="A1" s="897" t="s">
        <v>113</v>
      </c>
      <c r="B1" s="897"/>
      <c r="C1" s="897"/>
      <c r="D1" s="897"/>
      <c r="E1" s="897"/>
      <c r="F1" s="897"/>
      <c r="G1" s="897"/>
      <c r="H1" s="897"/>
      <c r="I1" s="897"/>
      <c r="J1" s="897"/>
      <c r="K1" s="897"/>
      <c r="L1" s="897"/>
      <c r="M1" s="897"/>
      <c r="N1" s="897"/>
      <c r="O1" s="897"/>
      <c r="P1" s="897"/>
      <c r="Q1" s="897"/>
      <c r="R1" s="897"/>
      <c r="S1" s="897"/>
      <c r="T1" s="897"/>
      <c r="U1" s="897"/>
      <c r="V1" s="897"/>
      <c r="W1" s="897"/>
      <c r="X1" s="897"/>
      <c r="Y1" s="897"/>
      <c r="Z1" s="897"/>
      <c r="AA1" s="897"/>
      <c r="AB1" s="897"/>
      <c r="AC1" s="839" t="s">
        <v>1628</v>
      </c>
      <c r="AD1" s="839"/>
      <c r="AE1" s="839"/>
    </row>
    <row r="2" spans="1:31" x14ac:dyDescent="0.25">
      <c r="A2" s="27"/>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1392" t="s">
        <v>1616</v>
      </c>
      <c r="AD2" s="1392"/>
      <c r="AE2" s="1392"/>
    </row>
    <row r="3" spans="1:31" x14ac:dyDescent="0.25">
      <c r="A3" s="146"/>
      <c r="B3" s="146"/>
      <c r="C3" s="146"/>
      <c r="D3" s="146"/>
      <c r="E3" s="146"/>
      <c r="F3" s="146"/>
      <c r="G3" s="146"/>
      <c r="H3" s="146"/>
      <c r="I3" s="146"/>
      <c r="J3" s="146"/>
      <c r="K3" s="146"/>
      <c r="L3" s="146"/>
      <c r="M3" s="146"/>
      <c r="N3" s="146"/>
      <c r="O3" s="146"/>
      <c r="P3" s="146"/>
      <c r="Q3" s="146"/>
      <c r="R3" s="146"/>
      <c r="S3" s="146"/>
      <c r="T3" s="146"/>
      <c r="U3" s="146"/>
      <c r="V3" s="146"/>
      <c r="W3" s="146"/>
      <c r="X3" s="146"/>
      <c r="Y3" s="146"/>
      <c r="Z3" s="146"/>
      <c r="AA3" s="146"/>
      <c r="AB3" s="146"/>
      <c r="AC3" s="146"/>
      <c r="AD3" s="27"/>
      <c r="AE3" s="27"/>
    </row>
    <row r="4" spans="1:31" x14ac:dyDescent="0.25">
      <c r="A4" s="146" t="s">
        <v>38</v>
      </c>
      <c r="B4" s="146"/>
      <c r="C4" s="146" t="s">
        <v>701</v>
      </c>
      <c r="D4" s="146"/>
      <c r="E4" s="146"/>
      <c r="F4" s="146"/>
      <c r="G4" s="146"/>
      <c r="H4" s="146"/>
      <c r="I4" s="146"/>
      <c r="J4" s="146"/>
      <c r="K4" s="146"/>
      <c r="L4" s="146"/>
      <c r="M4" s="37"/>
      <c r="N4" s="37" t="s">
        <v>594</v>
      </c>
      <c r="O4" s="146"/>
      <c r="P4" s="146"/>
      <c r="Q4" s="146"/>
      <c r="R4" s="146"/>
      <c r="S4" s="146"/>
      <c r="T4" s="37" t="s">
        <v>703</v>
      </c>
      <c r="U4" s="146"/>
      <c r="V4" s="146"/>
      <c r="W4" s="146"/>
      <c r="X4" s="146"/>
      <c r="Y4" s="146"/>
      <c r="Z4" s="146"/>
      <c r="AA4" s="146"/>
      <c r="AB4" s="146"/>
      <c r="AC4" s="146"/>
      <c r="AD4" s="27"/>
      <c r="AE4" s="27"/>
    </row>
    <row r="5" spans="1:31" x14ac:dyDescent="0.25">
      <c r="A5" s="146" t="s">
        <v>150</v>
      </c>
      <c r="B5" s="146"/>
      <c r="C5" s="146" t="s">
        <v>1161</v>
      </c>
      <c r="D5" s="146"/>
      <c r="E5" s="146"/>
      <c r="F5" s="146"/>
      <c r="G5" s="146"/>
      <c r="H5" s="146"/>
      <c r="I5" s="146"/>
      <c r="J5" s="146"/>
      <c r="K5" s="146"/>
      <c r="L5" s="146"/>
      <c r="M5" s="146"/>
      <c r="N5" s="37" t="s">
        <v>595</v>
      </c>
      <c r="O5" s="146"/>
      <c r="P5" s="146"/>
      <c r="Q5" s="146"/>
      <c r="R5" s="146"/>
      <c r="S5" s="146"/>
      <c r="T5" s="146" t="s">
        <v>704</v>
      </c>
      <c r="U5" s="146"/>
      <c r="V5" s="146"/>
      <c r="W5" s="146"/>
      <c r="X5" s="146"/>
      <c r="Y5" s="146"/>
      <c r="Z5" s="146"/>
      <c r="AA5" s="146"/>
      <c r="AB5" s="146"/>
      <c r="AC5" s="146" t="s">
        <v>36</v>
      </c>
      <c r="AD5" s="27"/>
      <c r="AE5" s="27"/>
    </row>
    <row r="6" spans="1:31" x14ac:dyDescent="0.25">
      <c r="A6" s="146" t="s">
        <v>597</v>
      </c>
      <c r="B6" s="146"/>
      <c r="C6" s="37" t="s">
        <v>702</v>
      </c>
      <c r="D6" s="146"/>
      <c r="E6" s="146"/>
      <c r="F6" s="146"/>
      <c r="G6" s="146"/>
      <c r="H6" s="146"/>
      <c r="I6" s="146"/>
      <c r="J6" s="146"/>
      <c r="K6" s="146"/>
      <c r="L6" s="146"/>
      <c r="M6" s="146"/>
      <c r="N6" s="146" t="s">
        <v>40</v>
      </c>
      <c r="O6" s="146"/>
      <c r="P6" s="146"/>
      <c r="Q6" s="146"/>
      <c r="R6" s="146"/>
      <c r="S6" s="146"/>
      <c r="T6" s="146" t="s">
        <v>966</v>
      </c>
      <c r="U6" s="146"/>
      <c r="V6" s="146"/>
      <c r="W6" s="146"/>
      <c r="X6" s="146"/>
      <c r="Y6" s="146"/>
      <c r="Z6" s="146"/>
      <c r="AA6" s="146"/>
      <c r="AB6" s="146"/>
      <c r="AC6" s="146"/>
      <c r="AD6" s="27"/>
      <c r="AE6" s="27"/>
    </row>
    <row r="7" spans="1:31" x14ac:dyDescent="0.25">
      <c r="A7" s="146"/>
      <c r="B7" s="471"/>
      <c r="C7" s="146"/>
      <c r="D7" s="146"/>
      <c r="E7" s="146"/>
      <c r="F7" s="146"/>
      <c r="G7" s="146"/>
      <c r="H7" s="146"/>
      <c r="I7" s="146"/>
      <c r="J7" s="146"/>
      <c r="K7" s="146"/>
      <c r="L7" s="146"/>
      <c r="M7" s="146"/>
      <c r="N7" s="146"/>
      <c r="O7" s="146"/>
      <c r="P7" s="146"/>
      <c r="Q7" s="146"/>
      <c r="R7" s="146"/>
      <c r="S7" s="146"/>
      <c r="T7" s="146"/>
      <c r="U7" s="146"/>
      <c r="V7" s="146"/>
      <c r="W7" s="146"/>
      <c r="X7" s="146"/>
      <c r="Y7" s="146"/>
      <c r="Z7" s="146"/>
      <c r="AA7" s="146"/>
      <c r="AB7" s="146"/>
      <c r="AC7" s="146"/>
      <c r="AD7" s="27"/>
      <c r="AE7" s="27"/>
    </row>
    <row r="8" spans="1:31" x14ac:dyDescent="0.25">
      <c r="A8" s="898" t="s">
        <v>4</v>
      </c>
      <c r="B8" s="900" t="s">
        <v>616</v>
      </c>
      <c r="C8" s="900" t="s">
        <v>114</v>
      </c>
      <c r="D8" s="881" t="s">
        <v>106</v>
      </c>
      <c r="E8" s="881"/>
      <c r="F8" s="881"/>
      <c r="G8" s="881"/>
      <c r="H8" s="881"/>
      <c r="I8" s="881"/>
      <c r="J8" s="881"/>
      <c r="K8" s="881"/>
      <c r="L8" s="881"/>
      <c r="M8" s="881"/>
      <c r="N8" s="881"/>
      <c r="O8" s="881"/>
      <c r="P8" s="881"/>
      <c r="Q8" s="881"/>
      <c r="R8" s="881"/>
      <c r="S8" s="881"/>
      <c r="T8" s="881"/>
      <c r="U8" s="881"/>
      <c r="V8" s="881"/>
      <c r="W8" s="881"/>
      <c r="X8" s="881"/>
      <c r="Y8" s="881"/>
      <c r="Z8" s="881"/>
      <c r="AA8" s="881"/>
      <c r="AB8" s="881"/>
      <c r="AC8" s="900" t="s">
        <v>293</v>
      </c>
      <c r="AD8" s="900"/>
      <c r="AE8" s="900"/>
    </row>
    <row r="9" spans="1:31" x14ac:dyDescent="0.25">
      <c r="A9" s="898"/>
      <c r="B9" s="900"/>
      <c r="C9" s="900"/>
      <c r="D9" s="901" t="s">
        <v>139</v>
      </c>
      <c r="E9" s="902"/>
      <c r="F9" s="902"/>
      <c r="G9" s="902"/>
      <c r="H9" s="903" t="s">
        <v>140</v>
      </c>
      <c r="I9" s="904"/>
      <c r="J9" s="904"/>
      <c r="K9" s="904"/>
      <c r="L9" s="916" t="s">
        <v>141</v>
      </c>
      <c r="M9" s="916"/>
      <c r="N9" s="916"/>
      <c r="O9" s="916"/>
      <c r="P9" s="926" t="s">
        <v>142</v>
      </c>
      <c r="Q9" s="927"/>
      <c r="R9" s="927"/>
      <c r="S9" s="927"/>
      <c r="T9" s="928"/>
      <c r="U9" s="929" t="s">
        <v>143</v>
      </c>
      <c r="V9" s="930"/>
      <c r="W9" s="930"/>
      <c r="X9" s="931"/>
      <c r="Y9" s="932" t="s">
        <v>144</v>
      </c>
      <c r="Z9" s="932"/>
      <c r="AA9" s="932"/>
      <c r="AB9" s="932"/>
      <c r="AC9" s="900"/>
      <c r="AD9" s="900"/>
      <c r="AE9" s="900"/>
    </row>
    <row r="10" spans="1:31" x14ac:dyDescent="0.25">
      <c r="A10" s="899"/>
      <c r="B10" s="900"/>
      <c r="C10" s="900"/>
      <c r="D10" s="651">
        <v>1</v>
      </c>
      <c r="E10" s="651">
        <v>2</v>
      </c>
      <c r="F10" s="651">
        <v>3</v>
      </c>
      <c r="G10" s="651">
        <v>4</v>
      </c>
      <c r="H10" s="561">
        <v>1</v>
      </c>
      <c r="I10" s="561">
        <v>2</v>
      </c>
      <c r="J10" s="561">
        <v>3</v>
      </c>
      <c r="K10" s="561">
        <v>4</v>
      </c>
      <c r="L10" s="577">
        <v>1</v>
      </c>
      <c r="M10" s="577">
        <v>2</v>
      </c>
      <c r="N10" s="576">
        <v>3</v>
      </c>
      <c r="O10" s="577">
        <v>4</v>
      </c>
      <c r="P10" s="578">
        <v>1</v>
      </c>
      <c r="Q10" s="578">
        <v>2</v>
      </c>
      <c r="R10" s="578">
        <v>3</v>
      </c>
      <c r="S10" s="578">
        <v>4</v>
      </c>
      <c r="T10" s="578">
        <v>5</v>
      </c>
      <c r="U10" s="579">
        <v>1</v>
      </c>
      <c r="V10" s="579">
        <v>2</v>
      </c>
      <c r="W10" s="579">
        <v>3</v>
      </c>
      <c r="X10" s="579">
        <v>4</v>
      </c>
      <c r="Y10" s="580">
        <v>1</v>
      </c>
      <c r="Z10" s="580">
        <v>2</v>
      </c>
      <c r="AA10" s="580">
        <v>3</v>
      </c>
      <c r="AB10" s="580">
        <v>4</v>
      </c>
      <c r="AC10" s="900"/>
      <c r="AD10" s="900"/>
      <c r="AE10" s="900"/>
    </row>
    <row r="11" spans="1:31" ht="30" x14ac:dyDescent="0.25">
      <c r="A11" s="297">
        <v>1</v>
      </c>
      <c r="B11" s="647" t="s">
        <v>1146</v>
      </c>
      <c r="C11" s="923">
        <v>40</v>
      </c>
      <c r="D11" s="648">
        <v>8</v>
      </c>
      <c r="E11" s="905" t="s">
        <v>1629</v>
      </c>
      <c r="F11" s="648">
        <v>8</v>
      </c>
      <c r="G11" s="905" t="s">
        <v>1629</v>
      </c>
      <c r="H11" s="648">
        <v>8</v>
      </c>
      <c r="I11" s="905" t="s">
        <v>1629</v>
      </c>
      <c r="J11" s="877" t="s">
        <v>1630</v>
      </c>
      <c r="K11" s="648">
        <v>8</v>
      </c>
      <c r="L11" s="910" t="s">
        <v>1629</v>
      </c>
      <c r="M11" s="649">
        <v>4</v>
      </c>
      <c r="N11" s="877" t="s">
        <v>1635</v>
      </c>
      <c r="O11" s="877" t="s">
        <v>1634</v>
      </c>
      <c r="P11" s="905" t="s">
        <v>1629</v>
      </c>
      <c r="Q11" s="877" t="s">
        <v>1631</v>
      </c>
      <c r="R11" s="877" t="s">
        <v>1632</v>
      </c>
      <c r="S11" s="296"/>
      <c r="T11" s="905" t="s">
        <v>1629</v>
      </c>
      <c r="U11" s="296"/>
      <c r="V11" s="905" t="s">
        <v>1629</v>
      </c>
      <c r="W11" s="650" t="s">
        <v>1229</v>
      </c>
      <c r="X11" s="905" t="s">
        <v>1629</v>
      </c>
      <c r="Y11" s="877" t="s">
        <v>1636</v>
      </c>
      <c r="Z11" s="877" t="s">
        <v>1633</v>
      </c>
      <c r="AA11" s="877" t="s">
        <v>1633</v>
      </c>
      <c r="AB11" s="656"/>
      <c r="AC11" s="933"/>
      <c r="AD11" s="933"/>
      <c r="AE11" s="933"/>
    </row>
    <row r="12" spans="1:31" x14ac:dyDescent="0.25">
      <c r="A12" s="297">
        <v>2</v>
      </c>
      <c r="B12" s="652" t="s">
        <v>1228</v>
      </c>
      <c r="C12" s="924"/>
      <c r="D12" s="296"/>
      <c r="E12" s="906"/>
      <c r="F12" s="296"/>
      <c r="G12" s="906"/>
      <c r="H12" s="296"/>
      <c r="I12" s="906"/>
      <c r="J12" s="878"/>
      <c r="K12" s="296"/>
      <c r="L12" s="911"/>
      <c r="M12" s="649">
        <v>4</v>
      </c>
      <c r="N12" s="908"/>
      <c r="O12" s="908"/>
      <c r="P12" s="906"/>
      <c r="Q12" s="878"/>
      <c r="R12" s="878"/>
      <c r="S12" s="296"/>
      <c r="T12" s="906"/>
      <c r="U12" s="296"/>
      <c r="V12" s="906"/>
      <c r="W12" s="650" t="s">
        <v>66</v>
      </c>
      <c r="X12" s="906"/>
      <c r="Y12" s="908"/>
      <c r="Z12" s="878"/>
      <c r="AA12" s="878"/>
      <c r="AB12" s="656"/>
      <c r="AC12" s="933"/>
      <c r="AD12" s="933"/>
      <c r="AE12" s="933"/>
    </row>
    <row r="13" spans="1:31" ht="45" x14ac:dyDescent="0.25">
      <c r="A13" s="297">
        <v>3</v>
      </c>
      <c r="B13" s="653" t="s">
        <v>1147</v>
      </c>
      <c r="C13" s="923">
        <v>32</v>
      </c>
      <c r="D13" s="296"/>
      <c r="E13" s="906"/>
      <c r="F13" s="296"/>
      <c r="G13" s="906"/>
      <c r="H13" s="296"/>
      <c r="I13" s="906"/>
      <c r="J13" s="878"/>
      <c r="K13" s="296"/>
      <c r="L13" s="911"/>
      <c r="M13" s="649" t="s">
        <v>1229</v>
      </c>
      <c r="N13" s="908"/>
      <c r="O13" s="908"/>
      <c r="P13" s="906"/>
      <c r="Q13" s="878"/>
      <c r="R13" s="878"/>
      <c r="S13" s="650">
        <v>8</v>
      </c>
      <c r="T13" s="906"/>
      <c r="U13" s="650">
        <v>8</v>
      </c>
      <c r="V13" s="906"/>
      <c r="W13" s="650">
        <v>4</v>
      </c>
      <c r="X13" s="906"/>
      <c r="Y13" s="908"/>
      <c r="Z13" s="878"/>
      <c r="AA13" s="878"/>
      <c r="AB13" s="650">
        <v>8</v>
      </c>
      <c r="AC13" s="933"/>
      <c r="AD13" s="933"/>
      <c r="AE13" s="933"/>
    </row>
    <row r="14" spans="1:31" x14ac:dyDescent="0.25">
      <c r="A14" s="297">
        <v>4</v>
      </c>
      <c r="B14" s="654" t="s">
        <v>1228</v>
      </c>
      <c r="C14" s="925"/>
      <c r="D14" s="296"/>
      <c r="E14" s="906"/>
      <c r="F14" s="296"/>
      <c r="G14" s="906"/>
      <c r="H14" s="296"/>
      <c r="I14" s="906"/>
      <c r="J14" s="878"/>
      <c r="K14" s="296"/>
      <c r="L14" s="911"/>
      <c r="M14" s="649" t="s">
        <v>66</v>
      </c>
      <c r="N14" s="908"/>
      <c r="O14" s="908"/>
      <c r="P14" s="906"/>
      <c r="Q14" s="878"/>
      <c r="R14" s="878"/>
      <c r="S14" s="296"/>
      <c r="T14" s="906"/>
      <c r="U14" s="296"/>
      <c r="V14" s="906"/>
      <c r="W14" s="650">
        <v>2</v>
      </c>
      <c r="X14" s="906"/>
      <c r="Y14" s="908"/>
      <c r="Z14" s="878"/>
      <c r="AA14" s="878"/>
      <c r="AB14" s="656"/>
      <c r="AC14" s="933"/>
      <c r="AD14" s="933"/>
      <c r="AE14" s="933"/>
    </row>
    <row r="15" spans="1:31" x14ac:dyDescent="0.25">
      <c r="A15" s="297">
        <v>5</v>
      </c>
      <c r="B15" s="655" t="s">
        <v>1056</v>
      </c>
      <c r="C15" s="925"/>
      <c r="D15" s="641"/>
      <c r="E15" s="907"/>
      <c r="F15" s="641"/>
      <c r="G15" s="907"/>
      <c r="H15" s="641"/>
      <c r="I15" s="907"/>
      <c r="J15" s="879"/>
      <c r="K15" s="646"/>
      <c r="L15" s="912"/>
      <c r="M15" s="649"/>
      <c r="N15" s="909"/>
      <c r="O15" s="909"/>
      <c r="P15" s="907"/>
      <c r="Q15" s="879"/>
      <c r="R15" s="879"/>
      <c r="S15" s="641"/>
      <c r="T15" s="907"/>
      <c r="U15" s="641"/>
      <c r="V15" s="907"/>
      <c r="W15" s="581">
        <v>2</v>
      </c>
      <c r="X15" s="907"/>
      <c r="Y15" s="909"/>
      <c r="Z15" s="879"/>
      <c r="AA15" s="879"/>
      <c r="AB15" s="656"/>
      <c r="AC15" s="933"/>
      <c r="AD15" s="933"/>
      <c r="AE15" s="933"/>
    </row>
    <row r="16" spans="1:31" x14ac:dyDescent="0.25">
      <c r="A16" s="548"/>
      <c r="B16" s="582" t="s">
        <v>28</v>
      </c>
      <c r="C16" s="583">
        <f t="shared" ref="C16" si="0">C11+C13</f>
        <v>72</v>
      </c>
      <c r="D16" s="297"/>
      <c r="E16" s="297"/>
      <c r="F16" s="297"/>
      <c r="G16" s="297"/>
      <c r="H16" s="297"/>
      <c r="I16" s="297"/>
      <c r="J16" s="297"/>
      <c r="K16" s="297"/>
      <c r="L16" s="297"/>
      <c r="M16" s="297"/>
      <c r="N16" s="297"/>
      <c r="O16" s="297"/>
      <c r="P16" s="297"/>
      <c r="Q16" s="297"/>
      <c r="R16" s="297"/>
      <c r="S16" s="297"/>
      <c r="T16" s="297"/>
      <c r="U16" s="297"/>
      <c r="V16" s="297"/>
      <c r="W16" s="297"/>
      <c r="X16" s="297"/>
      <c r="Y16" s="297"/>
      <c r="Z16" s="297"/>
      <c r="AA16" s="297"/>
      <c r="AB16" s="297"/>
      <c r="AC16" s="934"/>
      <c r="AD16" s="934"/>
      <c r="AE16" s="934"/>
    </row>
    <row r="18" spans="2:27" x14ac:dyDescent="0.25">
      <c r="B18" s="27"/>
      <c r="C18" s="28"/>
      <c r="D18" s="27"/>
      <c r="E18" s="27"/>
      <c r="F18" s="27"/>
      <c r="G18" s="27"/>
      <c r="H18" s="27"/>
      <c r="I18" s="27"/>
      <c r="J18" s="27"/>
      <c r="K18" s="27"/>
      <c r="L18" s="27"/>
      <c r="M18" s="27"/>
      <c r="N18" s="27"/>
      <c r="O18" s="27"/>
      <c r="P18" s="27"/>
      <c r="Q18" s="27"/>
      <c r="R18" s="27"/>
      <c r="S18" s="27"/>
      <c r="T18" s="27"/>
      <c r="U18" s="27"/>
      <c r="V18" s="27"/>
      <c r="W18" s="27"/>
      <c r="X18" s="27" t="s">
        <v>1145</v>
      </c>
      <c r="Y18" s="27"/>
      <c r="Z18" s="27"/>
      <c r="AA18" s="27"/>
    </row>
    <row r="19" spans="2:27" x14ac:dyDescent="0.25">
      <c r="B19" s="28" t="s">
        <v>33</v>
      </c>
      <c r="C19" s="27"/>
      <c r="D19" s="27"/>
      <c r="E19" s="27"/>
      <c r="F19" s="27"/>
      <c r="G19" s="27"/>
      <c r="H19" s="27"/>
      <c r="I19" s="27"/>
      <c r="J19" s="27"/>
      <c r="K19" s="27"/>
      <c r="L19" s="27"/>
      <c r="M19" s="27"/>
      <c r="N19" s="27"/>
      <c r="O19" s="27"/>
      <c r="P19" s="27"/>
      <c r="Q19" s="27"/>
      <c r="R19" s="27"/>
      <c r="S19" s="27"/>
      <c r="T19" s="27"/>
      <c r="U19" s="27"/>
      <c r="V19" s="27"/>
      <c r="W19" s="27"/>
      <c r="X19" s="27"/>
      <c r="Y19" s="27"/>
      <c r="Z19" s="27"/>
      <c r="AA19" s="27"/>
    </row>
    <row r="20" spans="2:27" x14ac:dyDescent="0.25">
      <c r="B20" s="28" t="s">
        <v>1624</v>
      </c>
      <c r="C20" s="28" t="s">
        <v>1625</v>
      </c>
      <c r="D20" s="28"/>
      <c r="E20" s="28"/>
      <c r="F20" s="27"/>
      <c r="G20" s="27"/>
      <c r="H20" s="27"/>
      <c r="I20" s="27"/>
      <c r="J20" s="27"/>
      <c r="K20" s="27"/>
      <c r="L20" s="27"/>
      <c r="M20" s="27"/>
      <c r="N20" s="28" t="s">
        <v>1623</v>
      </c>
      <c r="O20" s="28"/>
      <c r="P20" s="27"/>
      <c r="Q20" s="27"/>
      <c r="R20" s="27"/>
      <c r="S20" s="27"/>
      <c r="T20" s="27"/>
      <c r="U20" s="27"/>
      <c r="V20" s="27"/>
      <c r="W20" s="27"/>
      <c r="X20" s="27" t="s">
        <v>41</v>
      </c>
      <c r="Y20" s="27"/>
      <c r="Z20" s="27"/>
      <c r="AA20" s="27"/>
    </row>
    <row r="21" spans="2:27" x14ac:dyDescent="0.25">
      <c r="B21" s="28"/>
      <c r="C21" s="28"/>
      <c r="D21" s="28"/>
      <c r="E21" s="28"/>
      <c r="F21" s="27"/>
      <c r="G21" s="27"/>
      <c r="H21" s="27"/>
      <c r="I21" s="27"/>
      <c r="J21" s="27"/>
      <c r="K21" s="27"/>
      <c r="L21" s="27"/>
      <c r="M21" s="27"/>
      <c r="N21" s="28"/>
      <c r="O21" s="28"/>
      <c r="P21" s="27"/>
      <c r="Q21" s="27"/>
      <c r="R21" s="27"/>
      <c r="S21" s="27"/>
      <c r="T21" s="27"/>
      <c r="U21" s="27"/>
      <c r="V21" s="27"/>
      <c r="W21" s="27"/>
      <c r="X21" s="27"/>
      <c r="Y21" s="27"/>
      <c r="Z21" s="27"/>
      <c r="AA21" s="27"/>
    </row>
    <row r="22" spans="2:27" x14ac:dyDescent="0.25">
      <c r="B22" s="28"/>
      <c r="C22" s="28"/>
      <c r="D22" s="28"/>
      <c r="E22" s="28"/>
      <c r="F22" s="27"/>
      <c r="G22" s="27"/>
      <c r="H22" s="27"/>
      <c r="I22" s="27"/>
      <c r="J22" s="27"/>
      <c r="K22" s="27"/>
      <c r="L22" s="27"/>
      <c r="M22" s="27"/>
      <c r="N22" s="28"/>
      <c r="O22" s="28"/>
      <c r="P22" s="27"/>
      <c r="Q22" s="27"/>
      <c r="R22" s="27"/>
      <c r="S22" s="27"/>
      <c r="T22" s="27"/>
      <c r="U22" s="27"/>
      <c r="V22" s="27"/>
      <c r="W22" s="27"/>
      <c r="X22" s="27"/>
      <c r="Y22" s="27"/>
      <c r="Z22" s="27"/>
      <c r="AA22" s="27"/>
    </row>
    <row r="23" spans="2:27" x14ac:dyDescent="0.25">
      <c r="B23" s="28"/>
      <c r="C23" s="28"/>
      <c r="D23" s="28"/>
      <c r="E23" s="28"/>
      <c r="F23" s="27"/>
      <c r="G23" s="27"/>
      <c r="H23" s="27"/>
      <c r="I23" s="27"/>
      <c r="J23" s="27"/>
      <c r="K23" s="27"/>
      <c r="L23" s="27"/>
      <c r="M23" s="27"/>
      <c r="N23" s="28"/>
      <c r="O23" s="28"/>
      <c r="P23" s="27"/>
      <c r="Q23" s="27"/>
      <c r="R23" s="27"/>
      <c r="S23" s="27"/>
      <c r="T23" s="27"/>
      <c r="U23" s="27"/>
      <c r="V23" s="27"/>
      <c r="W23" s="27"/>
      <c r="X23" s="27"/>
      <c r="Y23" s="27"/>
      <c r="Z23" s="27"/>
      <c r="AA23" s="27"/>
    </row>
    <row r="24" spans="2:27" x14ac:dyDescent="0.25">
      <c r="B24" s="34"/>
      <c r="C24" s="34"/>
      <c r="D24" s="28"/>
      <c r="E24" s="27"/>
      <c r="F24" s="27"/>
      <c r="G24" s="27"/>
      <c r="H24" s="27"/>
      <c r="I24" s="27"/>
      <c r="J24" s="27"/>
      <c r="K24" s="27"/>
      <c r="L24" s="27"/>
      <c r="M24" s="27"/>
      <c r="N24" s="34"/>
      <c r="O24" s="28"/>
      <c r="P24" s="27"/>
      <c r="Q24" s="27"/>
      <c r="R24" s="27"/>
      <c r="S24" s="27"/>
      <c r="T24" s="27"/>
      <c r="U24" s="27"/>
      <c r="V24" s="27"/>
      <c r="W24" s="27"/>
      <c r="X24" s="27"/>
      <c r="Y24" s="27"/>
      <c r="Z24" s="27"/>
      <c r="AA24" s="27"/>
    </row>
    <row r="25" spans="2:27" x14ac:dyDescent="0.25">
      <c r="B25" s="34" t="s">
        <v>1156</v>
      </c>
      <c r="C25" s="34" t="s">
        <v>1044</v>
      </c>
      <c r="D25" s="28"/>
      <c r="E25" s="27"/>
      <c r="F25" s="27"/>
      <c r="G25" s="27"/>
      <c r="H25" s="27"/>
      <c r="I25" s="27"/>
      <c r="J25" s="27"/>
      <c r="K25" s="27"/>
      <c r="L25" s="27"/>
      <c r="M25" s="27"/>
      <c r="N25" s="34" t="s">
        <v>1622</v>
      </c>
      <c r="O25" s="27"/>
      <c r="P25" s="27"/>
      <c r="Q25" s="27"/>
      <c r="R25" s="27"/>
      <c r="S25" s="27"/>
      <c r="T25" s="27"/>
      <c r="U25" s="27"/>
      <c r="V25" s="27"/>
      <c r="W25" s="27"/>
      <c r="X25" s="34" t="s">
        <v>1154</v>
      </c>
      <c r="Y25" s="27"/>
      <c r="Z25" s="27"/>
      <c r="AA25" s="27"/>
    </row>
    <row r="26" spans="2:27" x14ac:dyDescent="0.25">
      <c r="B26" s="34" t="s">
        <v>1620</v>
      </c>
      <c r="C26" s="28" t="s">
        <v>1621</v>
      </c>
      <c r="D26" s="28"/>
      <c r="E26" s="27"/>
      <c r="F26" s="27"/>
      <c r="G26" s="27"/>
      <c r="H26" s="27"/>
      <c r="I26" s="27"/>
      <c r="J26" s="27"/>
      <c r="K26" s="27"/>
      <c r="L26" s="27"/>
      <c r="M26" s="27"/>
      <c r="N26" s="28" t="s">
        <v>1683</v>
      </c>
      <c r="O26" s="27"/>
      <c r="P26" s="27"/>
      <c r="Q26" s="27"/>
      <c r="R26" s="27"/>
      <c r="S26" s="27"/>
      <c r="T26" s="27"/>
      <c r="U26" s="27"/>
      <c r="V26" s="27"/>
      <c r="W26" s="27"/>
      <c r="X26" s="28" t="s">
        <v>1160</v>
      </c>
      <c r="Y26" s="27"/>
      <c r="Z26" s="27"/>
      <c r="AA26" s="27"/>
    </row>
  </sheetData>
  <mergeCells count="38">
    <mergeCell ref="C13:C15"/>
    <mergeCell ref="AC13:AE13"/>
    <mergeCell ref="AC14:AE14"/>
    <mergeCell ref="AC15:AE15"/>
    <mergeCell ref="AC16:AE16"/>
    <mergeCell ref="V11:V15"/>
    <mergeCell ref="X11:X15"/>
    <mergeCell ref="Y11:Y15"/>
    <mergeCell ref="Z11:Z15"/>
    <mergeCell ref="AA11:AA15"/>
    <mergeCell ref="AC11:AE11"/>
    <mergeCell ref="AC12:AE12"/>
    <mergeCell ref="N11:N15"/>
    <mergeCell ref="O11:O15"/>
    <mergeCell ref="P11:P15"/>
    <mergeCell ref="Q11:Q15"/>
    <mergeCell ref="R11:R15"/>
    <mergeCell ref="T11:T15"/>
    <mergeCell ref="L9:O9"/>
    <mergeCell ref="P9:T9"/>
    <mergeCell ref="U9:X9"/>
    <mergeCell ref="Y9:AB9"/>
    <mergeCell ref="C11:C12"/>
    <mergeCell ref="E11:E15"/>
    <mergeCell ref="G11:G15"/>
    <mergeCell ref="I11:I15"/>
    <mergeCell ref="J11:J15"/>
    <mergeCell ref="L11:L15"/>
    <mergeCell ref="A1:AB1"/>
    <mergeCell ref="AC1:AE1"/>
    <mergeCell ref="AC2:AE2"/>
    <mergeCell ref="A8:A10"/>
    <mergeCell ref="B8:B10"/>
    <mergeCell ref="C8:C10"/>
    <mergeCell ref="D8:AB8"/>
    <mergeCell ref="AC8:AE10"/>
    <mergeCell ref="D9:G9"/>
    <mergeCell ref="H9:K9"/>
  </mergeCells>
  <pageMargins left="0.7" right="0.7" top="0.75" bottom="0.75" header="0.3" footer="0.3"/>
  <pageSetup scale="77"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pageSetUpPr fitToPage="1"/>
  </sheetPr>
  <dimension ref="A1:N47"/>
  <sheetViews>
    <sheetView zoomScale="81" zoomScaleNormal="70" workbookViewId="0">
      <selection activeCell="B40" sqref="B40"/>
    </sheetView>
  </sheetViews>
  <sheetFormatPr defaultColWidth="9.140625" defaultRowHeight="15.75" x14ac:dyDescent="0.25"/>
  <cols>
    <col min="1" max="1" width="4.140625" style="25" customWidth="1"/>
    <col min="2" max="2" width="94.42578125" style="25" customWidth="1"/>
    <col min="3" max="3" width="14" style="25" customWidth="1"/>
    <col min="4" max="4" width="9.5703125" style="25" customWidth="1"/>
    <col min="5" max="6" width="12.140625" style="25" customWidth="1"/>
    <col min="7" max="7" width="5.85546875" style="25" customWidth="1"/>
    <col min="8" max="16384" width="9.140625" style="25"/>
  </cols>
  <sheetData>
    <row r="1" spans="1:14" x14ac:dyDescent="0.25">
      <c r="E1" s="866" t="s">
        <v>1628</v>
      </c>
      <c r="F1" s="867"/>
    </row>
    <row r="2" spans="1:14" x14ac:dyDescent="0.25">
      <c r="E2" s="868" t="s">
        <v>1616</v>
      </c>
      <c r="F2" s="869"/>
    </row>
    <row r="3" spans="1:14" x14ac:dyDescent="0.25">
      <c r="G3" s="201"/>
      <c r="I3" s="943"/>
      <c r="J3" s="943"/>
      <c r="K3" s="943"/>
      <c r="L3" s="943"/>
      <c r="M3" s="943"/>
      <c r="N3" s="943"/>
    </row>
    <row r="4" spans="1:14" ht="12" customHeight="1" x14ac:dyDescent="0.25"/>
    <row r="5" spans="1:14" ht="16.5" customHeight="1" x14ac:dyDescent="0.25">
      <c r="A5" s="938" t="s">
        <v>112</v>
      </c>
      <c r="B5" s="938"/>
      <c r="C5" s="938"/>
      <c r="D5" s="938"/>
      <c r="E5" s="938"/>
      <c r="F5" s="938"/>
      <c r="H5" s="26"/>
    </row>
    <row r="6" spans="1:14" x14ac:dyDescent="0.25">
      <c r="H6" s="26"/>
      <c r="I6" s="865"/>
      <c r="J6" s="865"/>
      <c r="K6" s="865"/>
      <c r="L6" s="865"/>
      <c r="M6" s="865"/>
      <c r="N6" s="865"/>
    </row>
    <row r="7" spans="1:14" x14ac:dyDescent="0.25">
      <c r="A7" s="28" t="s">
        <v>594</v>
      </c>
      <c r="B7" s="37"/>
      <c r="C7" s="28" t="s">
        <v>703</v>
      </c>
      <c r="H7" s="26"/>
      <c r="I7" s="944"/>
      <c r="J7" s="944"/>
      <c r="K7" s="944"/>
      <c r="L7" s="944"/>
      <c r="M7" s="944"/>
      <c r="N7" s="944"/>
    </row>
    <row r="8" spans="1:14" x14ac:dyDescent="0.25">
      <c r="A8" s="28" t="s">
        <v>597</v>
      </c>
      <c r="B8" s="37"/>
      <c r="C8" s="28" t="s">
        <v>702</v>
      </c>
      <c r="E8" s="26"/>
      <c r="G8" s="172"/>
      <c r="H8" s="26"/>
      <c r="I8" s="36"/>
      <c r="J8" s="36"/>
      <c r="K8" s="36"/>
      <c r="L8" s="36"/>
      <c r="M8" s="36"/>
      <c r="N8" s="36"/>
    </row>
    <row r="9" spans="1:14" x14ac:dyDescent="0.25">
      <c r="A9" s="28" t="s">
        <v>38</v>
      </c>
      <c r="B9" s="28"/>
      <c r="C9" s="28" t="s">
        <v>701</v>
      </c>
      <c r="E9" s="172"/>
      <c r="G9" s="172"/>
      <c r="H9" s="26"/>
      <c r="I9" s="865"/>
      <c r="J9" s="865"/>
      <c r="K9" s="865"/>
      <c r="L9" s="865"/>
      <c r="M9" s="865"/>
      <c r="N9" s="865"/>
    </row>
    <row r="10" spans="1:14" ht="12" customHeight="1" x14ac:dyDescent="0.25">
      <c r="A10" s="28" t="s">
        <v>39</v>
      </c>
      <c r="B10" s="37"/>
      <c r="C10" s="28" t="s">
        <v>866</v>
      </c>
      <c r="E10" s="172"/>
      <c r="G10" s="172"/>
      <c r="H10" s="26"/>
    </row>
    <row r="11" spans="1:14" ht="12" customHeight="1" x14ac:dyDescent="0.25">
      <c r="A11" s="28" t="s">
        <v>595</v>
      </c>
      <c r="B11" s="37"/>
      <c r="C11" s="27" t="s">
        <v>699</v>
      </c>
      <c r="E11" s="31"/>
      <c r="G11" s="26"/>
      <c r="H11" s="26"/>
    </row>
    <row r="12" spans="1:14" x14ac:dyDescent="0.25">
      <c r="A12" s="28" t="s">
        <v>104</v>
      </c>
      <c r="B12" s="37"/>
      <c r="C12" s="28" t="s">
        <v>1652</v>
      </c>
      <c r="I12" s="945"/>
      <c r="J12" s="945"/>
      <c r="K12" s="946"/>
      <c r="L12" s="946"/>
      <c r="M12" s="945"/>
      <c r="N12" s="945"/>
    </row>
    <row r="13" spans="1:14" x14ac:dyDescent="0.25">
      <c r="A13" s="28" t="s">
        <v>40</v>
      </c>
      <c r="B13" s="37"/>
      <c r="C13" s="28" t="s">
        <v>965</v>
      </c>
      <c r="I13" s="945"/>
      <c r="J13" s="945"/>
      <c r="K13" s="946"/>
      <c r="L13" s="946"/>
      <c r="M13" s="24"/>
      <c r="N13" s="24"/>
    </row>
    <row r="15" spans="1:14" x14ac:dyDescent="0.25">
      <c r="A15" s="851" t="s">
        <v>105</v>
      </c>
      <c r="B15" s="852" t="s">
        <v>616</v>
      </c>
      <c r="C15" s="940" t="s">
        <v>109</v>
      </c>
      <c r="D15" s="940" t="s">
        <v>6</v>
      </c>
      <c r="E15" s="903" t="s">
        <v>110</v>
      </c>
      <c r="F15" s="939"/>
    </row>
    <row r="16" spans="1:14" ht="29.25" thickBot="1" x14ac:dyDescent="0.3">
      <c r="A16" s="851"/>
      <c r="B16" s="942"/>
      <c r="C16" s="941"/>
      <c r="D16" s="941"/>
      <c r="E16" s="549" t="s">
        <v>111</v>
      </c>
      <c r="F16" s="549" t="s">
        <v>46</v>
      </c>
    </row>
    <row r="17" spans="1:8" ht="16.5" thickTop="1" x14ac:dyDescent="0.25">
      <c r="A17" s="677">
        <v>1</v>
      </c>
      <c r="B17" s="164" t="s">
        <v>706</v>
      </c>
      <c r="C17" s="337" t="s">
        <v>721</v>
      </c>
      <c r="D17" s="49">
        <v>20</v>
      </c>
      <c r="E17" s="838">
        <v>24</v>
      </c>
      <c r="F17" s="156"/>
    </row>
    <row r="18" spans="1:8" x14ac:dyDescent="0.25">
      <c r="A18" s="294">
        <v>2</v>
      </c>
      <c r="B18" s="678" t="s">
        <v>849</v>
      </c>
      <c r="C18" s="678" t="s">
        <v>1653</v>
      </c>
      <c r="D18" s="679">
        <v>4</v>
      </c>
      <c r="E18" s="847"/>
      <c r="F18" s="294"/>
    </row>
    <row r="19" spans="1:8" x14ac:dyDescent="0.25">
      <c r="A19" s="294">
        <v>3</v>
      </c>
      <c r="B19" s="680" t="s">
        <v>707</v>
      </c>
      <c r="C19" s="476" t="s">
        <v>1654</v>
      </c>
      <c r="D19" s="294">
        <v>20</v>
      </c>
      <c r="E19" s="947">
        <v>24</v>
      </c>
      <c r="F19" s="294"/>
    </row>
    <row r="20" spans="1:8" x14ac:dyDescent="0.25">
      <c r="A20" s="294">
        <v>4</v>
      </c>
      <c r="B20" s="476" t="s">
        <v>1655</v>
      </c>
      <c r="C20" s="476" t="s">
        <v>1653</v>
      </c>
      <c r="D20" s="294">
        <v>4</v>
      </c>
      <c r="E20" s="948"/>
      <c r="F20" s="294"/>
      <c r="G20" s="28"/>
    </row>
    <row r="21" spans="1:8" x14ac:dyDescent="0.25">
      <c r="A21" s="294">
        <v>5</v>
      </c>
      <c r="B21" s="164" t="s">
        <v>708</v>
      </c>
      <c r="C21" s="21" t="s">
        <v>723</v>
      </c>
      <c r="D21" s="644">
        <v>14</v>
      </c>
      <c r="E21" s="845">
        <v>16</v>
      </c>
      <c r="F21" s="294"/>
      <c r="G21" s="28"/>
    </row>
    <row r="22" spans="1:8" x14ac:dyDescent="0.25">
      <c r="A22" s="197">
        <v>6</v>
      </c>
      <c r="B22" s="178" t="s">
        <v>850</v>
      </c>
      <c r="C22" s="476" t="s">
        <v>1656</v>
      </c>
      <c r="D22" s="681">
        <v>2</v>
      </c>
      <c r="E22" s="847"/>
      <c r="F22" s="162"/>
      <c r="G22" s="28"/>
      <c r="H22" s="28"/>
    </row>
    <row r="23" spans="1:8" ht="15.6" customHeight="1" x14ac:dyDescent="0.25">
      <c r="A23" s="49">
        <v>7</v>
      </c>
      <c r="B23" s="682" t="s">
        <v>1657</v>
      </c>
      <c r="C23" s="643" t="s">
        <v>723</v>
      </c>
      <c r="D23" s="683">
        <v>36</v>
      </c>
      <c r="E23" s="839">
        <v>40</v>
      </c>
      <c r="F23" s="29"/>
      <c r="G23" s="28"/>
      <c r="H23" s="28"/>
    </row>
    <row r="24" spans="1:8" x14ac:dyDescent="0.25">
      <c r="A24" s="642">
        <v>8</v>
      </c>
      <c r="B24" s="178" t="s">
        <v>1658</v>
      </c>
      <c r="C24" s="21" t="s">
        <v>1659</v>
      </c>
      <c r="D24" s="49">
        <v>4</v>
      </c>
      <c r="E24" s="839"/>
      <c r="F24" s="29"/>
      <c r="G24" s="28"/>
      <c r="H24" s="28"/>
    </row>
    <row r="25" spans="1:8" ht="15.6" customHeight="1" x14ac:dyDescent="0.25">
      <c r="A25" s="49">
        <v>11</v>
      </c>
      <c r="B25" s="684" t="s">
        <v>709</v>
      </c>
      <c r="C25" s="21" t="s">
        <v>725</v>
      </c>
      <c r="D25" s="49">
        <v>28</v>
      </c>
      <c r="E25" s="846">
        <v>30</v>
      </c>
      <c r="F25" s="685"/>
      <c r="G25" s="28"/>
      <c r="H25" s="28"/>
    </row>
    <row r="26" spans="1:8" x14ac:dyDescent="0.25">
      <c r="A26" s="346">
        <v>12</v>
      </c>
      <c r="B26" s="686" t="s">
        <v>1660</v>
      </c>
      <c r="C26" s="687" t="s">
        <v>1661</v>
      </c>
      <c r="D26" s="294">
        <v>2</v>
      </c>
      <c r="E26" s="847"/>
      <c r="F26" s="178"/>
      <c r="G26" s="28"/>
      <c r="H26" s="28"/>
    </row>
    <row r="27" spans="1:8" x14ac:dyDescent="0.25">
      <c r="A27" s="294">
        <v>16</v>
      </c>
      <c r="B27" s="476" t="s">
        <v>1663</v>
      </c>
      <c r="C27" s="476" t="s">
        <v>1662</v>
      </c>
      <c r="D27" s="294">
        <v>2</v>
      </c>
      <c r="E27" s="154">
        <v>2</v>
      </c>
      <c r="F27" s="294"/>
      <c r="G27" s="28"/>
      <c r="H27" s="28"/>
    </row>
    <row r="28" spans="1:8" x14ac:dyDescent="0.25">
      <c r="A28" s="935" t="s">
        <v>28</v>
      </c>
      <c r="B28" s="936"/>
      <c r="C28" s="937"/>
      <c r="D28" s="571">
        <f>SUM(D17:D27)</f>
        <v>136</v>
      </c>
      <c r="E28" s="571">
        <f>SUM(E17:E27)</f>
        <v>136</v>
      </c>
      <c r="F28" s="572"/>
      <c r="H28" s="28"/>
    </row>
    <row r="29" spans="1:8" x14ac:dyDescent="0.25">
      <c r="H29" s="28"/>
    </row>
    <row r="31" spans="1:8" x14ac:dyDescent="0.25">
      <c r="B31" s="28"/>
      <c r="C31" s="28"/>
      <c r="D31" s="28" t="s">
        <v>1144</v>
      </c>
      <c r="E31" s="28"/>
      <c r="F31" s="28"/>
    </row>
    <row r="32" spans="1:8" x14ac:dyDescent="0.25">
      <c r="B32" s="28"/>
      <c r="C32" s="28"/>
      <c r="D32" s="28"/>
      <c r="E32" s="28"/>
      <c r="F32" s="28"/>
    </row>
    <row r="33" spans="2:6" x14ac:dyDescent="0.25">
      <c r="B33" s="28" t="s">
        <v>1623</v>
      </c>
      <c r="C33" s="28"/>
      <c r="D33" s="28" t="s">
        <v>41</v>
      </c>
      <c r="E33" s="28"/>
      <c r="F33" s="28"/>
    </row>
    <row r="34" spans="2:6" x14ac:dyDescent="0.25">
      <c r="B34" s="28"/>
      <c r="C34" s="28"/>
      <c r="D34" s="28"/>
      <c r="E34" s="28"/>
      <c r="F34" s="28"/>
    </row>
    <row r="35" spans="2:6" x14ac:dyDescent="0.25">
      <c r="B35" s="28"/>
      <c r="C35" s="28"/>
      <c r="D35" s="28"/>
      <c r="E35" s="28"/>
      <c r="F35" s="28"/>
    </row>
    <row r="36" spans="2:6" x14ac:dyDescent="0.25">
      <c r="B36" s="28"/>
      <c r="C36" s="28"/>
      <c r="D36" s="28"/>
      <c r="E36" s="28"/>
      <c r="F36" s="28"/>
    </row>
    <row r="37" spans="2:6" x14ac:dyDescent="0.25">
      <c r="B37" s="34" t="s">
        <v>1622</v>
      </c>
      <c r="C37" s="28"/>
      <c r="D37" s="34" t="s">
        <v>1154</v>
      </c>
      <c r="E37" s="28"/>
      <c r="F37" s="34"/>
    </row>
    <row r="38" spans="2:6" x14ac:dyDescent="0.25">
      <c r="B38" s="28" t="s">
        <v>1683</v>
      </c>
      <c r="C38" s="28"/>
      <c r="D38" s="28" t="s">
        <v>1155</v>
      </c>
      <c r="E38" s="28"/>
      <c r="F38" s="28"/>
    </row>
    <row r="39" spans="2:6" x14ac:dyDescent="0.25">
      <c r="B39" s="28"/>
      <c r="C39" s="28"/>
      <c r="D39" s="37"/>
      <c r="E39" s="28"/>
      <c r="F39" s="37"/>
    </row>
    <row r="40" spans="2:6" x14ac:dyDescent="0.25">
      <c r="B40" s="142" t="s">
        <v>33</v>
      </c>
      <c r="D40" s="37"/>
      <c r="E40" s="28"/>
      <c r="F40" s="37"/>
    </row>
    <row r="41" spans="2:6" x14ac:dyDescent="0.25">
      <c r="B41" s="28" t="s">
        <v>1624</v>
      </c>
      <c r="C41" s="28"/>
      <c r="D41" s="28" t="s">
        <v>1625</v>
      </c>
      <c r="E41" s="28"/>
      <c r="F41" s="28"/>
    </row>
    <row r="42" spans="2:6" x14ac:dyDescent="0.25">
      <c r="B42" s="28"/>
      <c r="C42" s="28"/>
      <c r="D42" s="28"/>
      <c r="E42" s="28"/>
      <c r="F42" s="28"/>
    </row>
    <row r="43" spans="2:6" x14ac:dyDescent="0.25">
      <c r="B43" s="28"/>
      <c r="C43" s="28"/>
      <c r="D43" s="28"/>
      <c r="E43" s="28"/>
      <c r="F43" s="28"/>
    </row>
    <row r="44" spans="2:6" x14ac:dyDescent="0.25">
      <c r="B44" s="28"/>
      <c r="C44" s="28"/>
      <c r="D44" s="28"/>
      <c r="E44" s="28"/>
      <c r="F44" s="28"/>
    </row>
    <row r="45" spans="2:6" x14ac:dyDescent="0.25">
      <c r="B45" s="34" t="s">
        <v>1156</v>
      </c>
      <c r="C45" s="28"/>
      <c r="D45" s="34" t="s">
        <v>1044</v>
      </c>
      <c r="E45" s="28"/>
      <c r="F45" s="34"/>
    </row>
    <row r="46" spans="2:6" x14ac:dyDescent="0.25">
      <c r="B46" s="34" t="s">
        <v>1620</v>
      </c>
      <c r="C46" s="28"/>
      <c r="D46" s="28" t="s">
        <v>1621</v>
      </c>
      <c r="E46" s="28"/>
      <c r="F46" s="28"/>
    </row>
    <row r="47" spans="2:6" x14ac:dyDescent="0.25">
      <c r="B47" s="28"/>
      <c r="C47" s="28"/>
      <c r="D47" s="34"/>
      <c r="E47" s="28"/>
    </row>
  </sheetData>
  <mergeCells count="23">
    <mergeCell ref="E1:F1"/>
    <mergeCell ref="E2:F2"/>
    <mergeCell ref="I3:N3"/>
    <mergeCell ref="I6:N6"/>
    <mergeCell ref="I7:N7"/>
    <mergeCell ref="I9:N9"/>
    <mergeCell ref="I12:I13"/>
    <mergeCell ref="J12:J13"/>
    <mergeCell ref="K12:K13"/>
    <mergeCell ref="L12:L13"/>
    <mergeCell ref="M12:N12"/>
    <mergeCell ref="A28:C28"/>
    <mergeCell ref="A5:F5"/>
    <mergeCell ref="E15:F15"/>
    <mergeCell ref="D15:D16"/>
    <mergeCell ref="C15:C16"/>
    <mergeCell ref="B15:B16"/>
    <mergeCell ref="A15:A16"/>
    <mergeCell ref="E25:E26"/>
    <mergeCell ref="E23:E24"/>
    <mergeCell ref="E17:E18"/>
    <mergeCell ref="E19:E20"/>
    <mergeCell ref="E21:E22"/>
  </mergeCells>
  <phoneticPr fontId="86" type="noConversion"/>
  <printOptions horizontalCentered="1"/>
  <pageMargins left="0.98425196850393704" right="0.31496062992125984" top="0.39370078740157483" bottom="0.39370078740157483" header="0.31496062992125984" footer="0.31496062992125984"/>
  <pageSetup paperSize="9" scale="73"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D1E661-EA25-4AAD-B76C-14F620A25303}">
  <sheetPr>
    <tabColor theme="0"/>
    <pageSetUpPr fitToPage="1"/>
  </sheetPr>
  <dimension ref="B1:H38"/>
  <sheetViews>
    <sheetView topLeftCell="A9" workbookViewId="0">
      <selection activeCell="B29" sqref="B29:B30"/>
    </sheetView>
  </sheetViews>
  <sheetFormatPr defaultRowHeight="15" x14ac:dyDescent="0.25"/>
  <cols>
    <col min="2" max="2" width="7.5703125" customWidth="1"/>
    <col min="3" max="3" width="11.85546875" customWidth="1"/>
    <col min="4" max="4" width="11.5703125" customWidth="1"/>
    <col min="6" max="6" width="24.7109375" customWidth="1"/>
    <col min="8" max="8" width="36.140625" customWidth="1"/>
  </cols>
  <sheetData>
    <row r="1" spans="2:8" ht="15.75" x14ac:dyDescent="0.25">
      <c r="B1" s="25"/>
      <c r="C1" s="25"/>
      <c r="D1" s="25"/>
      <c r="E1" s="25"/>
      <c r="F1" s="25"/>
      <c r="H1" s="234" t="s">
        <v>1628</v>
      </c>
    </row>
    <row r="2" spans="2:8" ht="15.75" x14ac:dyDescent="0.25">
      <c r="B2" s="25"/>
      <c r="C2" s="25"/>
      <c r="D2" s="25"/>
      <c r="E2" s="25"/>
      <c r="F2" s="25"/>
      <c r="H2" s="640" t="s">
        <v>1616</v>
      </c>
    </row>
    <row r="3" spans="2:8" ht="18.75" x14ac:dyDescent="0.25">
      <c r="B3" s="938" t="s">
        <v>623</v>
      </c>
      <c r="C3" s="938"/>
      <c r="D3" s="938"/>
      <c r="E3" s="938"/>
      <c r="F3" s="938"/>
      <c r="G3" s="938"/>
      <c r="H3" s="938"/>
    </row>
    <row r="4" spans="2:8" ht="15.75" x14ac:dyDescent="0.25">
      <c r="B4" s="25"/>
      <c r="C4" s="25"/>
      <c r="D4" s="25"/>
      <c r="E4" s="25"/>
      <c r="F4" s="25"/>
      <c r="G4" s="25"/>
      <c r="H4" s="201"/>
    </row>
    <row r="5" spans="2:8" ht="15.75" x14ac:dyDescent="0.25">
      <c r="B5" s="28" t="s">
        <v>594</v>
      </c>
      <c r="C5" s="37"/>
      <c r="D5" s="28" t="s">
        <v>703</v>
      </c>
      <c r="E5" s="25"/>
      <c r="F5" s="25"/>
      <c r="G5" s="25"/>
      <c r="H5" s="201"/>
    </row>
    <row r="6" spans="2:8" ht="15.75" x14ac:dyDescent="0.25">
      <c r="B6" s="28" t="s">
        <v>597</v>
      </c>
      <c r="C6" s="37"/>
      <c r="D6" s="28" t="s">
        <v>702</v>
      </c>
      <c r="E6" s="25"/>
      <c r="F6" s="26"/>
      <c r="G6" s="26"/>
      <c r="H6" s="25"/>
    </row>
    <row r="7" spans="2:8" ht="15.75" x14ac:dyDescent="0.25">
      <c r="B7" s="28" t="s">
        <v>38</v>
      </c>
      <c r="C7" s="28"/>
      <c r="D7" s="28" t="s">
        <v>701</v>
      </c>
      <c r="E7" s="25"/>
      <c r="F7" s="172"/>
      <c r="G7" s="172"/>
      <c r="H7" s="25"/>
    </row>
    <row r="8" spans="2:8" ht="15.75" x14ac:dyDescent="0.25">
      <c r="B8" s="28" t="s">
        <v>39</v>
      </c>
      <c r="C8" s="37"/>
      <c r="D8" s="28" t="s">
        <v>866</v>
      </c>
      <c r="E8" s="25"/>
      <c r="F8" s="172"/>
      <c r="G8" s="172"/>
      <c r="H8" s="25"/>
    </row>
    <row r="9" spans="2:8" ht="15.75" x14ac:dyDescent="0.25">
      <c r="B9" s="28" t="s">
        <v>595</v>
      </c>
      <c r="C9" s="37"/>
      <c r="D9" s="27" t="s">
        <v>699</v>
      </c>
      <c r="E9" s="25"/>
      <c r="F9" s="31"/>
      <c r="G9" s="31"/>
      <c r="H9" s="25"/>
    </row>
    <row r="10" spans="2:8" ht="15.75" x14ac:dyDescent="0.25">
      <c r="B10" s="28" t="s">
        <v>104</v>
      </c>
      <c r="C10" s="37"/>
      <c r="D10" s="28" t="s">
        <v>1062</v>
      </c>
      <c r="E10" s="25"/>
      <c r="F10" s="25"/>
      <c r="G10" s="25"/>
      <c r="H10" s="172"/>
    </row>
    <row r="11" spans="2:8" x14ac:dyDescent="0.25">
      <c r="B11" s="28" t="s">
        <v>40</v>
      </c>
      <c r="C11" s="37"/>
      <c r="D11" s="28" t="s">
        <v>965</v>
      </c>
    </row>
    <row r="12" spans="2:8" x14ac:dyDescent="0.25">
      <c r="B12" s="28"/>
      <c r="C12" s="37"/>
      <c r="D12" s="28"/>
    </row>
    <row r="13" spans="2:8" ht="15.75" x14ac:dyDescent="0.25">
      <c r="B13" s="292" t="s">
        <v>0</v>
      </c>
      <c r="C13" s="949" t="s">
        <v>624</v>
      </c>
      <c r="D13" s="949"/>
      <c r="E13" s="949" t="s">
        <v>623</v>
      </c>
      <c r="F13" s="949"/>
      <c r="G13" s="949"/>
      <c r="H13" s="949"/>
    </row>
    <row r="14" spans="2:8" x14ac:dyDescent="0.25">
      <c r="B14" s="839">
        <v>1</v>
      </c>
      <c r="C14" s="839" t="s">
        <v>714</v>
      </c>
      <c r="D14" s="839"/>
      <c r="E14" s="950" t="s">
        <v>715</v>
      </c>
      <c r="F14" s="950"/>
      <c r="G14" s="950"/>
      <c r="H14" s="950"/>
    </row>
    <row r="15" spans="2:8" x14ac:dyDescent="0.25">
      <c r="B15" s="839"/>
      <c r="C15" s="839"/>
      <c r="D15" s="839"/>
      <c r="E15" s="950" t="s">
        <v>716</v>
      </c>
      <c r="F15" s="950"/>
      <c r="G15" s="950"/>
      <c r="H15" s="950"/>
    </row>
    <row r="16" spans="2:8" x14ac:dyDescent="0.25">
      <c r="B16" s="839"/>
      <c r="C16" s="839"/>
      <c r="D16" s="839"/>
      <c r="E16" s="951" t="s">
        <v>717</v>
      </c>
      <c r="F16" s="951"/>
      <c r="G16" s="951"/>
      <c r="H16" s="951"/>
    </row>
    <row r="17" spans="2:8" x14ac:dyDescent="0.25">
      <c r="B17" s="839"/>
      <c r="C17" s="839"/>
      <c r="D17" s="839"/>
      <c r="E17" s="952" t="s">
        <v>718</v>
      </c>
      <c r="F17" s="952"/>
      <c r="G17" s="952"/>
      <c r="H17" s="952"/>
    </row>
    <row r="18" spans="2:8" x14ac:dyDescent="0.25">
      <c r="B18" s="839"/>
      <c r="C18" s="839"/>
      <c r="D18" s="839"/>
      <c r="E18" s="951" t="s">
        <v>719</v>
      </c>
      <c r="F18" s="951"/>
      <c r="G18" s="951"/>
      <c r="H18" s="951"/>
    </row>
    <row r="19" spans="2:8" x14ac:dyDescent="0.25">
      <c r="B19" s="839"/>
      <c r="C19" s="839"/>
      <c r="D19" s="839"/>
      <c r="E19" s="951" t="s">
        <v>720</v>
      </c>
      <c r="F19" s="951"/>
      <c r="G19" s="951"/>
      <c r="H19" s="951"/>
    </row>
    <row r="20" spans="2:8" x14ac:dyDescent="0.25">
      <c r="B20" s="839"/>
      <c r="C20" s="839"/>
      <c r="D20" s="839"/>
      <c r="E20" s="951" t="s">
        <v>838</v>
      </c>
      <c r="F20" s="951"/>
      <c r="G20" s="951"/>
      <c r="H20" s="951"/>
    </row>
    <row r="21" spans="2:8" x14ac:dyDescent="0.25">
      <c r="B21" s="839"/>
      <c r="C21" s="839"/>
      <c r="D21" s="839"/>
      <c r="E21" s="951" t="s">
        <v>834</v>
      </c>
      <c r="F21" s="951"/>
      <c r="G21" s="951"/>
      <c r="H21" s="951"/>
    </row>
    <row r="23" spans="2:8" x14ac:dyDescent="0.25">
      <c r="B23" s="28"/>
      <c r="C23" s="28"/>
      <c r="D23" s="28"/>
      <c r="H23" s="27" t="s">
        <v>1145</v>
      </c>
    </row>
    <row r="24" spans="2:8" x14ac:dyDescent="0.25">
      <c r="B24" s="28"/>
      <c r="C24" s="28"/>
      <c r="D24" s="28"/>
    </row>
    <row r="25" spans="2:8" x14ac:dyDescent="0.25">
      <c r="B25" s="28" t="s">
        <v>1623</v>
      </c>
      <c r="C25" s="28"/>
      <c r="H25" s="28" t="s">
        <v>41</v>
      </c>
    </row>
    <row r="26" spans="2:8" x14ac:dyDescent="0.25">
      <c r="B26" s="28"/>
      <c r="C26" s="28"/>
      <c r="H26" s="28"/>
    </row>
    <row r="27" spans="2:8" x14ac:dyDescent="0.25">
      <c r="B27" s="28"/>
      <c r="C27" s="28"/>
      <c r="H27" s="28"/>
    </row>
    <row r="28" spans="2:8" x14ac:dyDescent="0.25">
      <c r="B28" s="28"/>
      <c r="C28" s="28"/>
      <c r="H28" s="28"/>
    </row>
    <row r="29" spans="2:8" x14ac:dyDescent="0.25">
      <c r="B29" s="34" t="s">
        <v>1622</v>
      </c>
      <c r="C29" s="28"/>
      <c r="H29" s="34" t="s">
        <v>1154</v>
      </c>
    </row>
    <row r="30" spans="2:8" x14ac:dyDescent="0.25">
      <c r="B30" s="28" t="s">
        <v>1683</v>
      </c>
      <c r="C30" s="28"/>
      <c r="H30" s="28" t="s">
        <v>1155</v>
      </c>
    </row>
    <row r="31" spans="2:8" x14ac:dyDescent="0.25">
      <c r="B31" s="28"/>
      <c r="C31" s="28"/>
      <c r="D31" s="37"/>
      <c r="H31" s="27"/>
    </row>
    <row r="32" spans="2:8" ht="15.75" x14ac:dyDescent="0.25">
      <c r="C32" s="25"/>
      <c r="D32" s="37"/>
      <c r="F32" s="174" t="s">
        <v>33</v>
      </c>
    </row>
    <row r="33" spans="2:8" x14ac:dyDescent="0.25">
      <c r="B33" s="28" t="s">
        <v>1624</v>
      </c>
      <c r="C33" s="28"/>
      <c r="H33" s="28" t="s">
        <v>1625</v>
      </c>
    </row>
    <row r="34" spans="2:8" x14ac:dyDescent="0.25">
      <c r="B34" s="28"/>
      <c r="C34" s="28"/>
      <c r="H34" s="28"/>
    </row>
    <row r="35" spans="2:8" x14ac:dyDescent="0.25">
      <c r="B35" s="28"/>
      <c r="C35" s="28"/>
      <c r="H35" s="28"/>
    </row>
    <row r="36" spans="2:8" x14ac:dyDescent="0.25">
      <c r="B36" s="28"/>
      <c r="C36" s="28"/>
      <c r="H36" s="28"/>
    </row>
    <row r="37" spans="2:8" x14ac:dyDescent="0.25">
      <c r="B37" s="34" t="s">
        <v>1156</v>
      </c>
      <c r="C37" s="28"/>
      <c r="H37" s="34" t="s">
        <v>1044</v>
      </c>
    </row>
    <row r="38" spans="2:8" x14ac:dyDescent="0.25">
      <c r="B38" s="34" t="s">
        <v>1620</v>
      </c>
      <c r="C38" s="28"/>
      <c r="H38" s="28" t="s">
        <v>1621</v>
      </c>
    </row>
  </sheetData>
  <mergeCells count="13">
    <mergeCell ref="B3:H3"/>
    <mergeCell ref="C13:D13"/>
    <mergeCell ref="E13:H13"/>
    <mergeCell ref="B14:B21"/>
    <mergeCell ref="C14:D21"/>
    <mergeCell ref="E14:H14"/>
    <mergeCell ref="E15:H15"/>
    <mergeCell ref="E16:H16"/>
    <mergeCell ref="E17:H17"/>
    <mergeCell ref="E18:H18"/>
    <mergeCell ref="E19:H19"/>
    <mergeCell ref="E20:H20"/>
    <mergeCell ref="E21:H21"/>
  </mergeCells>
  <printOptions horizontalCentered="1"/>
  <pageMargins left="0.25" right="0.25" top="0.75" bottom="0.75" header="0.3" footer="0.3"/>
  <pageSetup paperSize="9" scale="8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0"/>
    <pageSetUpPr fitToPage="1"/>
  </sheetPr>
  <dimension ref="A2:H41"/>
  <sheetViews>
    <sheetView zoomScale="64" zoomScaleNormal="40" workbookViewId="0">
      <selection activeCell="C43" sqref="A1:XFD1048576"/>
    </sheetView>
  </sheetViews>
  <sheetFormatPr defaultRowHeight="15.75" x14ac:dyDescent="0.25"/>
  <cols>
    <col min="1" max="1" width="9.140625" style="25"/>
    <col min="2" max="2" width="37.5703125" style="25" customWidth="1"/>
    <col min="3" max="3" width="103.5703125" style="25" customWidth="1"/>
    <col min="4" max="4" width="16" style="25" customWidth="1"/>
    <col min="5" max="5" width="10.85546875" style="25" customWidth="1"/>
    <col min="6" max="6" width="12.7109375" style="25" customWidth="1"/>
    <col min="7" max="16384" width="9.140625" style="25"/>
  </cols>
  <sheetData>
    <row r="2" spans="1:7" x14ac:dyDescent="0.25">
      <c r="E2" s="866" t="s">
        <v>1628</v>
      </c>
      <c r="F2" s="867"/>
    </row>
    <row r="3" spans="1:7" x14ac:dyDescent="0.25">
      <c r="E3" s="868" t="s">
        <v>1616</v>
      </c>
      <c r="F3" s="869"/>
    </row>
    <row r="4" spans="1:7" x14ac:dyDescent="0.25">
      <c r="A4" s="943" t="s">
        <v>622</v>
      </c>
      <c r="B4" s="943"/>
      <c r="C4" s="943"/>
      <c r="D4" s="943"/>
      <c r="E4" s="943"/>
      <c r="F4" s="943"/>
      <c r="G4" s="172"/>
    </row>
    <row r="5" spans="1:7" x14ac:dyDescent="0.25">
      <c r="G5" s="201"/>
    </row>
    <row r="6" spans="1:7" x14ac:dyDescent="0.25">
      <c r="A6" s="26" t="s">
        <v>38</v>
      </c>
      <c r="C6" s="25" t="s">
        <v>712</v>
      </c>
      <c r="G6" s="201"/>
    </row>
    <row r="7" spans="1:7" x14ac:dyDescent="0.25">
      <c r="A7" s="26" t="s">
        <v>39</v>
      </c>
      <c r="B7" s="172"/>
      <c r="C7" s="25" t="s">
        <v>888</v>
      </c>
      <c r="E7" s="26"/>
      <c r="F7" s="26"/>
    </row>
    <row r="8" spans="1:7" x14ac:dyDescent="0.25">
      <c r="A8" s="25" t="s">
        <v>597</v>
      </c>
      <c r="B8" s="172"/>
      <c r="C8" s="25" t="s">
        <v>726</v>
      </c>
      <c r="E8" s="172"/>
      <c r="F8" s="172"/>
    </row>
    <row r="9" spans="1:7" x14ac:dyDescent="0.25">
      <c r="A9" s="26" t="s">
        <v>595</v>
      </c>
      <c r="B9" s="172"/>
      <c r="C9" s="25" t="s">
        <v>704</v>
      </c>
      <c r="E9" s="172"/>
      <c r="F9" s="172"/>
    </row>
    <row r="10" spans="1:7" x14ac:dyDescent="0.25">
      <c r="A10" s="26" t="s">
        <v>596</v>
      </c>
      <c r="B10" s="172"/>
      <c r="C10" s="25" t="s">
        <v>713</v>
      </c>
      <c r="E10" s="31"/>
      <c r="F10" s="31"/>
    </row>
    <row r="11" spans="1:7" x14ac:dyDescent="0.25">
      <c r="A11" s="26" t="s">
        <v>40</v>
      </c>
      <c r="C11" s="25" t="s">
        <v>973</v>
      </c>
      <c r="G11" s="172"/>
    </row>
    <row r="14" spans="1:7" ht="31.5" x14ac:dyDescent="0.25">
      <c r="A14" s="555" t="s">
        <v>617</v>
      </c>
      <c r="B14" s="555" t="s">
        <v>618</v>
      </c>
      <c r="C14" s="563" t="s">
        <v>619</v>
      </c>
      <c r="D14" s="563" t="s">
        <v>620</v>
      </c>
      <c r="E14" s="563" t="s">
        <v>315</v>
      </c>
      <c r="F14" s="555" t="s">
        <v>104</v>
      </c>
    </row>
    <row r="15" spans="1:7" ht="36" customHeight="1" x14ac:dyDescent="0.25">
      <c r="A15" s="947">
        <v>1</v>
      </c>
      <c r="B15" s="947" t="s">
        <v>714</v>
      </c>
      <c r="C15" s="573" t="s">
        <v>1057</v>
      </c>
      <c r="D15" s="301" t="s">
        <v>721</v>
      </c>
      <c r="E15" s="562" t="s">
        <v>1230</v>
      </c>
      <c r="F15" s="574">
        <v>3</v>
      </c>
    </row>
    <row r="16" spans="1:7" ht="33.6" customHeight="1" x14ac:dyDescent="0.25">
      <c r="A16" s="957"/>
      <c r="B16" s="957"/>
      <c r="C16" s="573" t="s">
        <v>820</v>
      </c>
      <c r="D16" s="301" t="s">
        <v>722</v>
      </c>
      <c r="E16" s="301" t="s">
        <v>1230</v>
      </c>
      <c r="F16" s="574">
        <v>3</v>
      </c>
    </row>
    <row r="17" spans="1:6" ht="32.450000000000003" customHeight="1" x14ac:dyDescent="0.25">
      <c r="A17" s="957"/>
      <c r="B17" s="957"/>
      <c r="C17" s="573" t="s">
        <v>821</v>
      </c>
      <c r="D17" s="301" t="s">
        <v>723</v>
      </c>
      <c r="E17" s="301" t="s">
        <v>1231</v>
      </c>
      <c r="F17" s="574">
        <v>3</v>
      </c>
    </row>
    <row r="18" spans="1:6" ht="31.7" customHeight="1" x14ac:dyDescent="0.25">
      <c r="A18" s="957"/>
      <c r="B18" s="957"/>
      <c r="C18" s="573" t="s">
        <v>822</v>
      </c>
      <c r="D18" s="301" t="s">
        <v>724</v>
      </c>
      <c r="E18" s="301" t="s">
        <v>1232</v>
      </c>
      <c r="F18" s="574">
        <v>4</v>
      </c>
    </row>
    <row r="19" spans="1:6" ht="31.7" customHeight="1" x14ac:dyDescent="0.25">
      <c r="A19" s="957"/>
      <c r="B19" s="957"/>
      <c r="C19" s="955" t="s">
        <v>823</v>
      </c>
      <c r="D19" s="870" t="s">
        <v>725</v>
      </c>
      <c r="E19" s="870" t="s">
        <v>1207</v>
      </c>
      <c r="F19" s="953">
        <v>4</v>
      </c>
    </row>
    <row r="20" spans="1:6" ht="15" customHeight="1" x14ac:dyDescent="0.25">
      <c r="A20" s="948"/>
      <c r="B20" s="948"/>
      <c r="C20" s="956"/>
      <c r="D20" s="870"/>
      <c r="E20" s="870"/>
      <c r="F20" s="954"/>
    </row>
    <row r="21" spans="1:6" x14ac:dyDescent="0.25">
      <c r="A21" s="334"/>
      <c r="B21" s="334"/>
      <c r="C21" s="530" t="s">
        <v>621</v>
      </c>
      <c r="D21" s="575"/>
      <c r="E21" s="575"/>
      <c r="F21" s="334"/>
    </row>
    <row r="22" spans="1:6" x14ac:dyDescent="0.25">
      <c r="A22" s="301"/>
      <c r="B22" s="301"/>
      <c r="C22" s="301" t="s">
        <v>296</v>
      </c>
      <c r="D22" s="301"/>
      <c r="E22" s="301">
        <v>136</v>
      </c>
      <c r="F22" s="301"/>
    </row>
    <row r="24" spans="1:6" x14ac:dyDescent="0.25">
      <c r="B24" s="28"/>
      <c r="C24"/>
      <c r="D24" s="27" t="s">
        <v>1145</v>
      </c>
    </row>
    <row r="25" spans="1:6" x14ac:dyDescent="0.25">
      <c r="B25" s="28"/>
      <c r="C25"/>
      <c r="D25"/>
    </row>
    <row r="26" spans="1:6" x14ac:dyDescent="0.25">
      <c r="B26" s="28" t="s">
        <v>1623</v>
      </c>
      <c r="C26"/>
      <c r="D26" s="28" t="s">
        <v>41</v>
      </c>
    </row>
    <row r="27" spans="1:6" x14ac:dyDescent="0.25">
      <c r="B27" s="28"/>
      <c r="C27"/>
      <c r="D27" s="28"/>
    </row>
    <row r="28" spans="1:6" x14ac:dyDescent="0.25">
      <c r="B28" s="28"/>
      <c r="C28"/>
      <c r="D28" s="28"/>
    </row>
    <row r="29" spans="1:6" x14ac:dyDescent="0.25">
      <c r="B29" s="28"/>
      <c r="C29"/>
      <c r="D29" s="28"/>
    </row>
    <row r="30" spans="1:6" x14ac:dyDescent="0.25">
      <c r="B30" s="34" t="s">
        <v>1622</v>
      </c>
      <c r="C30"/>
      <c r="D30" s="34" t="s">
        <v>1154</v>
      </c>
    </row>
    <row r="31" spans="1:6" x14ac:dyDescent="0.25">
      <c r="B31" s="28" t="s">
        <v>1683</v>
      </c>
      <c r="C31"/>
      <c r="D31" s="28" t="s">
        <v>1155</v>
      </c>
    </row>
    <row r="32" spans="1:6" x14ac:dyDescent="0.25">
      <c r="B32" s="28"/>
      <c r="C32"/>
      <c r="D32" s="27"/>
    </row>
    <row r="33" spans="2:8" x14ac:dyDescent="0.25">
      <c r="B33"/>
      <c r="C33" s="142" t="s">
        <v>33</v>
      </c>
      <c r="D33"/>
    </row>
    <row r="34" spans="2:8" x14ac:dyDescent="0.25">
      <c r="B34" s="28" t="s">
        <v>1624</v>
      </c>
      <c r="C34"/>
      <c r="D34" s="28" t="s">
        <v>1625</v>
      </c>
    </row>
    <row r="35" spans="2:8" x14ac:dyDescent="0.25">
      <c r="B35" s="28"/>
      <c r="C35"/>
      <c r="D35" s="28"/>
    </row>
    <row r="36" spans="2:8" x14ac:dyDescent="0.25">
      <c r="B36" s="28"/>
      <c r="C36"/>
      <c r="D36" s="28"/>
    </row>
    <row r="37" spans="2:8" x14ac:dyDescent="0.25">
      <c r="B37" s="28"/>
      <c r="C37"/>
      <c r="D37" s="28"/>
    </row>
    <row r="38" spans="2:8" x14ac:dyDescent="0.25">
      <c r="B38" s="34" t="s">
        <v>1156</v>
      </c>
      <c r="C38"/>
      <c r="D38" s="34" t="s">
        <v>1044</v>
      </c>
    </row>
    <row r="39" spans="2:8" x14ac:dyDescent="0.25">
      <c r="B39" s="34" t="s">
        <v>1620</v>
      </c>
      <c r="C39"/>
      <c r="D39" s="28" t="s">
        <v>1621</v>
      </c>
    </row>
    <row r="40" spans="2:8" x14ac:dyDescent="0.25">
      <c r="B40"/>
      <c r="C40"/>
      <c r="D40"/>
      <c r="E40"/>
      <c r="F40"/>
      <c r="G40"/>
      <c r="H40"/>
    </row>
    <row r="41" spans="2:8" x14ac:dyDescent="0.25">
      <c r="B41" s="26"/>
      <c r="C41" s="200"/>
    </row>
  </sheetData>
  <mergeCells count="9">
    <mergeCell ref="A4:F4"/>
    <mergeCell ref="E2:F2"/>
    <mergeCell ref="E3:F3"/>
    <mergeCell ref="F19:F20"/>
    <mergeCell ref="C19:C20"/>
    <mergeCell ref="D19:D20"/>
    <mergeCell ref="E19:E20"/>
    <mergeCell ref="B15:B20"/>
    <mergeCell ref="A15:A20"/>
  </mergeCells>
  <printOptions horizontalCentered="1"/>
  <pageMargins left="0.70866141732283505" right="0.70866141732283505" top="0.74803149606299202" bottom="0.74803149606299202" header="0.31496062992126" footer="0.31496062992126"/>
  <pageSetup paperSize="9" scale="68" orientation="landscape" horizontalDpi="4294967293"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E97EB-0AA3-4CB2-B3C2-D9EB4793DA83}">
  <sheetPr>
    <pageSetUpPr fitToPage="1"/>
  </sheetPr>
  <dimension ref="A2:H41"/>
  <sheetViews>
    <sheetView zoomScale="55" workbookViewId="0">
      <selection activeCell="C41" sqref="C41"/>
    </sheetView>
  </sheetViews>
  <sheetFormatPr defaultRowHeight="15" x14ac:dyDescent="0.25"/>
  <cols>
    <col min="1" max="1" width="9.140625" style="25"/>
    <col min="2" max="2" width="37.5703125" style="25" customWidth="1"/>
    <col min="3" max="3" width="103.5703125" style="25" customWidth="1"/>
    <col min="4" max="4" width="16" style="25" customWidth="1"/>
    <col min="5" max="5" width="10.85546875" style="25" customWidth="1"/>
    <col min="6" max="6" width="12.7109375" style="25" customWidth="1"/>
    <col min="7" max="16384" width="9.140625" style="25"/>
  </cols>
  <sheetData>
    <row r="2" spans="1:7" ht="15.75" x14ac:dyDescent="0.25">
      <c r="E2" s="866" t="s">
        <v>1628</v>
      </c>
      <c r="F2" s="867"/>
    </row>
    <row r="3" spans="1:7" ht="15.75" x14ac:dyDescent="0.25">
      <c r="E3" s="868" t="s">
        <v>1616</v>
      </c>
      <c r="F3" s="869"/>
    </row>
    <row r="4" spans="1:7" ht="15.75" x14ac:dyDescent="0.25">
      <c r="A4" s="943" t="s">
        <v>622</v>
      </c>
      <c r="B4" s="943"/>
      <c r="C4" s="943"/>
      <c r="D4" s="943"/>
      <c r="E4" s="943"/>
      <c r="F4" s="943"/>
      <c r="G4" s="172"/>
    </row>
    <row r="5" spans="1:7" ht="15.75" x14ac:dyDescent="0.25">
      <c r="G5" s="201"/>
    </row>
    <row r="6" spans="1:7" ht="15.75" x14ac:dyDescent="0.25">
      <c r="A6" s="26" t="s">
        <v>38</v>
      </c>
      <c r="C6" s="25" t="s">
        <v>712</v>
      </c>
      <c r="G6" s="201"/>
    </row>
    <row r="7" spans="1:7" ht="15.75" x14ac:dyDescent="0.25">
      <c r="A7" s="26" t="s">
        <v>39</v>
      </c>
      <c r="B7" s="172"/>
      <c r="C7" s="25" t="s">
        <v>888</v>
      </c>
      <c r="E7" s="26"/>
      <c r="F7" s="26"/>
    </row>
    <row r="8" spans="1:7" ht="15.75" x14ac:dyDescent="0.25">
      <c r="A8" s="25" t="s">
        <v>597</v>
      </c>
      <c r="B8" s="172"/>
      <c r="C8" s="25" t="s">
        <v>726</v>
      </c>
      <c r="E8" s="172"/>
      <c r="F8" s="172"/>
    </row>
    <row r="9" spans="1:7" ht="15.75" x14ac:dyDescent="0.25">
      <c r="A9" s="26" t="s">
        <v>595</v>
      </c>
      <c r="B9" s="172"/>
      <c r="C9" s="25" t="s">
        <v>704</v>
      </c>
      <c r="E9" s="172"/>
      <c r="F9" s="172"/>
    </row>
    <row r="10" spans="1:7" ht="15.75" x14ac:dyDescent="0.25">
      <c r="A10" s="26" t="s">
        <v>596</v>
      </c>
      <c r="B10" s="172"/>
      <c r="C10" s="25" t="s">
        <v>713</v>
      </c>
      <c r="E10" s="31"/>
      <c r="F10" s="31"/>
    </row>
    <row r="11" spans="1:7" ht="15.75" x14ac:dyDescent="0.25">
      <c r="A11" s="26" t="s">
        <v>40</v>
      </c>
      <c r="C11" s="25" t="s">
        <v>973</v>
      </c>
      <c r="G11" s="172"/>
    </row>
    <row r="14" spans="1:7" ht="31.5" x14ac:dyDescent="0.25">
      <c r="A14" s="555" t="s">
        <v>617</v>
      </c>
      <c r="B14" s="555" t="s">
        <v>618</v>
      </c>
      <c r="C14" s="563" t="s">
        <v>619</v>
      </c>
      <c r="D14" s="563" t="s">
        <v>620</v>
      </c>
      <c r="E14" s="563" t="s">
        <v>315</v>
      </c>
      <c r="F14" s="555" t="s">
        <v>104</v>
      </c>
    </row>
    <row r="15" spans="1:7" ht="36" customHeight="1" x14ac:dyDescent="0.25">
      <c r="A15" s="947">
        <v>1</v>
      </c>
      <c r="B15" s="947" t="s">
        <v>714</v>
      </c>
      <c r="C15" s="573" t="s">
        <v>1057</v>
      </c>
      <c r="D15" s="301" t="s">
        <v>721</v>
      </c>
      <c r="E15" s="562" t="s">
        <v>1230</v>
      </c>
      <c r="F15" s="574">
        <v>3</v>
      </c>
    </row>
    <row r="16" spans="1:7" ht="33.6" customHeight="1" x14ac:dyDescent="0.25">
      <c r="A16" s="957"/>
      <c r="B16" s="957"/>
      <c r="C16" s="573" t="s">
        <v>820</v>
      </c>
      <c r="D16" s="301" t="s">
        <v>722</v>
      </c>
      <c r="E16" s="301" t="s">
        <v>1230</v>
      </c>
      <c r="F16" s="574">
        <v>3</v>
      </c>
    </row>
    <row r="17" spans="1:6" ht="32.450000000000003" customHeight="1" x14ac:dyDescent="0.25">
      <c r="A17" s="957"/>
      <c r="B17" s="957"/>
      <c r="C17" s="573" t="s">
        <v>821</v>
      </c>
      <c r="D17" s="301" t="s">
        <v>723</v>
      </c>
      <c r="E17" s="301" t="s">
        <v>1231</v>
      </c>
      <c r="F17" s="574">
        <v>3</v>
      </c>
    </row>
    <row r="18" spans="1:6" ht="31.7" customHeight="1" x14ac:dyDescent="0.25">
      <c r="A18" s="957"/>
      <c r="B18" s="957"/>
      <c r="C18" s="573" t="s">
        <v>822</v>
      </c>
      <c r="D18" s="301" t="s">
        <v>724</v>
      </c>
      <c r="E18" s="301" t="s">
        <v>1232</v>
      </c>
      <c r="F18" s="574">
        <v>4</v>
      </c>
    </row>
    <row r="19" spans="1:6" ht="31.7" customHeight="1" x14ac:dyDescent="0.25">
      <c r="A19" s="957"/>
      <c r="B19" s="957"/>
      <c r="C19" s="955" t="s">
        <v>823</v>
      </c>
      <c r="D19" s="870" t="s">
        <v>725</v>
      </c>
      <c r="E19" s="870" t="s">
        <v>1207</v>
      </c>
      <c r="F19" s="953">
        <v>4</v>
      </c>
    </row>
    <row r="20" spans="1:6" ht="15" customHeight="1" x14ac:dyDescent="0.25">
      <c r="A20" s="948"/>
      <c r="B20" s="948"/>
      <c r="C20" s="956"/>
      <c r="D20" s="870"/>
      <c r="E20" s="870"/>
      <c r="F20" s="954"/>
    </row>
    <row r="21" spans="1:6" ht="15.75" x14ac:dyDescent="0.25">
      <c r="A21" s="334"/>
      <c r="B21" s="334"/>
      <c r="C21" s="530" t="s">
        <v>621</v>
      </c>
      <c r="D21" s="575"/>
      <c r="E21" s="575"/>
      <c r="F21" s="334"/>
    </row>
    <row r="22" spans="1:6" ht="15.75" x14ac:dyDescent="0.25">
      <c r="A22" s="301"/>
      <c r="B22" s="301"/>
      <c r="C22" s="301" t="s">
        <v>296</v>
      </c>
      <c r="D22" s="301"/>
      <c r="E22" s="301">
        <v>136</v>
      </c>
      <c r="F22" s="301"/>
    </row>
    <row r="24" spans="1:6" ht="15.75" x14ac:dyDescent="0.25">
      <c r="B24" s="28"/>
      <c r="C24"/>
      <c r="D24" s="27" t="s">
        <v>1145</v>
      </c>
    </row>
    <row r="25" spans="1:6" ht="15.75" x14ac:dyDescent="0.25">
      <c r="B25" s="28"/>
      <c r="C25"/>
      <c r="D25"/>
    </row>
    <row r="26" spans="1:6" ht="15.75" x14ac:dyDescent="0.25">
      <c r="B26" s="28" t="s">
        <v>1623</v>
      </c>
      <c r="C26"/>
      <c r="D26" s="28" t="s">
        <v>41</v>
      </c>
    </row>
    <row r="27" spans="1:6" ht="15.75" x14ac:dyDescent="0.25">
      <c r="B27" s="28"/>
      <c r="C27"/>
      <c r="D27" s="28"/>
    </row>
    <row r="28" spans="1:6" ht="15.75" x14ac:dyDescent="0.25">
      <c r="B28" s="28"/>
      <c r="C28"/>
      <c r="D28" s="28"/>
    </row>
    <row r="29" spans="1:6" ht="15.75" x14ac:dyDescent="0.25">
      <c r="B29" s="28"/>
      <c r="C29"/>
      <c r="D29" s="28"/>
    </row>
    <row r="30" spans="1:6" ht="15.75" x14ac:dyDescent="0.25">
      <c r="B30" s="34" t="s">
        <v>1622</v>
      </c>
      <c r="C30"/>
      <c r="D30" s="34" t="s">
        <v>1154</v>
      </c>
    </row>
    <row r="31" spans="1:6" ht="15.75" x14ac:dyDescent="0.25">
      <c r="B31" s="28" t="s">
        <v>1683</v>
      </c>
      <c r="C31"/>
      <c r="D31" s="28" t="s">
        <v>1155</v>
      </c>
    </row>
    <row r="32" spans="1:6" ht="15.75" x14ac:dyDescent="0.25">
      <c r="B32" s="28"/>
      <c r="C32"/>
      <c r="D32" s="27"/>
    </row>
    <row r="33" spans="2:8" ht="15.75" x14ac:dyDescent="0.25">
      <c r="B33"/>
      <c r="C33" s="142" t="s">
        <v>33</v>
      </c>
      <c r="D33"/>
    </row>
    <row r="34" spans="2:8" ht="15.75" x14ac:dyDescent="0.25">
      <c r="B34" s="28" t="s">
        <v>1624</v>
      </c>
      <c r="C34"/>
      <c r="D34" s="28" t="s">
        <v>1625</v>
      </c>
    </row>
    <row r="35" spans="2:8" ht="15.75" x14ac:dyDescent="0.25">
      <c r="B35" s="28"/>
      <c r="C35"/>
      <c r="D35" s="28"/>
    </row>
    <row r="36" spans="2:8" ht="15.75" x14ac:dyDescent="0.25">
      <c r="B36" s="28"/>
      <c r="C36"/>
      <c r="D36" s="28"/>
    </row>
    <row r="37" spans="2:8" ht="15.75" x14ac:dyDescent="0.25">
      <c r="B37" s="28"/>
      <c r="C37"/>
      <c r="D37" s="28"/>
    </row>
    <row r="38" spans="2:8" ht="15.75" x14ac:dyDescent="0.25">
      <c r="B38" s="34" t="s">
        <v>1156</v>
      </c>
      <c r="C38"/>
      <c r="D38" s="34" t="s">
        <v>1044</v>
      </c>
    </row>
    <row r="39" spans="2:8" ht="15.75" x14ac:dyDescent="0.25">
      <c r="B39" s="34" t="s">
        <v>1620</v>
      </c>
      <c r="C39"/>
      <c r="D39" s="28" t="s">
        <v>1621</v>
      </c>
    </row>
    <row r="40" spans="2:8" ht="15.75" x14ac:dyDescent="0.25">
      <c r="B40"/>
      <c r="C40"/>
      <c r="D40"/>
      <c r="E40"/>
      <c r="F40"/>
      <c r="G40"/>
      <c r="H40"/>
    </row>
    <row r="41" spans="2:8" ht="15.75" x14ac:dyDescent="0.25">
      <c r="B41" s="26"/>
      <c r="C41" s="200"/>
    </row>
  </sheetData>
  <mergeCells count="9">
    <mergeCell ref="E2:F2"/>
    <mergeCell ref="E3:F3"/>
    <mergeCell ref="A4:F4"/>
    <mergeCell ref="A15:A20"/>
    <mergeCell ref="B15:B20"/>
    <mergeCell ref="C19:C20"/>
    <mergeCell ref="D19:D20"/>
    <mergeCell ref="E19:E20"/>
    <mergeCell ref="F19:F20"/>
  </mergeCells>
  <pageMargins left="0.7" right="0.7" top="0.75" bottom="0.75" header="0.3" footer="0.3"/>
  <pageSetup paperSize="9" scale="69"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2" tint="-0.499984740745262"/>
  </sheetPr>
  <dimension ref="B1:Q67"/>
  <sheetViews>
    <sheetView topLeftCell="A10" zoomScale="67" zoomScaleNormal="40" workbookViewId="0">
      <selection activeCell="B1" sqref="B1:D51"/>
    </sheetView>
  </sheetViews>
  <sheetFormatPr defaultRowHeight="18" customHeight="1" x14ac:dyDescent="0.25"/>
  <cols>
    <col min="2" max="2" width="53.5703125" customWidth="1"/>
    <col min="3" max="3" width="1.85546875" bestFit="1" customWidth="1"/>
    <col min="4" max="4" width="95.85546875" customWidth="1"/>
    <col min="6" max="6" width="15" bestFit="1" customWidth="1"/>
    <col min="7" max="7" width="8" customWidth="1"/>
    <col min="8" max="8" width="34.140625" customWidth="1"/>
    <col min="9" max="9" width="81.140625" customWidth="1"/>
    <col min="10" max="10" width="13.140625" customWidth="1"/>
    <col min="11" max="13" width="12.140625" customWidth="1"/>
    <col min="14" max="14" width="17.5703125" customWidth="1"/>
  </cols>
  <sheetData>
    <row r="1" spans="2:14" ht="18" customHeight="1" x14ac:dyDescent="0.25">
      <c r="D1" s="234" t="s">
        <v>1628</v>
      </c>
      <c r="E1" s="46"/>
      <c r="F1" s="7"/>
      <c r="G1" s="7"/>
    </row>
    <row r="2" spans="2:14" ht="18" customHeight="1" x14ac:dyDescent="0.25">
      <c r="D2" s="640" t="s">
        <v>1616</v>
      </c>
      <c r="E2" s="688"/>
      <c r="F2" s="238"/>
      <c r="G2" s="238"/>
    </row>
    <row r="5" spans="2:14" ht="28.5" customHeight="1" x14ac:dyDescent="0.3">
      <c r="B5" s="751" t="s">
        <v>630</v>
      </c>
      <c r="C5" s="751"/>
      <c r="D5" s="751"/>
      <c r="E5" s="148"/>
      <c r="F5" s="148"/>
      <c r="G5" s="964" t="s">
        <v>0</v>
      </c>
      <c r="H5" s="964" t="s">
        <v>644</v>
      </c>
      <c r="I5" s="964" t="s">
        <v>627</v>
      </c>
      <c r="J5" s="968" t="s">
        <v>664</v>
      </c>
      <c r="K5" s="969"/>
      <c r="L5" s="969"/>
      <c r="M5" s="970"/>
      <c r="N5" s="967" t="s">
        <v>645</v>
      </c>
    </row>
    <row r="6" spans="2:14" ht="30" customHeight="1" x14ac:dyDescent="0.3">
      <c r="B6" s="938" t="s">
        <v>639</v>
      </c>
      <c r="C6" s="938"/>
      <c r="D6" s="938"/>
      <c r="E6" s="148"/>
      <c r="F6" s="148"/>
      <c r="G6" s="965"/>
      <c r="H6" s="965"/>
      <c r="I6" s="965"/>
      <c r="J6" s="555" t="s">
        <v>646</v>
      </c>
      <c r="K6" s="555" t="s">
        <v>647</v>
      </c>
      <c r="L6" s="555" t="s">
        <v>648</v>
      </c>
      <c r="M6" s="555" t="s">
        <v>649</v>
      </c>
      <c r="N6" s="967"/>
    </row>
    <row r="7" spans="2:14" ht="19.5" customHeight="1" x14ac:dyDescent="0.3">
      <c r="B7" s="938" t="s">
        <v>1665</v>
      </c>
      <c r="C7" s="938"/>
      <c r="D7" s="938"/>
      <c r="E7" s="148"/>
      <c r="F7" s="148"/>
      <c r="G7" s="966"/>
      <c r="H7" s="966"/>
      <c r="I7" s="966"/>
      <c r="J7" s="301" t="s">
        <v>650</v>
      </c>
      <c r="K7" s="301" t="s">
        <v>651</v>
      </c>
      <c r="L7" s="301" t="s">
        <v>652</v>
      </c>
      <c r="M7" s="301" t="s">
        <v>653</v>
      </c>
      <c r="N7" s="967"/>
    </row>
    <row r="8" spans="2:14" ht="18" customHeight="1" x14ac:dyDescent="0.3">
      <c r="E8" s="148"/>
      <c r="F8" s="148"/>
      <c r="G8" s="874">
        <v>1</v>
      </c>
      <c r="H8" s="872" t="s">
        <v>727</v>
      </c>
      <c r="I8" s="872" t="s">
        <v>730</v>
      </c>
      <c r="J8" s="301" t="s">
        <v>809</v>
      </c>
      <c r="K8" s="301" t="s">
        <v>651</v>
      </c>
      <c r="L8" s="301" t="s">
        <v>652</v>
      </c>
      <c r="M8" s="301" t="s">
        <v>653</v>
      </c>
      <c r="N8" s="971" t="s">
        <v>654</v>
      </c>
    </row>
    <row r="9" spans="2:14" ht="18" customHeight="1" x14ac:dyDescent="0.25">
      <c r="G9" s="959"/>
      <c r="H9" s="963"/>
      <c r="I9" s="873"/>
      <c r="J9" s="301"/>
      <c r="K9" s="301"/>
      <c r="L9" s="301"/>
      <c r="M9" s="301"/>
      <c r="N9" s="971"/>
    </row>
    <row r="10" spans="2:14" ht="18" customHeight="1" x14ac:dyDescent="0.25">
      <c r="B10" s="299" t="s">
        <v>319</v>
      </c>
      <c r="C10" s="299" t="s">
        <v>65</v>
      </c>
      <c r="D10" s="299" t="s">
        <v>739</v>
      </c>
      <c r="G10" s="959"/>
      <c r="H10" s="963"/>
      <c r="I10" s="533"/>
      <c r="J10" s="301"/>
      <c r="K10" s="301"/>
      <c r="L10" s="301"/>
      <c r="M10" s="301"/>
      <c r="N10" s="861" t="s">
        <v>655</v>
      </c>
    </row>
    <row r="11" spans="2:14" ht="18" customHeight="1" x14ac:dyDescent="0.25">
      <c r="B11" s="960" t="s">
        <v>632</v>
      </c>
      <c r="C11" s="960" t="s">
        <v>65</v>
      </c>
      <c r="D11" s="299" t="s">
        <v>750</v>
      </c>
      <c r="G11" s="875"/>
      <c r="H11" s="873"/>
      <c r="I11" s="533"/>
      <c r="J11" s="301"/>
      <c r="K11" s="301"/>
      <c r="L11" s="301"/>
      <c r="M11" s="301"/>
      <c r="N11" s="861"/>
    </row>
    <row r="12" spans="2:14" ht="18" customHeight="1" x14ac:dyDescent="0.25">
      <c r="B12" s="962"/>
      <c r="C12" s="962"/>
      <c r="D12" s="553"/>
      <c r="G12" s="874">
        <v>2</v>
      </c>
      <c r="H12" s="872" t="s">
        <v>742</v>
      </c>
      <c r="I12" s="872" t="s">
        <v>744</v>
      </c>
      <c r="J12" s="301" t="s">
        <v>809</v>
      </c>
      <c r="K12" s="301" t="s">
        <v>651</v>
      </c>
      <c r="L12" s="301" t="s">
        <v>652</v>
      </c>
      <c r="M12" s="301" t="s">
        <v>653</v>
      </c>
      <c r="N12" s="861"/>
    </row>
    <row r="13" spans="2:14" ht="18" customHeight="1" x14ac:dyDescent="0.25">
      <c r="B13" s="960" t="s">
        <v>633</v>
      </c>
      <c r="C13" s="960" t="s">
        <v>65</v>
      </c>
      <c r="D13" s="299" t="s">
        <v>751</v>
      </c>
      <c r="G13" s="959"/>
      <c r="H13" s="963"/>
      <c r="I13" s="873"/>
      <c r="J13" s="301"/>
      <c r="K13" s="301"/>
      <c r="L13" s="301"/>
      <c r="M13" s="301"/>
      <c r="N13" s="861"/>
    </row>
    <row r="14" spans="2:14" ht="18" customHeight="1" x14ac:dyDescent="0.25">
      <c r="B14" s="962"/>
      <c r="C14" s="962"/>
      <c r="D14" s="299"/>
      <c r="G14" s="959"/>
      <c r="H14" s="963"/>
      <c r="I14" s="533"/>
      <c r="J14" s="301"/>
      <c r="K14" s="301"/>
      <c r="L14" s="301"/>
      <c r="M14" s="301"/>
      <c r="N14" s="556" t="s">
        <v>656</v>
      </c>
    </row>
    <row r="15" spans="2:14" ht="18" customHeight="1" x14ac:dyDescent="0.25">
      <c r="B15" s="960" t="s">
        <v>634</v>
      </c>
      <c r="C15" s="960" t="s">
        <v>65</v>
      </c>
      <c r="D15" s="299" t="s">
        <v>752</v>
      </c>
      <c r="G15" s="875"/>
      <c r="H15" s="873"/>
      <c r="I15" s="533"/>
      <c r="J15" s="301"/>
      <c r="K15" s="301"/>
      <c r="L15" s="301"/>
      <c r="M15" s="301"/>
      <c r="N15" s="861" t="s">
        <v>657</v>
      </c>
    </row>
    <row r="16" spans="2:14" ht="18" customHeight="1" x14ac:dyDescent="0.25">
      <c r="B16" s="962"/>
      <c r="C16" s="962"/>
      <c r="D16" s="299"/>
      <c r="G16" s="874">
        <v>3</v>
      </c>
      <c r="H16" s="872" t="s">
        <v>743</v>
      </c>
      <c r="I16" s="872" t="s">
        <v>745</v>
      </c>
      <c r="J16" s="301" t="s">
        <v>809</v>
      </c>
      <c r="K16" s="301" t="s">
        <v>651</v>
      </c>
      <c r="L16" s="301" t="s">
        <v>652</v>
      </c>
      <c r="M16" s="301" t="s">
        <v>653</v>
      </c>
      <c r="N16" s="861"/>
    </row>
    <row r="17" spans="2:14" ht="18" customHeight="1" x14ac:dyDescent="0.25">
      <c r="B17" s="299" t="s">
        <v>635</v>
      </c>
      <c r="C17" s="299" t="s">
        <v>65</v>
      </c>
      <c r="D17" s="299" t="s">
        <v>753</v>
      </c>
      <c r="G17" s="959"/>
      <c r="H17" s="963"/>
      <c r="I17" s="873"/>
      <c r="J17" s="301"/>
      <c r="K17" s="301"/>
      <c r="L17" s="301"/>
      <c r="M17" s="301"/>
      <c r="N17" s="861"/>
    </row>
    <row r="18" spans="2:14" ht="18" customHeight="1" x14ac:dyDescent="0.25">
      <c r="B18" s="299" t="s">
        <v>636</v>
      </c>
      <c r="C18" s="299" t="s">
        <v>34</v>
      </c>
      <c r="D18" s="299" t="s">
        <v>1059</v>
      </c>
      <c r="G18" s="959"/>
      <c r="H18" s="963"/>
      <c r="I18" s="533"/>
      <c r="J18" s="301"/>
      <c r="K18" s="301"/>
      <c r="L18" s="301"/>
      <c r="M18" s="301"/>
      <c r="N18" s="861"/>
    </row>
    <row r="19" spans="2:14" ht="18" customHeight="1" x14ac:dyDescent="0.25">
      <c r="B19" s="299" t="s">
        <v>637</v>
      </c>
      <c r="C19" s="299" t="s">
        <v>65</v>
      </c>
      <c r="D19" s="299" t="s">
        <v>1666</v>
      </c>
      <c r="G19" s="875"/>
      <c r="H19" s="873"/>
      <c r="I19" s="533"/>
      <c r="J19" s="301"/>
      <c r="K19" s="301"/>
      <c r="L19" s="301"/>
      <c r="M19" s="301"/>
      <c r="N19" s="861"/>
    </row>
    <row r="20" spans="2:14" ht="18" customHeight="1" x14ac:dyDescent="0.25">
      <c r="B20" s="554" t="s">
        <v>638</v>
      </c>
      <c r="C20" s="299" t="s">
        <v>65</v>
      </c>
      <c r="D20" s="299" t="s">
        <v>1667</v>
      </c>
      <c r="G20" s="874">
        <v>4</v>
      </c>
      <c r="H20" s="872" t="s">
        <v>749</v>
      </c>
      <c r="I20" s="872" t="s">
        <v>756</v>
      </c>
      <c r="J20" s="301" t="s">
        <v>809</v>
      </c>
      <c r="K20" s="301" t="s">
        <v>651</v>
      </c>
      <c r="L20" s="301" t="s">
        <v>652</v>
      </c>
      <c r="M20" s="301" t="s">
        <v>653</v>
      </c>
      <c r="N20" s="556" t="s">
        <v>658</v>
      </c>
    </row>
    <row r="21" spans="2:14" ht="18" customHeight="1" x14ac:dyDescent="0.25">
      <c r="B21" s="554" t="s">
        <v>824</v>
      </c>
      <c r="C21" s="299" t="s">
        <v>65</v>
      </c>
      <c r="D21" s="299" t="s">
        <v>1236</v>
      </c>
      <c r="G21" s="959"/>
      <c r="H21" s="963"/>
      <c r="I21" s="873"/>
      <c r="J21" s="301"/>
      <c r="K21" s="301"/>
      <c r="L21" s="301"/>
      <c r="M21" s="301"/>
      <c r="N21" s="861" t="s">
        <v>659</v>
      </c>
    </row>
    <row r="22" spans="2:14" ht="15.75" x14ac:dyDescent="0.25">
      <c r="G22" s="959"/>
      <c r="H22" s="963"/>
      <c r="I22" s="533"/>
      <c r="J22" s="301"/>
      <c r="K22" s="301"/>
      <c r="L22" s="301"/>
      <c r="M22" s="301"/>
      <c r="N22" s="861"/>
    </row>
    <row r="23" spans="2:14" ht="17.25" customHeight="1" x14ac:dyDescent="0.25">
      <c r="G23" s="875"/>
      <c r="H23" s="873"/>
      <c r="I23" s="533"/>
      <c r="J23" s="301"/>
      <c r="K23" s="301"/>
      <c r="L23" s="301"/>
      <c r="M23" s="301"/>
      <c r="N23" s="861"/>
    </row>
    <row r="24" spans="2:14" ht="18" customHeight="1" x14ac:dyDescent="0.25">
      <c r="B24" s="299" t="s">
        <v>640</v>
      </c>
      <c r="C24" s="299" t="s">
        <v>65</v>
      </c>
      <c r="D24" s="299" t="s">
        <v>753</v>
      </c>
      <c r="G24" s="874">
        <v>5</v>
      </c>
      <c r="H24" s="872" t="s">
        <v>757</v>
      </c>
      <c r="I24" s="872" t="s">
        <v>758</v>
      </c>
      <c r="J24" s="301" t="s">
        <v>809</v>
      </c>
      <c r="K24" s="301" t="s">
        <v>651</v>
      </c>
      <c r="L24" s="301" t="s">
        <v>652</v>
      </c>
      <c r="M24" s="301" t="s">
        <v>653</v>
      </c>
      <c r="N24" s="861"/>
    </row>
    <row r="25" spans="2:14" ht="15.75" x14ac:dyDescent="0.25">
      <c r="B25" s="299" t="s">
        <v>641</v>
      </c>
      <c r="C25" s="299" t="s">
        <v>65</v>
      </c>
      <c r="D25" s="299" t="s">
        <v>1</v>
      </c>
      <c r="G25" s="959"/>
      <c r="H25" s="963"/>
      <c r="I25" s="873"/>
      <c r="J25" s="301"/>
      <c r="K25" s="301"/>
      <c r="L25" s="301"/>
      <c r="M25" s="301"/>
      <c r="N25" s="556" t="s">
        <v>660</v>
      </c>
    </row>
    <row r="26" spans="2:14" ht="18" customHeight="1" x14ac:dyDescent="0.25">
      <c r="B26" s="874" t="s">
        <v>642</v>
      </c>
      <c r="C26" s="960" t="s">
        <v>65</v>
      </c>
      <c r="D26" s="373" t="s">
        <v>754</v>
      </c>
      <c r="G26" s="959"/>
      <c r="H26" s="963"/>
      <c r="I26" s="533"/>
      <c r="J26" s="301"/>
      <c r="K26" s="301"/>
      <c r="L26" s="301"/>
      <c r="M26" s="301"/>
      <c r="N26" s="861" t="s">
        <v>661</v>
      </c>
    </row>
    <row r="27" spans="2:14" ht="18" customHeight="1" x14ac:dyDescent="0.25">
      <c r="B27" s="959"/>
      <c r="C27" s="961"/>
      <c r="D27" s="373" t="s">
        <v>755</v>
      </c>
      <c r="G27" s="875"/>
      <c r="H27" s="873"/>
      <c r="I27" s="533"/>
      <c r="J27" s="301"/>
      <c r="K27" s="301"/>
      <c r="L27" s="301"/>
      <c r="M27" s="301"/>
      <c r="N27" s="861"/>
    </row>
    <row r="28" spans="2:14" ht="18" customHeight="1" x14ac:dyDescent="0.25">
      <c r="B28" s="959"/>
      <c r="C28" s="961"/>
      <c r="D28" s="373" t="s">
        <v>827</v>
      </c>
      <c r="G28" s="874">
        <v>6</v>
      </c>
      <c r="H28" s="872" t="s">
        <v>728</v>
      </c>
      <c r="I28" s="872" t="s">
        <v>759</v>
      </c>
      <c r="J28" s="301" t="s">
        <v>809</v>
      </c>
      <c r="K28" s="301" t="s">
        <v>651</v>
      </c>
      <c r="L28" s="301" t="s">
        <v>652</v>
      </c>
      <c r="M28" s="301" t="s">
        <v>653</v>
      </c>
      <c r="N28" s="861"/>
    </row>
    <row r="29" spans="2:14" ht="18" customHeight="1" x14ac:dyDescent="0.25">
      <c r="B29" s="959"/>
      <c r="C29" s="961"/>
      <c r="D29" s="299" t="s">
        <v>828</v>
      </c>
      <c r="G29" s="959"/>
      <c r="H29" s="963"/>
      <c r="I29" s="873"/>
      <c r="J29" s="301"/>
      <c r="K29" s="301"/>
      <c r="L29" s="301"/>
      <c r="M29" s="301"/>
      <c r="N29" s="861"/>
    </row>
    <row r="30" spans="2:14" ht="18" customHeight="1" x14ac:dyDescent="0.25">
      <c r="B30" s="959"/>
      <c r="C30" s="962"/>
      <c r="D30" s="299" t="s">
        <v>789</v>
      </c>
      <c r="G30" s="959"/>
      <c r="H30" s="963"/>
      <c r="I30" s="533"/>
      <c r="J30" s="301"/>
      <c r="K30" s="301"/>
      <c r="L30" s="301"/>
      <c r="M30" s="301"/>
      <c r="N30" s="861"/>
    </row>
    <row r="31" spans="2:14" ht="15.75" x14ac:dyDescent="0.25">
      <c r="B31" s="959"/>
      <c r="C31" s="29"/>
      <c r="D31" s="373" t="s">
        <v>829</v>
      </c>
      <c r="G31" s="875"/>
      <c r="H31" s="873"/>
      <c r="I31" s="533"/>
      <c r="J31" s="301"/>
      <c r="K31" s="301"/>
      <c r="L31" s="301"/>
      <c r="M31" s="301"/>
      <c r="N31" s="533" t="s">
        <v>662</v>
      </c>
    </row>
    <row r="32" spans="2:14" ht="15.75" customHeight="1" x14ac:dyDescent="0.25">
      <c r="B32" s="959"/>
      <c r="C32" s="29"/>
      <c r="D32" s="373" t="s">
        <v>830</v>
      </c>
      <c r="G32" s="874">
        <v>7</v>
      </c>
      <c r="H32" s="872" t="s">
        <v>837</v>
      </c>
      <c r="I32" s="872" t="s">
        <v>736</v>
      </c>
      <c r="J32" s="301" t="s">
        <v>809</v>
      </c>
      <c r="K32" s="301" t="s">
        <v>651</v>
      </c>
      <c r="L32" s="301" t="s">
        <v>652</v>
      </c>
      <c r="M32" s="301" t="s">
        <v>653</v>
      </c>
      <c r="N32" s="861" t="s">
        <v>663</v>
      </c>
    </row>
    <row r="33" spans="2:17" ht="15.75" x14ac:dyDescent="0.25">
      <c r="B33" s="959"/>
      <c r="C33" s="29"/>
      <c r="D33" s="373" t="s">
        <v>831</v>
      </c>
      <c r="G33" s="959"/>
      <c r="H33" s="963"/>
      <c r="I33" s="873"/>
      <c r="J33" s="301"/>
      <c r="K33" s="301"/>
      <c r="L33" s="301"/>
      <c r="M33" s="301"/>
      <c r="N33" s="861"/>
    </row>
    <row r="34" spans="2:17" ht="15.75" x14ac:dyDescent="0.25">
      <c r="B34" s="959"/>
      <c r="C34" s="29"/>
      <c r="D34" s="551" t="s">
        <v>709</v>
      </c>
      <c r="G34" s="875"/>
      <c r="H34" s="873"/>
      <c r="I34" s="533"/>
      <c r="J34" s="301"/>
      <c r="K34" s="301"/>
      <c r="L34" s="301"/>
      <c r="M34" s="301"/>
      <c r="N34" s="861"/>
    </row>
    <row r="35" spans="2:17" ht="15.75" x14ac:dyDescent="0.25">
      <c r="B35" s="959"/>
      <c r="C35" s="29"/>
      <c r="D35" s="373" t="s">
        <v>832</v>
      </c>
      <c r="G35" s="301"/>
      <c r="H35" s="299"/>
      <c r="I35" s="533"/>
      <c r="J35" s="301"/>
      <c r="K35" s="301"/>
      <c r="L35" s="301"/>
      <c r="M35" s="301"/>
      <c r="N35" s="861"/>
    </row>
    <row r="36" spans="2:17" ht="15.75" x14ac:dyDescent="0.25">
      <c r="B36" s="959"/>
      <c r="C36" s="29"/>
      <c r="D36" s="373" t="s">
        <v>738</v>
      </c>
      <c r="G36" s="301"/>
      <c r="H36" s="299"/>
      <c r="I36" s="533"/>
      <c r="J36" s="301"/>
      <c r="K36" s="301"/>
      <c r="L36" s="301"/>
      <c r="M36" s="301"/>
      <c r="N36" s="861"/>
    </row>
    <row r="37" spans="2:17" ht="15.75" x14ac:dyDescent="0.25">
      <c r="B37" s="959"/>
      <c r="C37" s="29"/>
      <c r="D37" s="373" t="s">
        <v>835</v>
      </c>
      <c r="G37" s="301"/>
      <c r="H37" s="299"/>
      <c r="I37" s="533"/>
      <c r="J37" s="301"/>
      <c r="K37" s="301"/>
      <c r="L37" s="301"/>
      <c r="M37" s="301"/>
      <c r="N37" s="861"/>
    </row>
    <row r="38" spans="2:17" ht="18" customHeight="1" x14ac:dyDescent="0.25">
      <c r="B38" s="959"/>
      <c r="C38" s="29"/>
      <c r="D38" s="373" t="s">
        <v>710</v>
      </c>
    </row>
    <row r="39" spans="2:17" ht="18" customHeight="1" x14ac:dyDescent="0.25">
      <c r="B39" s="959"/>
      <c r="C39" s="29"/>
      <c r="D39" s="373" t="s">
        <v>836</v>
      </c>
    </row>
    <row r="40" spans="2:17" ht="18" customHeight="1" x14ac:dyDescent="0.25">
      <c r="B40" s="875"/>
      <c r="C40" s="29"/>
      <c r="D40" s="249"/>
    </row>
    <row r="41" spans="2:17" ht="18" customHeight="1" x14ac:dyDescent="0.25">
      <c r="B41" s="874" t="s">
        <v>643</v>
      </c>
      <c r="C41" s="874" t="s">
        <v>65</v>
      </c>
      <c r="D41" s="299" t="s">
        <v>715</v>
      </c>
      <c r="H41" s="27"/>
      <c r="I41" s="20"/>
      <c r="N41" s="25" t="s">
        <v>1145</v>
      </c>
    </row>
    <row r="42" spans="2:17" ht="15.75" customHeight="1" x14ac:dyDescent="0.25">
      <c r="B42" s="959"/>
      <c r="C42" s="959"/>
      <c r="D42" s="178" t="s">
        <v>716</v>
      </c>
    </row>
    <row r="43" spans="2:17" ht="15.75" customHeight="1" x14ac:dyDescent="0.25">
      <c r="B43" s="959"/>
      <c r="C43" s="959"/>
      <c r="D43" s="299" t="s">
        <v>740</v>
      </c>
      <c r="H43" s="26" t="s">
        <v>289</v>
      </c>
      <c r="I43" s="26"/>
      <c r="J43" s="455"/>
      <c r="K43" s="455"/>
      <c r="L43" s="455"/>
      <c r="M43" s="455"/>
      <c r="N43" s="25" t="s">
        <v>41</v>
      </c>
      <c r="O43" s="455"/>
      <c r="P43" s="455"/>
      <c r="Q43" s="455"/>
    </row>
    <row r="44" spans="2:17" ht="15.75" customHeight="1" x14ac:dyDescent="0.25">
      <c r="B44" s="959"/>
      <c r="C44" s="959"/>
      <c r="D44" s="299" t="s">
        <v>741</v>
      </c>
      <c r="H44" s="26"/>
      <c r="I44" s="26"/>
      <c r="J44" s="455"/>
      <c r="K44" s="455"/>
      <c r="L44" s="455"/>
      <c r="M44" s="455"/>
      <c r="N44" s="25"/>
      <c r="O44" s="455"/>
      <c r="P44" s="455"/>
      <c r="Q44" s="455"/>
    </row>
    <row r="45" spans="2:17" ht="15.75" customHeight="1" x14ac:dyDescent="0.25">
      <c r="B45" s="959"/>
      <c r="C45" s="959"/>
      <c r="D45" s="299" t="s">
        <v>719</v>
      </c>
      <c r="H45" s="26"/>
      <c r="I45" s="26"/>
      <c r="J45" s="455"/>
      <c r="K45" s="455"/>
      <c r="L45" s="455"/>
      <c r="M45" s="455"/>
      <c r="N45" s="25"/>
      <c r="O45" s="455"/>
      <c r="P45" s="455"/>
      <c r="Q45" s="455"/>
    </row>
    <row r="46" spans="2:17" ht="15.75" customHeight="1" x14ac:dyDescent="0.25">
      <c r="B46" s="959"/>
      <c r="C46" s="959"/>
      <c r="D46" s="550" t="s">
        <v>720</v>
      </c>
      <c r="H46" s="26"/>
      <c r="I46" s="26"/>
      <c r="J46" s="455"/>
      <c r="K46" s="455"/>
      <c r="L46" s="455"/>
      <c r="M46" s="455"/>
      <c r="N46" s="25"/>
      <c r="O46" s="455"/>
      <c r="P46" s="455"/>
      <c r="Q46" s="455"/>
    </row>
    <row r="47" spans="2:17" ht="15.75" customHeight="1" x14ac:dyDescent="0.25">
      <c r="B47" s="959"/>
      <c r="C47" s="959"/>
      <c r="D47" s="552" t="s">
        <v>833</v>
      </c>
      <c r="H47" s="18" t="s">
        <v>967</v>
      </c>
      <c r="I47" s="26"/>
      <c r="J47" s="455"/>
      <c r="K47" s="455"/>
      <c r="L47" s="455"/>
      <c r="M47" s="455"/>
      <c r="N47" s="25" t="s">
        <v>1154</v>
      </c>
      <c r="O47" s="455"/>
      <c r="P47" s="455"/>
      <c r="Q47" s="455"/>
    </row>
    <row r="48" spans="2:17" ht="15.75" x14ac:dyDescent="0.25">
      <c r="B48" s="959"/>
      <c r="C48" s="959"/>
      <c r="D48" s="178" t="s">
        <v>834</v>
      </c>
      <c r="H48" s="26" t="s">
        <v>970</v>
      </c>
      <c r="I48" s="26"/>
      <c r="J48" s="455"/>
      <c r="K48" s="455"/>
      <c r="L48" s="455"/>
      <c r="M48" s="455"/>
      <c r="N48" s="25" t="s">
        <v>1160</v>
      </c>
      <c r="O48" s="455"/>
      <c r="P48" s="455"/>
      <c r="Q48" s="455"/>
    </row>
    <row r="49" spans="2:17" ht="15.75" customHeight="1" x14ac:dyDescent="0.25">
      <c r="B49" s="959"/>
      <c r="C49" s="959"/>
      <c r="D49" s="29"/>
      <c r="H49" s="26"/>
      <c r="I49" s="26"/>
      <c r="J49" s="455"/>
      <c r="K49" s="455"/>
      <c r="L49" s="455"/>
      <c r="M49" s="455"/>
      <c r="N49" s="25"/>
      <c r="O49" s="455"/>
      <c r="P49" s="455"/>
      <c r="Q49" s="455"/>
    </row>
    <row r="50" spans="2:17" ht="15.75" customHeight="1" x14ac:dyDescent="0.25">
      <c r="B50" s="959"/>
      <c r="C50" s="959"/>
      <c r="D50" s="178"/>
      <c r="H50" s="456" t="s">
        <v>137</v>
      </c>
      <c r="I50" s="200"/>
      <c r="J50" s="455"/>
      <c r="K50" s="455"/>
      <c r="L50" s="455"/>
      <c r="M50" s="455"/>
      <c r="N50" s="25" t="s">
        <v>1195</v>
      </c>
      <c r="O50" s="455"/>
      <c r="P50" s="455"/>
      <c r="Q50" s="455"/>
    </row>
    <row r="51" spans="2:17" ht="15.75" customHeight="1" x14ac:dyDescent="0.25">
      <c r="B51" s="875"/>
      <c r="C51" s="875"/>
      <c r="D51" s="178"/>
      <c r="H51" s="456"/>
      <c r="I51" s="200"/>
      <c r="J51" s="455"/>
      <c r="K51" s="455"/>
      <c r="L51" s="455"/>
      <c r="M51" s="455"/>
      <c r="N51" s="25"/>
      <c r="O51" s="455"/>
      <c r="P51" s="455"/>
      <c r="Q51" s="455"/>
    </row>
    <row r="52" spans="2:17" ht="15.75" customHeight="1" x14ac:dyDescent="0.25">
      <c r="H52" s="456"/>
      <c r="I52" s="200"/>
      <c r="J52" s="455"/>
      <c r="K52" s="455"/>
      <c r="L52" s="455"/>
      <c r="M52" s="455"/>
      <c r="N52" s="25"/>
      <c r="O52" s="455"/>
      <c r="P52" s="455"/>
      <c r="Q52" s="455"/>
    </row>
    <row r="53" spans="2:17" ht="15.75" customHeight="1" x14ac:dyDescent="0.25">
      <c r="H53" s="26"/>
      <c r="I53" s="26"/>
      <c r="J53" s="455"/>
      <c r="K53" s="455"/>
      <c r="L53" s="455"/>
      <c r="M53" s="455"/>
      <c r="N53" s="25"/>
      <c r="O53" s="455"/>
      <c r="P53" s="455"/>
      <c r="Q53" s="455"/>
    </row>
    <row r="54" spans="2:17" ht="15.75" customHeight="1" x14ac:dyDescent="0.25">
      <c r="H54" s="26" t="s">
        <v>968</v>
      </c>
      <c r="I54" s="200"/>
      <c r="J54" s="455"/>
      <c r="K54" s="455"/>
      <c r="L54" s="455"/>
      <c r="M54" s="455"/>
      <c r="N54" s="25" t="s">
        <v>1156</v>
      </c>
      <c r="O54" s="455"/>
      <c r="P54" s="455"/>
      <c r="Q54" s="455"/>
    </row>
    <row r="55" spans="2:17" ht="15.75" customHeight="1" x14ac:dyDescent="0.25">
      <c r="H55" s="26" t="s">
        <v>969</v>
      </c>
      <c r="I55" s="200"/>
      <c r="J55" s="455"/>
      <c r="K55" s="455"/>
      <c r="L55" s="455"/>
      <c r="M55" s="455"/>
      <c r="N55" s="25" t="s">
        <v>1157</v>
      </c>
      <c r="O55" s="26"/>
      <c r="P55" s="455"/>
      <c r="Q55" s="455"/>
    </row>
    <row r="56" spans="2:17" ht="15.75" customHeight="1" x14ac:dyDescent="0.25">
      <c r="H56" s="26"/>
      <c r="N56" s="26"/>
      <c r="O56" s="26"/>
    </row>
    <row r="57" spans="2:17" ht="15.75" customHeight="1" x14ac:dyDescent="0.25">
      <c r="H57" s="26"/>
      <c r="N57" s="26"/>
      <c r="O57" s="26"/>
    </row>
    <row r="58" spans="2:17" ht="15.75" customHeight="1" x14ac:dyDescent="0.25">
      <c r="H58" s="958"/>
    </row>
    <row r="59" spans="2:17" ht="15.75" customHeight="1" x14ac:dyDescent="0.25">
      <c r="H59" s="958"/>
    </row>
    <row r="60" spans="2:17" ht="15.75" customHeight="1" x14ac:dyDescent="0.25">
      <c r="H60" s="342"/>
    </row>
    <row r="61" spans="2:17" ht="15.75" customHeight="1" x14ac:dyDescent="0.25">
      <c r="H61" s="342"/>
    </row>
    <row r="62" spans="2:17" ht="15.75" customHeight="1" x14ac:dyDescent="0.25">
      <c r="H62" s="342"/>
    </row>
    <row r="63" spans="2:17" ht="15.75" customHeight="1" x14ac:dyDescent="0.25">
      <c r="H63" s="342"/>
    </row>
    <row r="64" spans="2:17" ht="15.75" customHeight="1" x14ac:dyDescent="0.25">
      <c r="H64" s="342"/>
    </row>
    <row r="65" ht="15.75" customHeight="1" x14ac:dyDescent="0.25"/>
    <row r="66" ht="15.75" customHeight="1" x14ac:dyDescent="0.25"/>
    <row r="67" ht="15.75" customHeight="1" x14ac:dyDescent="0.25"/>
  </sheetData>
  <mergeCells count="46">
    <mergeCell ref="G20:G23"/>
    <mergeCell ref="H16:H19"/>
    <mergeCell ref="H12:H15"/>
    <mergeCell ref="H8:H11"/>
    <mergeCell ref="G5:G7"/>
    <mergeCell ref="H5:H7"/>
    <mergeCell ref="G16:G19"/>
    <mergeCell ref="G12:G15"/>
    <mergeCell ref="G8:G11"/>
    <mergeCell ref="H20:H23"/>
    <mergeCell ref="B5:D5"/>
    <mergeCell ref="B15:B16"/>
    <mergeCell ref="C15:C16"/>
    <mergeCell ref="B7:D7"/>
    <mergeCell ref="B6:D6"/>
    <mergeCell ref="B11:B12"/>
    <mergeCell ref="C11:C12"/>
    <mergeCell ref="B13:B14"/>
    <mergeCell ref="C13:C14"/>
    <mergeCell ref="N21:N24"/>
    <mergeCell ref="N26:N30"/>
    <mergeCell ref="N32:N37"/>
    <mergeCell ref="I5:I7"/>
    <mergeCell ref="N5:N7"/>
    <mergeCell ref="N15:N19"/>
    <mergeCell ref="J5:M5"/>
    <mergeCell ref="I8:I9"/>
    <mergeCell ref="I12:I13"/>
    <mergeCell ref="I16:I17"/>
    <mergeCell ref="N8:N9"/>
    <mergeCell ref="N10:N13"/>
    <mergeCell ref="I20:I21"/>
    <mergeCell ref="I32:I33"/>
    <mergeCell ref="I28:I29"/>
    <mergeCell ref="I24:I25"/>
    <mergeCell ref="H58:H59"/>
    <mergeCell ref="C41:C51"/>
    <mergeCell ref="C26:C30"/>
    <mergeCell ref="B26:B40"/>
    <mergeCell ref="B41:B51"/>
    <mergeCell ref="G24:G27"/>
    <mergeCell ref="G28:G31"/>
    <mergeCell ref="G32:G34"/>
    <mergeCell ref="H32:H34"/>
    <mergeCell ref="H28:H31"/>
    <mergeCell ref="H24:H27"/>
  </mergeCells>
  <pageMargins left="0.70866141732283472" right="0.70866141732283472" top="0.74803149606299213" bottom="0.74803149606299213" header="0.31496062992125984" footer="0.31496062992125984"/>
  <pageSetup scale="6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76B8F-376F-49B6-9E1D-6C73AD5D87B0}">
  <sheetPr>
    <pageSetUpPr fitToPage="1"/>
  </sheetPr>
  <dimension ref="A1:H51"/>
  <sheetViews>
    <sheetView topLeftCell="A14" zoomScale="77" workbookViewId="0">
      <selection activeCell="B42" sqref="B42:B43"/>
    </sheetView>
  </sheetViews>
  <sheetFormatPr defaultRowHeight="15" x14ac:dyDescent="0.25"/>
  <cols>
    <col min="1" max="1" width="8" customWidth="1"/>
    <col min="2" max="2" width="34.140625" customWidth="1"/>
    <col min="3" max="3" width="81.140625" customWidth="1"/>
    <col min="4" max="4" width="13.140625" customWidth="1"/>
    <col min="5" max="7" width="12.140625" customWidth="1"/>
    <col min="8" max="8" width="17.5703125" customWidth="1"/>
  </cols>
  <sheetData>
    <row r="1" spans="1:8" ht="15.75" x14ac:dyDescent="0.25">
      <c r="A1" s="964" t="s">
        <v>0</v>
      </c>
      <c r="B1" s="964" t="s">
        <v>644</v>
      </c>
      <c r="C1" s="964" t="s">
        <v>627</v>
      </c>
      <c r="D1" s="968" t="s">
        <v>664</v>
      </c>
      <c r="E1" s="969"/>
      <c r="F1" s="969"/>
      <c r="G1" s="970"/>
      <c r="H1" s="967" t="s">
        <v>645</v>
      </c>
    </row>
    <row r="2" spans="1:8" ht="47.25" x14ac:dyDescent="0.25">
      <c r="A2" s="965"/>
      <c r="B2" s="965"/>
      <c r="C2" s="965"/>
      <c r="D2" s="555" t="s">
        <v>646</v>
      </c>
      <c r="E2" s="555" t="s">
        <v>647</v>
      </c>
      <c r="F2" s="555" t="s">
        <v>648</v>
      </c>
      <c r="G2" s="555" t="s">
        <v>649</v>
      </c>
      <c r="H2" s="967"/>
    </row>
    <row r="3" spans="1:8" ht="15.75" x14ac:dyDescent="0.25">
      <c r="A3" s="966"/>
      <c r="B3" s="966"/>
      <c r="C3" s="966"/>
      <c r="D3" s="301" t="s">
        <v>650</v>
      </c>
      <c r="E3" s="301" t="s">
        <v>651</v>
      </c>
      <c r="F3" s="301" t="s">
        <v>652</v>
      </c>
      <c r="G3" s="301" t="s">
        <v>653</v>
      </c>
      <c r="H3" s="967"/>
    </row>
    <row r="4" spans="1:8" ht="15.75" x14ac:dyDescent="0.25">
      <c r="A4" s="874">
        <v>1</v>
      </c>
      <c r="B4" s="872" t="s">
        <v>727</v>
      </c>
      <c r="C4" s="872" t="s">
        <v>730</v>
      </c>
      <c r="D4" s="301" t="s">
        <v>809</v>
      </c>
      <c r="E4" s="301" t="s">
        <v>651</v>
      </c>
      <c r="F4" s="301" t="s">
        <v>652</v>
      </c>
      <c r="G4" s="301" t="s">
        <v>653</v>
      </c>
      <c r="H4" s="971" t="s">
        <v>654</v>
      </c>
    </row>
    <row r="5" spans="1:8" ht="15.75" x14ac:dyDescent="0.25">
      <c r="A5" s="959"/>
      <c r="B5" s="963"/>
      <c r="C5" s="873"/>
      <c r="D5" s="301"/>
      <c r="E5" s="301"/>
      <c r="F5" s="301"/>
      <c r="G5" s="301"/>
      <c r="H5" s="971"/>
    </row>
    <row r="6" spans="1:8" ht="15.75" x14ac:dyDescent="0.25">
      <c r="A6" s="959"/>
      <c r="B6" s="963"/>
      <c r="C6" s="533"/>
      <c r="D6" s="301"/>
      <c r="E6" s="301"/>
      <c r="F6" s="301"/>
      <c r="G6" s="301"/>
      <c r="H6" s="861" t="s">
        <v>655</v>
      </c>
    </row>
    <row r="7" spans="1:8" ht="15.75" x14ac:dyDescent="0.25">
      <c r="A7" s="875"/>
      <c r="B7" s="873"/>
      <c r="C7" s="533"/>
      <c r="D7" s="301"/>
      <c r="E7" s="301"/>
      <c r="F7" s="301"/>
      <c r="G7" s="301"/>
      <c r="H7" s="861"/>
    </row>
    <row r="8" spans="1:8" ht="15.75" x14ac:dyDescent="0.25">
      <c r="A8" s="874">
        <v>2</v>
      </c>
      <c r="B8" s="872" t="s">
        <v>742</v>
      </c>
      <c r="C8" s="872" t="s">
        <v>744</v>
      </c>
      <c r="D8" s="301" t="s">
        <v>809</v>
      </c>
      <c r="E8" s="301" t="s">
        <v>651</v>
      </c>
      <c r="F8" s="301" t="s">
        <v>652</v>
      </c>
      <c r="G8" s="301" t="s">
        <v>653</v>
      </c>
      <c r="H8" s="861"/>
    </row>
    <row r="9" spans="1:8" ht="15.75" x14ac:dyDescent="0.25">
      <c r="A9" s="959"/>
      <c r="B9" s="963"/>
      <c r="C9" s="873"/>
      <c r="D9" s="301"/>
      <c r="E9" s="301"/>
      <c r="F9" s="301"/>
      <c r="G9" s="301"/>
      <c r="H9" s="861"/>
    </row>
    <row r="10" spans="1:8" ht="15.75" x14ac:dyDescent="0.25">
      <c r="A10" s="959"/>
      <c r="B10" s="963"/>
      <c r="C10" s="533"/>
      <c r="D10" s="301"/>
      <c r="E10" s="301"/>
      <c r="F10" s="301"/>
      <c r="G10" s="301"/>
      <c r="H10" s="556" t="s">
        <v>656</v>
      </c>
    </row>
    <row r="11" spans="1:8" ht="15.75" x14ac:dyDescent="0.25">
      <c r="A11" s="875"/>
      <c r="B11" s="873"/>
      <c r="C11" s="533"/>
      <c r="D11" s="301"/>
      <c r="E11" s="301"/>
      <c r="F11" s="301"/>
      <c r="G11" s="301"/>
      <c r="H11" s="861" t="s">
        <v>657</v>
      </c>
    </row>
    <row r="12" spans="1:8" ht="15.75" x14ac:dyDescent="0.25">
      <c r="A12" s="874">
        <v>3</v>
      </c>
      <c r="B12" s="872" t="s">
        <v>743</v>
      </c>
      <c r="C12" s="872" t="s">
        <v>745</v>
      </c>
      <c r="D12" s="301" t="s">
        <v>809</v>
      </c>
      <c r="E12" s="301" t="s">
        <v>651</v>
      </c>
      <c r="F12" s="301" t="s">
        <v>652</v>
      </c>
      <c r="G12" s="301" t="s">
        <v>653</v>
      </c>
      <c r="H12" s="861"/>
    </row>
    <row r="13" spans="1:8" ht="15.75" x14ac:dyDescent="0.25">
      <c r="A13" s="959"/>
      <c r="B13" s="963"/>
      <c r="C13" s="873"/>
      <c r="D13" s="301"/>
      <c r="E13" s="301"/>
      <c r="F13" s="301"/>
      <c r="G13" s="301"/>
      <c r="H13" s="861"/>
    </row>
    <row r="14" spans="1:8" ht="15.75" x14ac:dyDescent="0.25">
      <c r="A14" s="959"/>
      <c r="B14" s="963"/>
      <c r="C14" s="533"/>
      <c r="D14" s="301"/>
      <c r="E14" s="301"/>
      <c r="F14" s="301"/>
      <c r="G14" s="301"/>
      <c r="H14" s="861"/>
    </row>
    <row r="15" spans="1:8" ht="15.75" x14ac:dyDescent="0.25">
      <c r="A15" s="875"/>
      <c r="B15" s="873"/>
      <c r="C15" s="533"/>
      <c r="D15" s="301"/>
      <c r="E15" s="301"/>
      <c r="F15" s="301"/>
      <c r="G15" s="301"/>
      <c r="H15" s="861"/>
    </row>
    <row r="16" spans="1:8" ht="15.75" x14ac:dyDescent="0.25">
      <c r="A16" s="874">
        <v>4</v>
      </c>
      <c r="B16" s="872" t="s">
        <v>749</v>
      </c>
      <c r="C16" s="872" t="s">
        <v>756</v>
      </c>
      <c r="D16" s="301" t="s">
        <v>809</v>
      </c>
      <c r="E16" s="301" t="s">
        <v>651</v>
      </c>
      <c r="F16" s="301" t="s">
        <v>652</v>
      </c>
      <c r="G16" s="301" t="s">
        <v>653</v>
      </c>
      <c r="H16" s="556" t="s">
        <v>658</v>
      </c>
    </row>
    <row r="17" spans="1:8" ht="15.75" x14ac:dyDescent="0.25">
      <c r="A17" s="959"/>
      <c r="B17" s="963"/>
      <c r="C17" s="873"/>
      <c r="D17" s="301"/>
      <c r="E17" s="301"/>
      <c r="F17" s="301"/>
      <c r="G17" s="301"/>
      <c r="H17" s="861" t="s">
        <v>659</v>
      </c>
    </row>
    <row r="18" spans="1:8" ht="15.75" x14ac:dyDescent="0.25">
      <c r="A18" s="959"/>
      <c r="B18" s="963"/>
      <c r="C18" s="533"/>
      <c r="D18" s="301"/>
      <c r="E18" s="301"/>
      <c r="F18" s="301"/>
      <c r="G18" s="301"/>
      <c r="H18" s="861"/>
    </row>
    <row r="19" spans="1:8" ht="15.75" x14ac:dyDescent="0.25">
      <c r="A19" s="875"/>
      <c r="B19" s="873"/>
      <c r="C19" s="533"/>
      <c r="D19" s="301"/>
      <c r="E19" s="301"/>
      <c r="F19" s="301"/>
      <c r="G19" s="301"/>
      <c r="H19" s="861"/>
    </row>
    <row r="20" spans="1:8" ht="15.75" x14ac:dyDescent="0.25">
      <c r="A20" s="874">
        <v>5</v>
      </c>
      <c r="B20" s="872" t="s">
        <v>757</v>
      </c>
      <c r="C20" s="872" t="s">
        <v>758</v>
      </c>
      <c r="D20" s="301" t="s">
        <v>809</v>
      </c>
      <c r="E20" s="301" t="s">
        <v>651</v>
      </c>
      <c r="F20" s="301" t="s">
        <v>652</v>
      </c>
      <c r="G20" s="301" t="s">
        <v>653</v>
      </c>
      <c r="H20" s="861"/>
    </row>
    <row r="21" spans="1:8" ht="15.75" x14ac:dyDescent="0.25">
      <c r="A21" s="959"/>
      <c r="B21" s="963"/>
      <c r="C21" s="873"/>
      <c r="D21" s="301"/>
      <c r="E21" s="301"/>
      <c r="F21" s="301"/>
      <c r="G21" s="301"/>
      <c r="H21" s="556" t="s">
        <v>660</v>
      </c>
    </row>
    <row r="22" spans="1:8" ht="15.75" x14ac:dyDescent="0.25">
      <c r="A22" s="959"/>
      <c r="B22" s="963"/>
      <c r="C22" s="533"/>
      <c r="D22" s="301"/>
      <c r="E22" s="301"/>
      <c r="F22" s="301"/>
      <c r="G22" s="301"/>
      <c r="H22" s="861" t="s">
        <v>661</v>
      </c>
    </row>
    <row r="23" spans="1:8" ht="15.75" x14ac:dyDescent="0.25">
      <c r="A23" s="875"/>
      <c r="B23" s="873"/>
      <c r="C23" s="533"/>
      <c r="D23" s="301"/>
      <c r="E23" s="301"/>
      <c r="F23" s="301"/>
      <c r="G23" s="301"/>
      <c r="H23" s="861"/>
    </row>
    <row r="24" spans="1:8" ht="15.75" x14ac:dyDescent="0.25">
      <c r="A24" s="874">
        <v>6</v>
      </c>
      <c r="B24" s="872" t="s">
        <v>728</v>
      </c>
      <c r="C24" s="872" t="s">
        <v>759</v>
      </c>
      <c r="D24" s="301" t="s">
        <v>809</v>
      </c>
      <c r="E24" s="301" t="s">
        <v>651</v>
      </c>
      <c r="F24" s="301" t="s">
        <v>652</v>
      </c>
      <c r="G24" s="301" t="s">
        <v>653</v>
      </c>
      <c r="H24" s="861"/>
    </row>
    <row r="25" spans="1:8" ht="15.75" x14ac:dyDescent="0.25">
      <c r="A25" s="959"/>
      <c r="B25" s="963"/>
      <c r="C25" s="873"/>
      <c r="D25" s="301"/>
      <c r="E25" s="301"/>
      <c r="F25" s="301"/>
      <c r="G25" s="301"/>
      <c r="H25" s="861"/>
    </row>
    <row r="26" spans="1:8" ht="15.75" x14ac:dyDescent="0.25">
      <c r="A26" s="959"/>
      <c r="B26" s="963"/>
      <c r="C26" s="533"/>
      <c r="D26" s="301"/>
      <c r="E26" s="301"/>
      <c r="F26" s="301"/>
      <c r="G26" s="301"/>
      <c r="H26" s="861"/>
    </row>
    <row r="27" spans="1:8" ht="15.75" x14ac:dyDescent="0.25">
      <c r="A27" s="875"/>
      <c r="B27" s="873"/>
      <c r="C27" s="533"/>
      <c r="D27" s="301"/>
      <c r="E27" s="301"/>
      <c r="F27" s="301"/>
      <c r="G27" s="301"/>
      <c r="H27" s="533" t="s">
        <v>662</v>
      </c>
    </row>
    <row r="28" spans="1:8" ht="15.75" x14ac:dyDescent="0.25">
      <c r="A28" s="874">
        <v>7</v>
      </c>
      <c r="B28" s="872" t="s">
        <v>837</v>
      </c>
      <c r="C28" s="872" t="s">
        <v>736</v>
      </c>
      <c r="D28" s="301" t="s">
        <v>809</v>
      </c>
      <c r="E28" s="301" t="s">
        <v>651</v>
      </c>
      <c r="F28" s="301" t="s">
        <v>652</v>
      </c>
      <c r="G28" s="301" t="s">
        <v>653</v>
      </c>
      <c r="H28" s="861" t="s">
        <v>663</v>
      </c>
    </row>
    <row r="29" spans="1:8" ht="15.75" x14ac:dyDescent="0.25">
      <c r="A29" s="959"/>
      <c r="B29" s="963"/>
      <c r="C29" s="873"/>
      <c r="D29" s="301"/>
      <c r="E29" s="301"/>
      <c r="F29" s="301"/>
      <c r="G29" s="301"/>
      <c r="H29" s="861"/>
    </row>
    <row r="30" spans="1:8" ht="15.75" x14ac:dyDescent="0.25">
      <c r="A30" s="875"/>
      <c r="B30" s="873"/>
      <c r="C30" s="533"/>
      <c r="D30" s="301"/>
      <c r="E30" s="301"/>
      <c r="F30" s="301"/>
      <c r="G30" s="301"/>
      <c r="H30" s="861"/>
    </row>
    <row r="31" spans="1:8" ht="15.75" x14ac:dyDescent="0.25">
      <c r="A31" s="301"/>
      <c r="B31" s="299"/>
      <c r="C31" s="533"/>
      <c r="D31" s="301"/>
      <c r="E31" s="301"/>
      <c r="F31" s="301"/>
      <c r="G31" s="301"/>
      <c r="H31" s="861"/>
    </row>
    <row r="32" spans="1:8" ht="15.75" x14ac:dyDescent="0.25">
      <c r="A32" s="301"/>
      <c r="B32" s="299"/>
      <c r="C32" s="533"/>
      <c r="D32" s="301"/>
      <c r="E32" s="301"/>
      <c r="F32" s="301"/>
      <c r="G32" s="301"/>
      <c r="H32" s="861"/>
    </row>
    <row r="33" spans="1:8" ht="15.75" x14ac:dyDescent="0.25">
      <c r="A33" s="301"/>
      <c r="B33" s="299"/>
      <c r="C33" s="533"/>
      <c r="D33" s="301"/>
      <c r="E33" s="301"/>
      <c r="F33" s="301"/>
      <c r="G33" s="301"/>
      <c r="H33" s="861"/>
    </row>
    <row r="36" spans="1:8" ht="15.75" x14ac:dyDescent="0.25">
      <c r="B36" s="28"/>
      <c r="E36" s="25"/>
      <c r="F36" s="27" t="s">
        <v>1145</v>
      </c>
    </row>
    <row r="37" spans="1:8" ht="15.75" x14ac:dyDescent="0.25">
      <c r="B37" s="28"/>
      <c r="E37" s="25"/>
    </row>
    <row r="38" spans="1:8" ht="15.75" x14ac:dyDescent="0.25">
      <c r="B38" s="28" t="s">
        <v>1623</v>
      </c>
      <c r="E38" s="25"/>
      <c r="F38" s="28" t="s">
        <v>41</v>
      </c>
    </row>
    <row r="39" spans="1:8" ht="15.75" x14ac:dyDescent="0.25">
      <c r="B39" s="28"/>
      <c r="E39" s="25"/>
      <c r="F39" s="28"/>
    </row>
    <row r="40" spans="1:8" ht="15.75" x14ac:dyDescent="0.25">
      <c r="B40" s="28"/>
      <c r="E40" s="25"/>
      <c r="F40" s="28"/>
    </row>
    <row r="41" spans="1:8" ht="15.75" x14ac:dyDescent="0.25">
      <c r="B41" s="28"/>
      <c r="E41" s="25"/>
      <c r="F41" s="28"/>
    </row>
    <row r="42" spans="1:8" ht="15.75" x14ac:dyDescent="0.25">
      <c r="B42" s="34" t="s">
        <v>1622</v>
      </c>
      <c r="E42" s="25"/>
      <c r="F42" s="34" t="s">
        <v>1154</v>
      </c>
    </row>
    <row r="43" spans="1:8" ht="15.75" x14ac:dyDescent="0.25">
      <c r="B43" s="28" t="s">
        <v>1683</v>
      </c>
      <c r="E43" s="25"/>
      <c r="F43" s="28" t="s">
        <v>1155</v>
      </c>
    </row>
    <row r="44" spans="1:8" ht="15.75" x14ac:dyDescent="0.25">
      <c r="B44" s="28"/>
      <c r="E44" s="25"/>
      <c r="F44" s="27"/>
    </row>
    <row r="45" spans="1:8" ht="15.75" x14ac:dyDescent="0.25">
      <c r="C45" s="142" t="s">
        <v>33</v>
      </c>
      <c r="E45" s="25"/>
    </row>
    <row r="46" spans="1:8" ht="15.75" x14ac:dyDescent="0.25">
      <c r="B46" s="28" t="s">
        <v>1624</v>
      </c>
      <c r="E46" s="25"/>
      <c r="F46" s="28" t="s">
        <v>1625</v>
      </c>
    </row>
    <row r="47" spans="1:8" ht="15.75" x14ac:dyDescent="0.25">
      <c r="B47" s="28"/>
      <c r="E47" s="25"/>
      <c r="F47" s="28"/>
    </row>
    <row r="48" spans="1:8" ht="15.75" x14ac:dyDescent="0.25">
      <c r="B48" s="28"/>
      <c r="E48" s="25"/>
      <c r="F48" s="28"/>
    </row>
    <row r="49" spans="2:6" ht="15.75" x14ac:dyDescent="0.25">
      <c r="B49" s="28"/>
      <c r="E49" s="25"/>
      <c r="F49" s="28"/>
    </row>
    <row r="50" spans="2:6" ht="15.75" x14ac:dyDescent="0.25">
      <c r="B50" s="34" t="s">
        <v>1156</v>
      </c>
      <c r="E50" s="25"/>
      <c r="F50" s="34" t="s">
        <v>1044</v>
      </c>
    </row>
    <row r="51" spans="2:6" ht="15.75" x14ac:dyDescent="0.25">
      <c r="B51" s="34" t="s">
        <v>1620</v>
      </c>
      <c r="E51" s="25"/>
      <c r="F51" s="28" t="s">
        <v>1621</v>
      </c>
    </row>
  </sheetData>
  <mergeCells count="32">
    <mergeCell ref="A28:A30"/>
    <mergeCell ref="B28:B30"/>
    <mergeCell ref="C28:C29"/>
    <mergeCell ref="H28:H33"/>
    <mergeCell ref="A16:A19"/>
    <mergeCell ref="B16:B19"/>
    <mergeCell ref="C16:C17"/>
    <mergeCell ref="H17:H20"/>
    <mergeCell ref="A20:A23"/>
    <mergeCell ref="B20:B23"/>
    <mergeCell ref="C20:C21"/>
    <mergeCell ref="H22:H26"/>
    <mergeCell ref="A24:A27"/>
    <mergeCell ref="B24:B27"/>
    <mergeCell ref="C24:C25"/>
    <mergeCell ref="A1:A3"/>
    <mergeCell ref="B1:B3"/>
    <mergeCell ref="C1:C3"/>
    <mergeCell ref="D1:G1"/>
    <mergeCell ref="H1:H3"/>
    <mergeCell ref="A4:A7"/>
    <mergeCell ref="B4:B7"/>
    <mergeCell ref="C4:C5"/>
    <mergeCell ref="H4:H5"/>
    <mergeCell ref="H6:H9"/>
    <mergeCell ref="A8:A11"/>
    <mergeCell ref="B8:B11"/>
    <mergeCell ref="C8:C9"/>
    <mergeCell ref="H11:H15"/>
    <mergeCell ref="A12:A15"/>
    <mergeCell ref="B12:B15"/>
    <mergeCell ref="C12:C13"/>
  </mergeCells>
  <printOptions horizontalCentered="1"/>
  <pageMargins left="0.7" right="0.7" top="0.75" bottom="0.75" header="0.3" footer="0.3"/>
  <pageSetup paperSize="9" scale="6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E6DAF-F04D-440C-A818-8E3705EE2895}">
  <sheetPr>
    <pageSetUpPr fitToPage="1"/>
  </sheetPr>
  <dimension ref="A1:C51"/>
  <sheetViews>
    <sheetView topLeftCell="A47" workbookViewId="0">
      <selection activeCell="C35" sqref="C35"/>
    </sheetView>
  </sheetViews>
  <sheetFormatPr defaultRowHeight="15" x14ac:dyDescent="0.25"/>
  <cols>
    <col min="1" max="1" width="53.5703125" customWidth="1"/>
    <col min="2" max="2" width="1.85546875" bestFit="1" customWidth="1"/>
    <col min="3" max="3" width="86.28515625" customWidth="1"/>
  </cols>
  <sheetData>
    <row r="1" spans="1:3" x14ac:dyDescent="0.25">
      <c r="C1" s="234" t="s">
        <v>1628</v>
      </c>
    </row>
    <row r="2" spans="1:3" x14ac:dyDescent="0.25">
      <c r="C2" s="640" t="s">
        <v>1616</v>
      </c>
    </row>
    <row r="5" spans="1:3" ht="18.75" x14ac:dyDescent="0.3">
      <c r="A5" s="751" t="s">
        <v>630</v>
      </c>
      <c r="B5" s="751"/>
      <c r="C5" s="751"/>
    </row>
    <row r="6" spans="1:3" ht="18.75" x14ac:dyDescent="0.25">
      <c r="A6" s="938" t="s">
        <v>639</v>
      </c>
      <c r="B6" s="938"/>
      <c r="C6" s="938"/>
    </row>
    <row r="7" spans="1:3" ht="18.75" x14ac:dyDescent="0.25">
      <c r="A7" s="938" t="s">
        <v>1665</v>
      </c>
      <c r="B7" s="938"/>
      <c r="C7" s="938"/>
    </row>
    <row r="10" spans="1:3" ht="15.75" x14ac:dyDescent="0.25">
      <c r="A10" s="299" t="s">
        <v>319</v>
      </c>
      <c r="B10" s="299" t="s">
        <v>65</v>
      </c>
      <c r="C10" s="299" t="s">
        <v>739</v>
      </c>
    </row>
    <row r="11" spans="1:3" ht="15.75" x14ac:dyDescent="0.25">
      <c r="A11" s="960" t="s">
        <v>632</v>
      </c>
      <c r="B11" s="960" t="s">
        <v>65</v>
      </c>
      <c r="C11" s="299" t="s">
        <v>750</v>
      </c>
    </row>
    <row r="12" spans="1:3" ht="15.75" x14ac:dyDescent="0.25">
      <c r="A12" s="962"/>
      <c r="B12" s="962"/>
      <c r="C12" s="553"/>
    </row>
    <row r="13" spans="1:3" ht="15.75" x14ac:dyDescent="0.25">
      <c r="A13" s="960" t="s">
        <v>633</v>
      </c>
      <c r="B13" s="960" t="s">
        <v>65</v>
      </c>
      <c r="C13" s="299" t="s">
        <v>751</v>
      </c>
    </row>
    <row r="14" spans="1:3" ht="15.75" x14ac:dyDescent="0.25">
      <c r="A14" s="962"/>
      <c r="B14" s="962"/>
      <c r="C14" s="299"/>
    </row>
    <row r="15" spans="1:3" ht="15.75" x14ac:dyDescent="0.25">
      <c r="A15" s="960" t="s">
        <v>634</v>
      </c>
      <c r="B15" s="960" t="s">
        <v>65</v>
      </c>
      <c r="C15" s="299" t="s">
        <v>752</v>
      </c>
    </row>
    <row r="16" spans="1:3" ht="15.75" x14ac:dyDescent="0.25">
      <c r="A16" s="962"/>
      <c r="B16" s="962"/>
      <c r="C16" s="299"/>
    </row>
    <row r="17" spans="1:3" ht="15.75" x14ac:dyDescent="0.25">
      <c r="A17" s="299" t="s">
        <v>635</v>
      </c>
      <c r="B17" s="299" t="s">
        <v>65</v>
      </c>
      <c r="C17" s="299" t="s">
        <v>753</v>
      </c>
    </row>
    <row r="18" spans="1:3" ht="15.75" x14ac:dyDescent="0.25">
      <c r="A18" s="299" t="s">
        <v>636</v>
      </c>
      <c r="B18" s="299" t="s">
        <v>34</v>
      </c>
      <c r="C18" s="299" t="s">
        <v>1059</v>
      </c>
    </row>
    <row r="19" spans="1:3" ht="15.75" x14ac:dyDescent="0.25">
      <c r="A19" s="299" t="s">
        <v>637</v>
      </c>
      <c r="B19" s="299" t="s">
        <v>65</v>
      </c>
      <c r="C19" s="299" t="s">
        <v>1666</v>
      </c>
    </row>
    <row r="20" spans="1:3" ht="15.75" x14ac:dyDescent="0.25">
      <c r="A20" s="554" t="s">
        <v>638</v>
      </c>
      <c r="B20" s="299" t="s">
        <v>65</v>
      </c>
      <c r="C20" s="299" t="s">
        <v>1667</v>
      </c>
    </row>
    <row r="21" spans="1:3" ht="15.75" x14ac:dyDescent="0.25">
      <c r="A21" s="554" t="s">
        <v>824</v>
      </c>
      <c r="B21" s="299" t="s">
        <v>65</v>
      </c>
      <c r="C21" s="299" t="s">
        <v>1236</v>
      </c>
    </row>
    <row r="24" spans="1:3" ht="15.75" x14ac:dyDescent="0.25">
      <c r="A24" s="299" t="s">
        <v>640</v>
      </c>
      <c r="B24" s="299" t="s">
        <v>65</v>
      </c>
      <c r="C24" s="299" t="s">
        <v>753</v>
      </c>
    </row>
    <row r="25" spans="1:3" ht="15.75" x14ac:dyDescent="0.25">
      <c r="A25" s="299" t="s">
        <v>641</v>
      </c>
      <c r="B25" s="299" t="s">
        <v>65</v>
      </c>
      <c r="C25" s="299" t="s">
        <v>1</v>
      </c>
    </row>
    <row r="26" spans="1:3" ht="15.75" x14ac:dyDescent="0.25">
      <c r="A26" s="874" t="s">
        <v>642</v>
      </c>
      <c r="B26" s="960" t="s">
        <v>65</v>
      </c>
      <c r="C26" s="373" t="s">
        <v>754</v>
      </c>
    </row>
    <row r="27" spans="1:3" ht="15.75" x14ac:dyDescent="0.25">
      <c r="A27" s="959"/>
      <c r="B27" s="961"/>
      <c r="C27" s="373" t="s">
        <v>755</v>
      </c>
    </row>
    <row r="28" spans="1:3" ht="15.75" x14ac:dyDescent="0.25">
      <c r="A28" s="959"/>
      <c r="B28" s="961"/>
      <c r="C28" s="373" t="s">
        <v>827</v>
      </c>
    </row>
    <row r="29" spans="1:3" ht="15.75" x14ac:dyDescent="0.25">
      <c r="A29" s="959"/>
      <c r="B29" s="961"/>
      <c r="C29" s="299" t="s">
        <v>828</v>
      </c>
    </row>
    <row r="30" spans="1:3" ht="15.75" x14ac:dyDescent="0.25">
      <c r="A30" s="959"/>
      <c r="B30" s="962"/>
      <c r="C30" s="299" t="s">
        <v>789</v>
      </c>
    </row>
    <row r="31" spans="1:3" ht="15.75" x14ac:dyDescent="0.25">
      <c r="A31" s="959"/>
      <c r="B31" s="29"/>
      <c r="C31" s="373" t="s">
        <v>829</v>
      </c>
    </row>
    <row r="32" spans="1:3" ht="15.75" x14ac:dyDescent="0.25">
      <c r="A32" s="959"/>
      <c r="B32" s="29"/>
      <c r="C32" s="373" t="s">
        <v>830</v>
      </c>
    </row>
    <row r="33" spans="1:3" ht="15.75" x14ac:dyDescent="0.25">
      <c r="A33" s="959"/>
      <c r="B33" s="29"/>
      <c r="C33" s="373" t="s">
        <v>831</v>
      </c>
    </row>
    <row r="34" spans="1:3" ht="31.5" x14ac:dyDescent="0.25">
      <c r="A34" s="959"/>
      <c r="B34" s="29"/>
      <c r="C34" s="551" t="s">
        <v>709</v>
      </c>
    </row>
    <row r="35" spans="1:3" ht="15.75" x14ac:dyDescent="0.25">
      <c r="A35" s="959"/>
      <c r="B35" s="29"/>
      <c r="C35" s="373" t="s">
        <v>832</v>
      </c>
    </row>
    <row r="36" spans="1:3" ht="15.75" x14ac:dyDescent="0.25">
      <c r="A36" s="959"/>
      <c r="B36" s="29"/>
      <c r="C36" s="373" t="s">
        <v>738</v>
      </c>
    </row>
    <row r="37" spans="1:3" ht="15.75" x14ac:dyDescent="0.25">
      <c r="A37" s="959"/>
      <c r="B37" s="29"/>
      <c r="C37" s="373" t="s">
        <v>835</v>
      </c>
    </row>
    <row r="38" spans="1:3" ht="15.75" x14ac:dyDescent="0.25">
      <c r="A38" s="959"/>
      <c r="B38" s="29"/>
      <c r="C38" s="373" t="s">
        <v>710</v>
      </c>
    </row>
    <row r="39" spans="1:3" ht="15.75" x14ac:dyDescent="0.25">
      <c r="A39" s="959"/>
      <c r="B39" s="29"/>
      <c r="C39" s="373" t="s">
        <v>836</v>
      </c>
    </row>
    <row r="40" spans="1:3" x14ac:dyDescent="0.25">
      <c r="A40" s="875"/>
      <c r="B40" s="29"/>
      <c r="C40" s="249"/>
    </row>
    <row r="41" spans="1:3" ht="15.75" x14ac:dyDescent="0.25">
      <c r="A41" s="874" t="s">
        <v>643</v>
      </c>
      <c r="B41" s="874" t="s">
        <v>65</v>
      </c>
      <c r="C41" s="299" t="s">
        <v>715</v>
      </c>
    </row>
    <row r="42" spans="1:3" ht="15.75" x14ac:dyDescent="0.25">
      <c r="A42" s="959"/>
      <c r="B42" s="959"/>
      <c r="C42" s="178" t="s">
        <v>716</v>
      </c>
    </row>
    <row r="43" spans="1:3" ht="15.75" x14ac:dyDescent="0.25">
      <c r="A43" s="959"/>
      <c r="B43" s="959"/>
      <c r="C43" s="299" t="s">
        <v>740</v>
      </c>
    </row>
    <row r="44" spans="1:3" ht="15.75" x14ac:dyDescent="0.25">
      <c r="A44" s="959"/>
      <c r="B44" s="959"/>
      <c r="C44" s="299" t="s">
        <v>741</v>
      </c>
    </row>
    <row r="45" spans="1:3" ht="15.75" x14ac:dyDescent="0.25">
      <c r="A45" s="959"/>
      <c r="B45" s="959"/>
      <c r="C45" s="299" t="s">
        <v>719</v>
      </c>
    </row>
    <row r="46" spans="1:3" ht="15.75" x14ac:dyDescent="0.25">
      <c r="A46" s="959"/>
      <c r="B46" s="959"/>
      <c r="C46" s="550" t="s">
        <v>720</v>
      </c>
    </row>
    <row r="47" spans="1:3" ht="15.75" x14ac:dyDescent="0.25">
      <c r="A47" s="959"/>
      <c r="B47" s="959"/>
      <c r="C47" s="552" t="s">
        <v>833</v>
      </c>
    </row>
    <row r="48" spans="1:3" ht="15.75" x14ac:dyDescent="0.25">
      <c r="A48" s="959"/>
      <c r="B48" s="959"/>
      <c r="C48" s="178" t="s">
        <v>834</v>
      </c>
    </row>
    <row r="49" spans="1:3" x14ac:dyDescent="0.25">
      <c r="A49" s="959"/>
      <c r="B49" s="959"/>
      <c r="C49" s="29"/>
    </row>
    <row r="50" spans="1:3" ht="15.75" x14ac:dyDescent="0.25">
      <c r="A50" s="959"/>
      <c r="B50" s="959"/>
      <c r="C50" s="178"/>
    </row>
    <row r="51" spans="1:3" ht="15.75" x14ac:dyDescent="0.25">
      <c r="A51" s="875"/>
      <c r="B51" s="875"/>
      <c r="C51" s="178"/>
    </row>
  </sheetData>
  <mergeCells count="13">
    <mergeCell ref="A15:A16"/>
    <mergeCell ref="B15:B16"/>
    <mergeCell ref="A26:A40"/>
    <mergeCell ref="B26:B30"/>
    <mergeCell ref="A41:A51"/>
    <mergeCell ref="B41:B51"/>
    <mergeCell ref="A13:A14"/>
    <mergeCell ref="B13:B14"/>
    <mergeCell ref="A5:C5"/>
    <mergeCell ref="A6:C6"/>
    <mergeCell ref="A7:C7"/>
    <mergeCell ref="A11:A12"/>
    <mergeCell ref="B11:B12"/>
  </mergeCells>
  <printOptions horizontalCentered="1"/>
  <pageMargins left="0.7" right="0.7" top="0.75" bottom="0.75" header="0.3" footer="0.3"/>
  <pageSetup paperSize="9" scale="62"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0"/>
    <pageSetUpPr fitToPage="1"/>
  </sheetPr>
  <dimension ref="A1:AL86"/>
  <sheetViews>
    <sheetView topLeftCell="E1" zoomScale="71" zoomScaleNormal="73" workbookViewId="0">
      <selection activeCell="Q16" sqref="Q16"/>
    </sheetView>
  </sheetViews>
  <sheetFormatPr defaultColWidth="9.140625" defaultRowHeight="15.75" x14ac:dyDescent="0.25"/>
  <cols>
    <col min="1" max="1" width="6.140625" style="25" customWidth="1"/>
    <col min="2" max="2" width="16.5703125" style="200" customWidth="1"/>
    <col min="3" max="3" width="47.5703125" style="25" customWidth="1"/>
    <col min="4" max="4" width="10" style="25" customWidth="1"/>
    <col min="5" max="5" width="19.5703125" style="25" bestFit="1" customWidth="1"/>
    <col min="6" max="6" width="16.7109375" style="25" bestFit="1" customWidth="1"/>
    <col min="7" max="7" width="17" style="25" bestFit="1" customWidth="1"/>
    <col min="8" max="8" width="16.7109375" style="25" bestFit="1" customWidth="1"/>
    <col min="9" max="9" width="17.140625" style="25" bestFit="1" customWidth="1"/>
    <col min="10" max="10" width="17.85546875" style="25" customWidth="1"/>
    <col min="11" max="11" width="16.7109375" style="25" bestFit="1" customWidth="1"/>
    <col min="12" max="12" width="19.5703125" style="25" customWidth="1"/>
    <col min="13" max="13" width="17" style="25" bestFit="1" customWidth="1"/>
    <col min="14" max="14" width="7.7109375" style="25" bestFit="1" customWidth="1"/>
    <col min="15" max="15" width="17.42578125" style="25" customWidth="1"/>
    <col min="16" max="17" width="16.7109375" style="25" bestFit="1" customWidth="1"/>
    <col min="18" max="18" width="11.28515625" style="25" bestFit="1" customWidth="1"/>
    <col min="19" max="19" width="17.42578125" style="25" customWidth="1"/>
    <col min="20" max="20" width="21.140625" style="25" customWidth="1"/>
    <col min="21" max="22" width="16.7109375" style="25" bestFit="1" customWidth="1"/>
    <col min="23" max="23" width="7.7109375" style="25" bestFit="1" customWidth="1"/>
    <col min="24" max="24" width="16.140625" style="25" bestFit="1" customWidth="1"/>
    <col min="25" max="27" width="16.7109375" style="25" bestFit="1" customWidth="1"/>
    <col min="28" max="28" width="9.140625" style="25"/>
    <col min="29" max="29" width="19.85546875" style="25" bestFit="1" customWidth="1"/>
    <col min="30" max="31" width="16.7109375" style="25" bestFit="1" customWidth="1"/>
    <col min="32" max="32" width="13.140625" style="25" bestFit="1" customWidth="1"/>
    <col min="33" max="33" width="9.7109375" style="25" bestFit="1" customWidth="1"/>
    <col min="34" max="34" width="11.5703125" style="346" customWidth="1"/>
    <col min="35" max="36" width="9.140625" style="346"/>
    <col min="37" max="16384" width="9.140625" style="25"/>
  </cols>
  <sheetData>
    <row r="1" spans="1:38" x14ac:dyDescent="0.25">
      <c r="B1" s="36"/>
    </row>
    <row r="2" spans="1:38" x14ac:dyDescent="0.25">
      <c r="A2" s="817" t="s">
        <v>26</v>
      </c>
      <c r="B2" s="817"/>
      <c r="C2" s="817"/>
      <c r="D2" s="817"/>
      <c r="E2" s="817"/>
      <c r="F2" s="817"/>
      <c r="G2" s="817"/>
      <c r="H2" s="817"/>
      <c r="I2" s="817"/>
      <c r="J2" s="817"/>
      <c r="K2" s="817"/>
      <c r="L2" s="817"/>
      <c r="M2" s="817"/>
      <c r="N2" s="817"/>
      <c r="O2" s="817"/>
      <c r="P2" s="817"/>
      <c r="Q2" s="817"/>
      <c r="R2" s="817"/>
      <c r="S2" s="817"/>
      <c r="T2" s="817"/>
      <c r="U2" s="817"/>
      <c r="V2" s="817"/>
      <c r="W2" s="817"/>
      <c r="X2" s="817"/>
      <c r="Y2" s="817"/>
      <c r="Z2" s="817"/>
      <c r="AA2" s="817"/>
      <c r="AB2" s="817"/>
      <c r="AC2" s="817"/>
      <c r="AD2" s="817"/>
      <c r="AE2" s="817"/>
      <c r="AF2" s="817"/>
      <c r="AG2" s="817"/>
    </row>
    <row r="3" spans="1:38" x14ac:dyDescent="0.25">
      <c r="A3" s="346"/>
      <c r="B3" s="480"/>
      <c r="C3" s="201"/>
      <c r="D3" s="201"/>
      <c r="E3" s="201"/>
      <c r="F3" s="201"/>
      <c r="G3" s="201"/>
      <c r="H3" s="201"/>
      <c r="I3" s="201"/>
      <c r="J3" s="201"/>
      <c r="K3" s="201"/>
      <c r="L3" s="201"/>
      <c r="M3" s="201"/>
      <c r="N3" s="201"/>
      <c r="O3" s="201"/>
      <c r="P3" s="201"/>
      <c r="Q3" s="201"/>
      <c r="R3" s="201"/>
    </row>
    <row r="4" spans="1:38" x14ac:dyDescent="0.25">
      <c r="J4" s="25" t="s">
        <v>38</v>
      </c>
      <c r="K4" s="481"/>
      <c r="L4" s="25" t="s">
        <v>886</v>
      </c>
      <c r="R4" s="25" t="s">
        <v>127</v>
      </c>
      <c r="T4" s="25" t="s">
        <v>887</v>
      </c>
    </row>
    <row r="5" spans="1:38" x14ac:dyDescent="0.25">
      <c r="J5" s="25" t="s">
        <v>102</v>
      </c>
      <c r="K5" s="481"/>
      <c r="L5" s="25" t="s">
        <v>888</v>
      </c>
      <c r="R5" s="25" t="s">
        <v>104</v>
      </c>
      <c r="T5" s="25" t="s">
        <v>1062</v>
      </c>
    </row>
    <row r="6" spans="1:38" x14ac:dyDescent="0.25">
      <c r="J6" s="25" t="s">
        <v>600</v>
      </c>
      <c r="K6" s="481"/>
      <c r="L6" s="25" t="s">
        <v>713</v>
      </c>
      <c r="R6" s="25" t="s">
        <v>40</v>
      </c>
      <c r="T6" s="25" t="s">
        <v>965</v>
      </c>
    </row>
    <row r="7" spans="1:38" x14ac:dyDescent="0.25">
      <c r="B7" s="36"/>
    </row>
    <row r="8" spans="1:38" x14ac:dyDescent="0.25">
      <c r="B8" s="36"/>
    </row>
    <row r="9" spans="1:38" x14ac:dyDescent="0.25">
      <c r="A9" s="978" t="s">
        <v>4</v>
      </c>
      <c r="B9" s="978" t="s">
        <v>1165</v>
      </c>
      <c r="C9" s="978" t="s">
        <v>126</v>
      </c>
      <c r="D9" s="978" t="s">
        <v>1166</v>
      </c>
      <c r="E9" s="991" t="s">
        <v>1167</v>
      </c>
      <c r="F9" s="992"/>
      <c r="G9" s="992"/>
      <c r="H9" s="992"/>
      <c r="I9" s="992"/>
      <c r="J9" s="992"/>
      <c r="K9" s="992"/>
      <c r="L9" s="992"/>
      <c r="M9" s="992"/>
      <c r="N9" s="992"/>
      <c r="O9" s="992"/>
      <c r="P9" s="992"/>
      <c r="Q9" s="992"/>
      <c r="R9" s="992"/>
      <c r="S9" s="992"/>
      <c r="T9" s="992"/>
      <c r="U9" s="992"/>
      <c r="V9" s="992"/>
      <c r="W9" s="992"/>
      <c r="X9" s="992"/>
      <c r="Y9" s="992"/>
      <c r="Z9" s="992"/>
      <c r="AA9" s="992"/>
      <c r="AB9" s="992"/>
      <c r="AC9" s="992"/>
      <c r="AD9" s="992"/>
      <c r="AE9" s="992"/>
      <c r="AF9" s="992"/>
      <c r="AG9" s="992"/>
      <c r="AH9" s="993"/>
      <c r="AI9" s="25"/>
      <c r="AJ9" s="25"/>
    </row>
    <row r="10" spans="1:38" x14ac:dyDescent="0.25">
      <c r="A10" s="979"/>
      <c r="B10" s="979"/>
      <c r="C10" s="979"/>
      <c r="D10" s="979"/>
      <c r="E10" s="585" t="s">
        <v>1168</v>
      </c>
      <c r="F10" s="673" t="s">
        <v>1169</v>
      </c>
      <c r="G10" s="673" t="s">
        <v>1170</v>
      </c>
      <c r="H10" s="673" t="s">
        <v>1171</v>
      </c>
      <c r="I10" s="673" t="s">
        <v>1016</v>
      </c>
      <c r="J10" s="673" t="s">
        <v>1172</v>
      </c>
      <c r="K10" s="673" t="s">
        <v>1169</v>
      </c>
      <c r="L10" s="673" t="s">
        <v>1170</v>
      </c>
      <c r="M10" s="673" t="s">
        <v>1173</v>
      </c>
      <c r="N10" s="673" t="s">
        <v>1174</v>
      </c>
      <c r="O10" s="673" t="s">
        <v>1210</v>
      </c>
      <c r="P10" s="673" t="s">
        <v>1169</v>
      </c>
      <c r="Q10" s="673" t="s">
        <v>1211</v>
      </c>
      <c r="R10" s="695" t="s">
        <v>1174</v>
      </c>
      <c r="S10" s="673" t="s">
        <v>1214</v>
      </c>
      <c r="T10" s="673" t="s">
        <v>1169</v>
      </c>
      <c r="U10" s="673" t="s">
        <v>1211</v>
      </c>
      <c r="V10" s="673" t="s">
        <v>1211</v>
      </c>
      <c r="W10" s="695" t="s">
        <v>1174</v>
      </c>
      <c r="X10" s="673" t="s">
        <v>1276</v>
      </c>
      <c r="Y10" s="673" t="s">
        <v>1169</v>
      </c>
      <c r="Z10" s="673" t="s">
        <v>1211</v>
      </c>
      <c r="AA10" s="673" t="s">
        <v>1211</v>
      </c>
      <c r="AB10" s="695" t="s">
        <v>1174</v>
      </c>
      <c r="AC10" s="673" t="s">
        <v>1394</v>
      </c>
      <c r="AD10" s="673" t="s">
        <v>1169</v>
      </c>
      <c r="AE10" s="673" t="s">
        <v>1211</v>
      </c>
      <c r="AF10" s="673" t="s">
        <v>1399</v>
      </c>
      <c r="AG10" s="695" t="s">
        <v>1174</v>
      </c>
      <c r="AH10" s="696" t="s">
        <v>28</v>
      </c>
      <c r="AI10" s="697" t="s">
        <v>1680</v>
      </c>
      <c r="AJ10" s="697" t="s">
        <v>1681</v>
      </c>
      <c r="AK10" s="697" t="s">
        <v>449</v>
      </c>
      <c r="AL10" s="698" t="s">
        <v>185</v>
      </c>
    </row>
    <row r="11" spans="1:38" x14ac:dyDescent="0.25">
      <c r="A11" s="980"/>
      <c r="B11" s="980"/>
      <c r="C11" s="980"/>
      <c r="D11" s="980"/>
      <c r="E11" s="585" t="s">
        <v>1175</v>
      </c>
      <c r="F11" s="586"/>
      <c r="G11" s="586"/>
      <c r="H11" s="586"/>
      <c r="I11" s="586"/>
      <c r="J11" s="587" t="s">
        <v>1176</v>
      </c>
      <c r="K11" s="586"/>
      <c r="L11" s="586"/>
      <c r="M11" s="586"/>
      <c r="N11" s="586"/>
      <c r="O11" s="588">
        <v>46055</v>
      </c>
      <c r="P11" s="586"/>
      <c r="Q11" s="586"/>
      <c r="R11" s="589"/>
      <c r="S11" s="588">
        <v>46114</v>
      </c>
      <c r="T11" s="586"/>
      <c r="U11" s="586"/>
      <c r="V11" s="586"/>
      <c r="W11" s="589"/>
      <c r="X11" s="588" t="s">
        <v>1393</v>
      </c>
      <c r="Y11" s="586"/>
      <c r="Z11" s="586"/>
      <c r="AA11" s="586"/>
      <c r="AB11" s="589"/>
      <c r="AC11" s="588" t="s">
        <v>1393</v>
      </c>
      <c r="AD11" s="586"/>
      <c r="AE11" s="586"/>
      <c r="AF11" s="586" t="s">
        <v>1400</v>
      </c>
      <c r="AG11" s="589"/>
      <c r="AH11" s="560"/>
      <c r="AI11" s="697"/>
      <c r="AJ11" s="697"/>
      <c r="AK11" s="697"/>
      <c r="AL11" s="698"/>
    </row>
    <row r="12" spans="1:38" x14ac:dyDescent="0.25">
      <c r="A12" s="557">
        <v>1</v>
      </c>
      <c r="B12" s="590" t="s">
        <v>889</v>
      </c>
      <c r="C12" s="591" t="s">
        <v>1240</v>
      </c>
      <c r="D12" s="203" t="s">
        <v>68</v>
      </c>
      <c r="E12" s="592" t="s">
        <v>66</v>
      </c>
      <c r="F12" s="557">
        <v>92</v>
      </c>
      <c r="G12" s="557">
        <v>93</v>
      </c>
      <c r="H12" s="557" t="s">
        <v>825</v>
      </c>
      <c r="I12" s="557" t="s">
        <v>2</v>
      </c>
      <c r="J12" s="592" t="s">
        <v>66</v>
      </c>
      <c r="K12" s="557">
        <v>94</v>
      </c>
      <c r="L12" s="557">
        <v>93</v>
      </c>
      <c r="M12" s="557" t="s">
        <v>825</v>
      </c>
      <c r="N12" s="558" t="s">
        <v>2</v>
      </c>
      <c r="O12" s="592" t="s">
        <v>66</v>
      </c>
      <c r="P12" s="557">
        <v>95</v>
      </c>
      <c r="Q12" s="557">
        <v>93</v>
      </c>
      <c r="R12" s="558" t="s">
        <v>2</v>
      </c>
      <c r="S12" s="557" t="s">
        <v>75</v>
      </c>
      <c r="T12" s="559">
        <v>0</v>
      </c>
      <c r="U12" s="559">
        <v>0</v>
      </c>
      <c r="V12" s="559">
        <v>0</v>
      </c>
      <c r="W12" s="559">
        <v>0</v>
      </c>
      <c r="X12" s="557" t="s">
        <v>66</v>
      </c>
      <c r="Y12" s="557">
        <v>93</v>
      </c>
      <c r="Z12" s="557">
        <v>94</v>
      </c>
      <c r="AA12" s="557" t="s">
        <v>825</v>
      </c>
      <c r="AB12" s="557" t="s">
        <v>2</v>
      </c>
      <c r="AC12" s="557" t="s">
        <v>66</v>
      </c>
      <c r="AD12" s="557">
        <v>92</v>
      </c>
      <c r="AE12" s="557">
        <v>93</v>
      </c>
      <c r="AF12" s="601">
        <v>92</v>
      </c>
      <c r="AG12" s="557" t="s">
        <v>2</v>
      </c>
      <c r="AH12" s="294">
        <f>AE12+AD12+Z12+Y12+Q12+P12+L12+K12+G12+F12+T12+U12</f>
        <v>932</v>
      </c>
      <c r="AI12" s="697">
        <f>AH12/12</f>
        <v>77.666666666666671</v>
      </c>
      <c r="AJ12" s="697">
        <f>AF12</f>
        <v>92</v>
      </c>
      <c r="AK12" s="697">
        <f>(AI12+AJ12)/2</f>
        <v>84.833333333333343</v>
      </c>
      <c r="AL12" s="698">
        <v>86</v>
      </c>
    </row>
    <row r="13" spans="1:38" s="603" customFormat="1" x14ac:dyDescent="0.25">
      <c r="A13" s="558">
        <v>2</v>
      </c>
      <c r="B13" s="602" t="s">
        <v>890</v>
      </c>
      <c r="C13" s="591" t="s">
        <v>1241</v>
      </c>
      <c r="D13" s="482" t="s">
        <v>68</v>
      </c>
      <c r="E13" s="558" t="s">
        <v>66</v>
      </c>
      <c r="F13" s="558">
        <v>90</v>
      </c>
      <c r="G13" s="558">
        <v>91</v>
      </c>
      <c r="H13" s="558" t="s">
        <v>825</v>
      </c>
      <c r="I13" s="558" t="s">
        <v>2</v>
      </c>
      <c r="J13" s="558" t="s">
        <v>66</v>
      </c>
      <c r="K13" s="558">
        <v>92</v>
      </c>
      <c r="L13" s="558">
        <v>92</v>
      </c>
      <c r="M13" s="558" t="s">
        <v>825</v>
      </c>
      <c r="N13" s="558" t="s">
        <v>2</v>
      </c>
      <c r="O13" s="596" t="s">
        <v>66</v>
      </c>
      <c r="P13" s="558">
        <v>90</v>
      </c>
      <c r="Q13" s="558">
        <v>92</v>
      </c>
      <c r="R13" s="558" t="s">
        <v>2</v>
      </c>
      <c r="S13" s="558" t="s">
        <v>66</v>
      </c>
      <c r="T13" s="558">
        <v>91</v>
      </c>
      <c r="U13" s="558">
        <v>92</v>
      </c>
      <c r="V13" s="558" t="s">
        <v>825</v>
      </c>
      <c r="W13" s="558" t="s">
        <v>2</v>
      </c>
      <c r="X13" s="558" t="s">
        <v>66</v>
      </c>
      <c r="Y13" s="558">
        <v>90</v>
      </c>
      <c r="Z13" s="558">
        <v>90</v>
      </c>
      <c r="AA13" s="558" t="s">
        <v>825</v>
      </c>
      <c r="AB13" s="558" t="s">
        <v>2</v>
      </c>
      <c r="AC13" s="558" t="s">
        <v>66</v>
      </c>
      <c r="AD13" s="558">
        <v>93</v>
      </c>
      <c r="AE13" s="558">
        <v>92</v>
      </c>
      <c r="AF13" s="601">
        <v>90</v>
      </c>
      <c r="AG13" s="558" t="s">
        <v>2</v>
      </c>
      <c r="AH13" s="294">
        <f t="shared" ref="AH13:AH47" si="0">AE13+AD13+Z13+Y13+Q13+P13+L13+K13+G13+F13+T13+U13</f>
        <v>1095</v>
      </c>
      <c r="AI13" s="697">
        <f t="shared" ref="AI13:AI47" si="1">AH13/12</f>
        <v>91.25</v>
      </c>
      <c r="AJ13" s="697">
        <f t="shared" ref="AJ13:AJ47" si="2">AF13</f>
        <v>90</v>
      </c>
      <c r="AK13" s="697">
        <f t="shared" ref="AK13:AK47" si="3">(AI13+AJ13)/2</f>
        <v>90.625</v>
      </c>
      <c r="AL13" s="698">
        <v>92</v>
      </c>
    </row>
    <row r="14" spans="1:38" s="603" customFormat="1" x14ac:dyDescent="0.25">
      <c r="A14" s="558">
        <v>3</v>
      </c>
      <c r="B14" s="602" t="s">
        <v>891</v>
      </c>
      <c r="C14" s="593" t="s">
        <v>1242</v>
      </c>
      <c r="D14" s="482" t="s">
        <v>68</v>
      </c>
      <c r="E14" s="596" t="s">
        <v>66</v>
      </c>
      <c r="F14" s="558">
        <v>90</v>
      </c>
      <c r="G14" s="558">
        <v>92</v>
      </c>
      <c r="H14" s="558" t="s">
        <v>76</v>
      </c>
      <c r="I14" s="558" t="s">
        <v>3</v>
      </c>
      <c r="J14" s="596" t="s">
        <v>75</v>
      </c>
      <c r="K14" s="559">
        <v>0</v>
      </c>
      <c r="L14" s="559">
        <v>0</v>
      </c>
      <c r="M14" s="559">
        <v>0</v>
      </c>
      <c r="N14" s="559">
        <v>0</v>
      </c>
      <c r="O14" s="596" t="s">
        <v>66</v>
      </c>
      <c r="P14" s="558">
        <v>91</v>
      </c>
      <c r="Q14" s="558">
        <v>92</v>
      </c>
      <c r="R14" s="558" t="s">
        <v>2</v>
      </c>
      <c r="S14" s="558" t="s">
        <v>66</v>
      </c>
      <c r="T14" s="558">
        <v>90</v>
      </c>
      <c r="U14" s="558">
        <v>90</v>
      </c>
      <c r="V14" s="558" t="s">
        <v>825</v>
      </c>
      <c r="W14" s="558" t="s">
        <v>3</v>
      </c>
      <c r="X14" s="558" t="s">
        <v>66</v>
      </c>
      <c r="Y14" s="558">
        <v>92</v>
      </c>
      <c r="Z14" s="558">
        <v>92</v>
      </c>
      <c r="AA14" s="558" t="s">
        <v>825</v>
      </c>
      <c r="AB14" s="558" t="s">
        <v>3</v>
      </c>
      <c r="AC14" s="558" t="s">
        <v>66</v>
      </c>
      <c r="AD14" s="558">
        <v>90</v>
      </c>
      <c r="AE14" s="558">
        <v>90</v>
      </c>
      <c r="AF14" s="601">
        <v>87</v>
      </c>
      <c r="AG14" s="558" t="s">
        <v>3</v>
      </c>
      <c r="AH14" s="294">
        <f t="shared" si="0"/>
        <v>909</v>
      </c>
      <c r="AI14" s="697">
        <f t="shared" si="1"/>
        <v>75.75</v>
      </c>
      <c r="AJ14" s="697">
        <f t="shared" si="2"/>
        <v>87</v>
      </c>
      <c r="AK14" s="697">
        <f t="shared" si="3"/>
        <v>81.375</v>
      </c>
      <c r="AL14" s="698">
        <v>81</v>
      </c>
    </row>
    <row r="15" spans="1:38" x14ac:dyDescent="0.25">
      <c r="A15" s="557">
        <v>4</v>
      </c>
      <c r="B15" s="590" t="s">
        <v>952</v>
      </c>
      <c r="C15" s="593" t="s">
        <v>1243</v>
      </c>
      <c r="D15" s="203" t="s">
        <v>68</v>
      </c>
      <c r="E15" s="592" t="s">
        <v>66</v>
      </c>
      <c r="F15" s="557">
        <v>93</v>
      </c>
      <c r="G15" s="557">
        <v>92</v>
      </c>
      <c r="H15" s="557" t="s">
        <v>825</v>
      </c>
      <c r="I15" s="557" t="s">
        <v>1</v>
      </c>
      <c r="J15" s="592" t="s">
        <v>66</v>
      </c>
      <c r="K15" s="557">
        <v>94</v>
      </c>
      <c r="L15" s="557">
        <v>95</v>
      </c>
      <c r="M15" s="557" t="s">
        <v>825</v>
      </c>
      <c r="N15" s="558" t="s">
        <v>2</v>
      </c>
      <c r="O15" s="592" t="s">
        <v>66</v>
      </c>
      <c r="P15" s="557">
        <v>94</v>
      </c>
      <c r="Q15" s="557">
        <v>92</v>
      </c>
      <c r="R15" s="558" t="s">
        <v>2</v>
      </c>
      <c r="S15" s="557" t="s">
        <v>66</v>
      </c>
      <c r="T15" s="557">
        <v>94</v>
      </c>
      <c r="U15" s="557">
        <v>94</v>
      </c>
      <c r="V15" s="557" t="s">
        <v>825</v>
      </c>
      <c r="W15" s="557" t="s">
        <v>1</v>
      </c>
      <c r="X15" s="557" t="s">
        <v>66</v>
      </c>
      <c r="Y15" s="557">
        <v>94</v>
      </c>
      <c r="Z15" s="557">
        <v>93</v>
      </c>
      <c r="AA15" s="557" t="s">
        <v>825</v>
      </c>
      <c r="AB15" s="557" t="s">
        <v>1</v>
      </c>
      <c r="AC15" s="557" t="s">
        <v>66</v>
      </c>
      <c r="AD15" s="557">
        <v>93</v>
      </c>
      <c r="AE15" s="557">
        <v>94</v>
      </c>
      <c r="AF15" s="601">
        <v>92</v>
      </c>
      <c r="AG15" s="557" t="s">
        <v>1</v>
      </c>
      <c r="AH15" s="294">
        <f t="shared" si="0"/>
        <v>1122</v>
      </c>
      <c r="AI15" s="697">
        <f t="shared" si="1"/>
        <v>93.5</v>
      </c>
      <c r="AJ15" s="697">
        <f t="shared" si="2"/>
        <v>92</v>
      </c>
      <c r="AK15" s="697">
        <f t="shared" si="3"/>
        <v>92.75</v>
      </c>
      <c r="AL15" s="698">
        <v>94</v>
      </c>
    </row>
    <row r="16" spans="1:38" x14ac:dyDescent="0.25">
      <c r="A16" s="557">
        <v>5</v>
      </c>
      <c r="B16" s="590" t="s">
        <v>955</v>
      </c>
      <c r="C16" s="591" t="s">
        <v>1244</v>
      </c>
      <c r="D16" s="203" t="s">
        <v>68</v>
      </c>
      <c r="E16" s="592" t="s">
        <v>66</v>
      </c>
      <c r="F16" s="557">
        <v>91</v>
      </c>
      <c r="G16" s="557">
        <v>93</v>
      </c>
      <c r="H16" s="557" t="s">
        <v>825</v>
      </c>
      <c r="I16" s="557" t="s">
        <v>1</v>
      </c>
      <c r="J16" s="592" t="s">
        <v>66</v>
      </c>
      <c r="K16" s="557">
        <v>93</v>
      </c>
      <c r="L16" s="557">
        <v>94</v>
      </c>
      <c r="M16" s="557" t="s">
        <v>825</v>
      </c>
      <c r="N16" s="558" t="s">
        <v>2</v>
      </c>
      <c r="O16" s="592" t="s">
        <v>66</v>
      </c>
      <c r="P16" s="557">
        <v>93</v>
      </c>
      <c r="Q16" s="557">
        <v>94</v>
      </c>
      <c r="R16" s="558" t="s">
        <v>2</v>
      </c>
      <c r="S16" s="557" t="s">
        <v>66</v>
      </c>
      <c r="T16" s="557">
        <v>93</v>
      </c>
      <c r="U16" s="557">
        <v>92</v>
      </c>
      <c r="V16" s="557" t="s">
        <v>825</v>
      </c>
      <c r="W16" s="557" t="s">
        <v>1</v>
      </c>
      <c r="X16" s="557" t="s">
        <v>66</v>
      </c>
      <c r="Y16" s="557">
        <v>93</v>
      </c>
      <c r="Z16" s="557">
        <v>92</v>
      </c>
      <c r="AA16" s="557" t="s">
        <v>825</v>
      </c>
      <c r="AB16" s="557" t="s">
        <v>1</v>
      </c>
      <c r="AC16" s="557" t="s">
        <v>66</v>
      </c>
      <c r="AD16" s="557">
        <v>90</v>
      </c>
      <c r="AE16" s="557">
        <v>92</v>
      </c>
      <c r="AF16" s="601">
        <v>89</v>
      </c>
      <c r="AG16" s="557" t="s">
        <v>1</v>
      </c>
      <c r="AH16" s="294">
        <f t="shared" si="0"/>
        <v>1110</v>
      </c>
      <c r="AI16" s="697">
        <f t="shared" si="1"/>
        <v>92.5</v>
      </c>
      <c r="AJ16" s="697">
        <f t="shared" si="2"/>
        <v>89</v>
      </c>
      <c r="AK16" s="697">
        <f t="shared" si="3"/>
        <v>90.75</v>
      </c>
      <c r="AL16" s="698">
        <v>93</v>
      </c>
    </row>
    <row r="17" spans="1:38" s="603" customFormat="1" x14ac:dyDescent="0.25">
      <c r="A17" s="558">
        <v>6</v>
      </c>
      <c r="B17" s="602" t="s">
        <v>892</v>
      </c>
      <c r="C17" s="591" t="s">
        <v>1245</v>
      </c>
      <c r="D17" s="482" t="s">
        <v>68</v>
      </c>
      <c r="E17" s="596" t="s">
        <v>66</v>
      </c>
      <c r="F17" s="558">
        <v>92</v>
      </c>
      <c r="G17" s="558">
        <v>92</v>
      </c>
      <c r="H17" s="558" t="s">
        <v>76</v>
      </c>
      <c r="I17" s="558" t="s">
        <v>2</v>
      </c>
      <c r="J17" s="596" t="s">
        <v>66</v>
      </c>
      <c r="K17" s="558">
        <v>92</v>
      </c>
      <c r="L17" s="558">
        <v>93</v>
      </c>
      <c r="M17" s="558" t="s">
        <v>825</v>
      </c>
      <c r="N17" s="558" t="s">
        <v>2</v>
      </c>
      <c r="O17" s="596" t="s">
        <v>66</v>
      </c>
      <c r="P17" s="558">
        <v>93</v>
      </c>
      <c r="Q17" s="558">
        <v>91</v>
      </c>
      <c r="R17" s="558" t="s">
        <v>2</v>
      </c>
      <c r="S17" s="558" t="s">
        <v>66</v>
      </c>
      <c r="T17" s="558">
        <v>91</v>
      </c>
      <c r="U17" s="558">
        <v>92</v>
      </c>
      <c r="V17" s="558" t="s">
        <v>825</v>
      </c>
      <c r="W17" s="558" t="s">
        <v>2</v>
      </c>
      <c r="X17" s="558" t="s">
        <v>75</v>
      </c>
      <c r="Y17" s="559">
        <v>0</v>
      </c>
      <c r="Z17" s="559">
        <v>0</v>
      </c>
      <c r="AA17" s="559">
        <v>0</v>
      </c>
      <c r="AB17" s="559">
        <v>0</v>
      </c>
      <c r="AC17" s="558" t="s">
        <v>66</v>
      </c>
      <c r="AD17" s="558">
        <v>93</v>
      </c>
      <c r="AE17" s="558">
        <v>93</v>
      </c>
      <c r="AF17" s="601">
        <v>86</v>
      </c>
      <c r="AG17" s="558" t="s">
        <v>1</v>
      </c>
      <c r="AH17" s="294">
        <f t="shared" si="0"/>
        <v>922</v>
      </c>
      <c r="AI17" s="697">
        <f t="shared" si="1"/>
        <v>76.833333333333329</v>
      </c>
      <c r="AJ17" s="697">
        <f t="shared" si="2"/>
        <v>86</v>
      </c>
      <c r="AK17" s="697">
        <f t="shared" si="3"/>
        <v>81.416666666666657</v>
      </c>
      <c r="AL17" s="698">
        <v>83</v>
      </c>
    </row>
    <row r="18" spans="1:38" s="603" customFormat="1" x14ac:dyDescent="0.25">
      <c r="A18" s="558">
        <v>7</v>
      </c>
      <c r="B18" s="602" t="s">
        <v>893</v>
      </c>
      <c r="C18" s="699" t="s">
        <v>1246</v>
      </c>
      <c r="D18" s="482" t="s">
        <v>68</v>
      </c>
      <c r="E18" s="596" t="s">
        <v>66</v>
      </c>
      <c r="F18" s="558">
        <v>90</v>
      </c>
      <c r="G18" s="558">
        <v>93</v>
      </c>
      <c r="H18" s="558" t="s">
        <v>825</v>
      </c>
      <c r="I18" s="558" t="s">
        <v>2</v>
      </c>
      <c r="J18" s="596" t="s">
        <v>75</v>
      </c>
      <c r="K18" s="559">
        <v>0</v>
      </c>
      <c r="L18" s="559">
        <v>0</v>
      </c>
      <c r="M18" s="559">
        <v>0</v>
      </c>
      <c r="N18" s="559">
        <v>0</v>
      </c>
      <c r="O18" s="596" t="s">
        <v>66</v>
      </c>
      <c r="P18" s="558">
        <v>93</v>
      </c>
      <c r="Q18" s="558">
        <v>93</v>
      </c>
      <c r="R18" s="558" t="s">
        <v>2</v>
      </c>
      <c r="S18" s="558" t="s">
        <v>75</v>
      </c>
      <c r="T18" s="559">
        <v>0</v>
      </c>
      <c r="U18" s="559">
        <v>0</v>
      </c>
      <c r="V18" s="559">
        <v>0</v>
      </c>
      <c r="W18" s="559">
        <v>0</v>
      </c>
      <c r="X18" s="558" t="s">
        <v>66</v>
      </c>
      <c r="Y18" s="558">
        <v>93</v>
      </c>
      <c r="Z18" s="558">
        <v>92</v>
      </c>
      <c r="AA18" s="558" t="s">
        <v>825</v>
      </c>
      <c r="AB18" s="558" t="s">
        <v>1</v>
      </c>
      <c r="AC18" s="558" t="s">
        <v>75</v>
      </c>
      <c r="AD18" s="559">
        <v>0</v>
      </c>
      <c r="AE18" s="559">
        <v>0</v>
      </c>
      <c r="AF18" s="559">
        <v>0</v>
      </c>
      <c r="AG18" s="559">
        <v>0</v>
      </c>
      <c r="AH18" s="294">
        <f t="shared" si="0"/>
        <v>554</v>
      </c>
      <c r="AI18" s="697">
        <f t="shared" si="1"/>
        <v>46.166666666666664</v>
      </c>
      <c r="AJ18" s="697">
        <v>80</v>
      </c>
      <c r="AK18" s="697">
        <f t="shared" si="3"/>
        <v>63.083333333333329</v>
      </c>
      <c r="AL18" s="700">
        <v>65</v>
      </c>
    </row>
    <row r="19" spans="1:38" s="603" customFormat="1" x14ac:dyDescent="0.25">
      <c r="A19" s="558">
        <v>8</v>
      </c>
      <c r="B19" s="602" t="s">
        <v>894</v>
      </c>
      <c r="C19" s="699" t="s">
        <v>1247</v>
      </c>
      <c r="D19" s="482" t="s">
        <v>68</v>
      </c>
      <c r="E19" s="596" t="s">
        <v>66</v>
      </c>
      <c r="F19" s="558">
        <v>93</v>
      </c>
      <c r="G19" s="558">
        <v>93</v>
      </c>
      <c r="H19" s="558" t="s">
        <v>76</v>
      </c>
      <c r="I19" s="558" t="s">
        <v>1</v>
      </c>
      <c r="J19" s="596" t="s">
        <v>66</v>
      </c>
      <c r="K19" s="558">
        <v>94</v>
      </c>
      <c r="L19" s="558">
        <v>92</v>
      </c>
      <c r="M19" s="558" t="s">
        <v>825</v>
      </c>
      <c r="N19" s="558" t="s">
        <v>1</v>
      </c>
      <c r="O19" s="596" t="s">
        <v>66</v>
      </c>
      <c r="P19" s="558">
        <v>93</v>
      </c>
      <c r="Q19" s="558">
        <v>93</v>
      </c>
      <c r="R19" s="558" t="s">
        <v>2</v>
      </c>
      <c r="S19" s="558" t="s">
        <v>66</v>
      </c>
      <c r="T19" s="558">
        <v>92</v>
      </c>
      <c r="U19" s="558">
        <v>90</v>
      </c>
      <c r="V19" s="558" t="s">
        <v>825</v>
      </c>
      <c r="W19" s="558" t="s">
        <v>1</v>
      </c>
      <c r="X19" s="558" t="s">
        <v>66</v>
      </c>
      <c r="Y19" s="558">
        <v>92</v>
      </c>
      <c r="Z19" s="558">
        <v>92</v>
      </c>
      <c r="AA19" s="558" t="s">
        <v>825</v>
      </c>
      <c r="AB19" s="558" t="s">
        <v>1</v>
      </c>
      <c r="AC19" s="558" t="s">
        <v>75</v>
      </c>
      <c r="AD19" s="559">
        <v>0</v>
      </c>
      <c r="AE19" s="559">
        <v>0</v>
      </c>
      <c r="AF19" s="559">
        <v>0</v>
      </c>
      <c r="AG19" s="559">
        <v>0</v>
      </c>
      <c r="AH19" s="294">
        <f t="shared" si="0"/>
        <v>924</v>
      </c>
      <c r="AI19" s="697">
        <f t="shared" si="1"/>
        <v>77</v>
      </c>
      <c r="AJ19" s="697">
        <v>80</v>
      </c>
      <c r="AK19" s="697">
        <f t="shared" si="3"/>
        <v>78.5</v>
      </c>
      <c r="AL19" s="700">
        <v>80</v>
      </c>
    </row>
    <row r="20" spans="1:38" s="603" customFormat="1" x14ac:dyDescent="0.25">
      <c r="A20" s="558">
        <v>9</v>
      </c>
      <c r="B20" s="602" t="s">
        <v>895</v>
      </c>
      <c r="C20" s="591" t="s">
        <v>1248</v>
      </c>
      <c r="D20" s="482" t="s">
        <v>68</v>
      </c>
      <c r="E20" s="596" t="s">
        <v>66</v>
      </c>
      <c r="F20" s="558">
        <v>90</v>
      </c>
      <c r="G20" s="558">
        <v>92</v>
      </c>
      <c r="H20" s="558" t="s">
        <v>76</v>
      </c>
      <c r="I20" s="558" t="s">
        <v>2</v>
      </c>
      <c r="J20" s="596" t="s">
        <v>66</v>
      </c>
      <c r="K20" s="558">
        <v>90</v>
      </c>
      <c r="L20" s="558">
        <v>91</v>
      </c>
      <c r="M20" s="558" t="s">
        <v>825</v>
      </c>
      <c r="N20" s="558" t="s">
        <v>2</v>
      </c>
      <c r="O20" s="596" t="s">
        <v>66</v>
      </c>
      <c r="P20" s="558">
        <v>92</v>
      </c>
      <c r="Q20" s="558">
        <v>93</v>
      </c>
      <c r="R20" s="558" t="s">
        <v>2</v>
      </c>
      <c r="S20" s="558" t="s">
        <v>66</v>
      </c>
      <c r="T20" s="558">
        <v>90</v>
      </c>
      <c r="U20" s="558">
        <v>92</v>
      </c>
      <c r="V20" s="558" t="s">
        <v>825</v>
      </c>
      <c r="W20" s="558" t="s">
        <v>2</v>
      </c>
      <c r="X20" s="558" t="s">
        <v>66</v>
      </c>
      <c r="Y20" s="558">
        <v>90</v>
      </c>
      <c r="Z20" s="558">
        <v>92</v>
      </c>
      <c r="AA20" s="558" t="s">
        <v>825</v>
      </c>
      <c r="AB20" s="558" t="s">
        <v>2</v>
      </c>
      <c r="AC20" s="558" t="s">
        <v>66</v>
      </c>
      <c r="AD20" s="558">
        <v>90</v>
      </c>
      <c r="AE20" s="558">
        <v>93</v>
      </c>
      <c r="AF20" s="601">
        <v>84</v>
      </c>
      <c r="AG20" s="558" t="s">
        <v>2</v>
      </c>
      <c r="AH20" s="294">
        <f t="shared" si="0"/>
        <v>1095</v>
      </c>
      <c r="AI20" s="697">
        <f t="shared" si="1"/>
        <v>91.25</v>
      </c>
      <c r="AJ20" s="697">
        <f t="shared" si="2"/>
        <v>84</v>
      </c>
      <c r="AK20" s="697">
        <f t="shared" si="3"/>
        <v>87.625</v>
      </c>
      <c r="AL20" s="698">
        <v>90</v>
      </c>
    </row>
    <row r="21" spans="1:38" x14ac:dyDescent="0.25">
      <c r="A21" s="557">
        <v>10</v>
      </c>
      <c r="B21" s="590" t="s">
        <v>896</v>
      </c>
      <c r="C21" s="591" t="s">
        <v>1249</v>
      </c>
      <c r="D21" s="203" t="s">
        <v>68</v>
      </c>
      <c r="E21" s="592" t="s">
        <v>66</v>
      </c>
      <c r="F21" s="557">
        <v>90</v>
      </c>
      <c r="G21" s="557">
        <v>94</v>
      </c>
      <c r="H21" s="557" t="s">
        <v>825</v>
      </c>
      <c r="I21" s="557" t="s">
        <v>1</v>
      </c>
      <c r="J21" s="592" t="s">
        <v>66</v>
      </c>
      <c r="K21" s="557">
        <v>95</v>
      </c>
      <c r="L21" s="557">
        <v>95</v>
      </c>
      <c r="M21" s="557" t="s">
        <v>825</v>
      </c>
      <c r="N21" s="558" t="s">
        <v>2</v>
      </c>
      <c r="O21" s="592" t="s">
        <v>66</v>
      </c>
      <c r="P21" s="557">
        <v>95</v>
      </c>
      <c r="Q21" s="557">
        <v>95</v>
      </c>
      <c r="R21" s="558" t="s">
        <v>2</v>
      </c>
      <c r="S21" s="557" t="s">
        <v>66</v>
      </c>
      <c r="T21" s="557">
        <v>90</v>
      </c>
      <c r="U21" s="557">
        <v>94</v>
      </c>
      <c r="V21" s="557" t="s">
        <v>825</v>
      </c>
      <c r="W21" s="557" t="s">
        <v>1</v>
      </c>
      <c r="X21" s="557" t="s">
        <v>66</v>
      </c>
      <c r="Y21" s="557">
        <v>93</v>
      </c>
      <c r="Z21" s="557">
        <v>93</v>
      </c>
      <c r="AA21" s="557" t="s">
        <v>825</v>
      </c>
      <c r="AB21" s="557" t="s">
        <v>1</v>
      </c>
      <c r="AC21" s="557" t="s">
        <v>66</v>
      </c>
      <c r="AD21" s="557">
        <v>90</v>
      </c>
      <c r="AE21" s="557">
        <v>94</v>
      </c>
      <c r="AF21" s="601">
        <v>88</v>
      </c>
      <c r="AG21" s="557" t="s">
        <v>1</v>
      </c>
      <c r="AH21" s="294">
        <f t="shared" si="0"/>
        <v>1118</v>
      </c>
      <c r="AI21" s="697">
        <f t="shared" si="1"/>
        <v>93.166666666666671</v>
      </c>
      <c r="AJ21" s="697">
        <f t="shared" si="2"/>
        <v>88</v>
      </c>
      <c r="AK21" s="697">
        <f t="shared" si="3"/>
        <v>90.583333333333343</v>
      </c>
      <c r="AL21" s="698">
        <v>92</v>
      </c>
    </row>
    <row r="22" spans="1:38" x14ac:dyDescent="0.25">
      <c r="A22" s="557">
        <v>11</v>
      </c>
      <c r="B22" s="590" t="s">
        <v>897</v>
      </c>
      <c r="C22" s="591" t="s">
        <v>1250</v>
      </c>
      <c r="D22" s="203" t="s">
        <v>1177</v>
      </c>
      <c r="E22" s="592" t="s">
        <v>66</v>
      </c>
      <c r="F22" s="557">
        <v>93</v>
      </c>
      <c r="G22" s="557">
        <v>94</v>
      </c>
      <c r="H22" s="557" t="s">
        <v>825</v>
      </c>
      <c r="I22" s="557" t="s">
        <v>1</v>
      </c>
      <c r="J22" s="592" t="s">
        <v>66</v>
      </c>
      <c r="K22" s="557">
        <v>93</v>
      </c>
      <c r="L22" s="557">
        <v>95</v>
      </c>
      <c r="M22" s="557" t="s">
        <v>825</v>
      </c>
      <c r="N22" s="558" t="s">
        <v>2</v>
      </c>
      <c r="O22" s="592" t="s">
        <v>66</v>
      </c>
      <c r="P22" s="557">
        <v>95</v>
      </c>
      <c r="Q22" s="557">
        <v>95</v>
      </c>
      <c r="R22" s="558" t="s">
        <v>2</v>
      </c>
      <c r="S22" s="557" t="s">
        <v>66</v>
      </c>
      <c r="T22" s="557">
        <v>94</v>
      </c>
      <c r="U22" s="557">
        <v>94</v>
      </c>
      <c r="V22" s="557" t="s">
        <v>825</v>
      </c>
      <c r="W22" s="557" t="s">
        <v>2</v>
      </c>
      <c r="X22" s="557" t="s">
        <v>66</v>
      </c>
      <c r="Y22" s="558">
        <v>94</v>
      </c>
      <c r="Z22" s="558">
        <v>92</v>
      </c>
      <c r="AA22" s="558" t="s">
        <v>825</v>
      </c>
      <c r="AB22" s="558" t="s">
        <v>2</v>
      </c>
      <c r="AC22" s="557" t="s">
        <v>66</v>
      </c>
      <c r="AD22" s="557">
        <v>93</v>
      </c>
      <c r="AE22" s="557">
        <v>94</v>
      </c>
      <c r="AF22" s="601">
        <v>88</v>
      </c>
      <c r="AG22" s="558" t="s">
        <v>2</v>
      </c>
      <c r="AH22" s="294">
        <f t="shared" si="0"/>
        <v>1126</v>
      </c>
      <c r="AI22" s="697">
        <f t="shared" si="1"/>
        <v>93.833333333333329</v>
      </c>
      <c r="AJ22" s="697">
        <f t="shared" si="2"/>
        <v>88</v>
      </c>
      <c r="AK22" s="697">
        <f t="shared" si="3"/>
        <v>90.916666666666657</v>
      </c>
      <c r="AL22" s="698">
        <v>91</v>
      </c>
    </row>
    <row r="23" spans="1:38" x14ac:dyDescent="0.25">
      <c r="A23" s="557">
        <v>12</v>
      </c>
      <c r="B23" s="590" t="s">
        <v>898</v>
      </c>
      <c r="C23" s="591" t="s">
        <v>1251</v>
      </c>
      <c r="D23" s="203" t="s">
        <v>1177</v>
      </c>
      <c r="E23" s="592" t="s">
        <v>66</v>
      </c>
      <c r="F23" s="557">
        <v>93</v>
      </c>
      <c r="G23" s="557">
        <v>93</v>
      </c>
      <c r="H23" s="557" t="s">
        <v>825</v>
      </c>
      <c r="I23" s="557" t="s">
        <v>2</v>
      </c>
      <c r="J23" s="592" t="s">
        <v>66</v>
      </c>
      <c r="K23" s="557">
        <v>93</v>
      </c>
      <c r="L23" s="557">
        <v>95</v>
      </c>
      <c r="M23" s="557" t="s">
        <v>825</v>
      </c>
      <c r="N23" s="558" t="s">
        <v>2</v>
      </c>
      <c r="O23" s="592" t="s">
        <v>66</v>
      </c>
      <c r="P23" s="557">
        <v>95</v>
      </c>
      <c r="Q23" s="557">
        <v>95</v>
      </c>
      <c r="R23" s="558" t="s">
        <v>2</v>
      </c>
      <c r="S23" s="557" t="s">
        <v>66</v>
      </c>
      <c r="T23" s="557">
        <v>93</v>
      </c>
      <c r="U23" s="557">
        <v>93</v>
      </c>
      <c r="V23" s="557" t="s">
        <v>825</v>
      </c>
      <c r="W23" s="557" t="s">
        <v>2</v>
      </c>
      <c r="X23" s="557" t="s">
        <v>66</v>
      </c>
      <c r="Y23" s="557">
        <v>94</v>
      </c>
      <c r="Z23" s="557">
        <v>93</v>
      </c>
      <c r="AA23" s="557" t="s">
        <v>825</v>
      </c>
      <c r="AB23" s="557" t="s">
        <v>2</v>
      </c>
      <c r="AC23" s="557" t="s">
        <v>66</v>
      </c>
      <c r="AD23" s="557">
        <v>93</v>
      </c>
      <c r="AE23" s="557">
        <v>93</v>
      </c>
      <c r="AF23" s="601">
        <v>92</v>
      </c>
      <c r="AG23" s="557" t="s">
        <v>2</v>
      </c>
      <c r="AH23" s="294">
        <f t="shared" si="0"/>
        <v>1123</v>
      </c>
      <c r="AI23" s="697">
        <f t="shared" si="1"/>
        <v>93.583333333333329</v>
      </c>
      <c r="AJ23" s="697">
        <f t="shared" si="2"/>
        <v>92</v>
      </c>
      <c r="AK23" s="697">
        <f t="shared" si="3"/>
        <v>92.791666666666657</v>
      </c>
      <c r="AL23" s="698">
        <v>94</v>
      </c>
    </row>
    <row r="24" spans="1:38" x14ac:dyDescent="0.25">
      <c r="A24" s="557">
        <v>13</v>
      </c>
      <c r="B24" s="590" t="s">
        <v>899</v>
      </c>
      <c r="C24" s="591" t="s">
        <v>1252</v>
      </c>
      <c r="D24" s="203" t="s">
        <v>68</v>
      </c>
      <c r="E24" s="592" t="s">
        <v>66</v>
      </c>
      <c r="F24" s="557">
        <v>90</v>
      </c>
      <c r="G24" s="557">
        <v>90</v>
      </c>
      <c r="H24" s="557" t="s">
        <v>825</v>
      </c>
      <c r="I24" s="557" t="s">
        <v>2</v>
      </c>
      <c r="J24" s="592" t="s">
        <v>66</v>
      </c>
      <c r="K24" s="557">
        <v>93</v>
      </c>
      <c r="L24" s="557">
        <v>95</v>
      </c>
      <c r="M24" s="557" t="s">
        <v>825</v>
      </c>
      <c r="N24" s="558" t="s">
        <v>2</v>
      </c>
      <c r="O24" s="592" t="s">
        <v>66</v>
      </c>
      <c r="P24" s="557">
        <v>95</v>
      </c>
      <c r="Q24" s="557">
        <v>90</v>
      </c>
      <c r="R24" s="558" t="s">
        <v>2</v>
      </c>
      <c r="S24" s="557" t="s">
        <v>75</v>
      </c>
      <c r="T24" s="559">
        <v>0</v>
      </c>
      <c r="U24" s="559">
        <v>0</v>
      </c>
      <c r="V24" s="559">
        <v>0</v>
      </c>
      <c r="W24" s="559">
        <v>0</v>
      </c>
      <c r="X24" s="557" t="s">
        <v>75</v>
      </c>
      <c r="Y24" s="559">
        <v>0</v>
      </c>
      <c r="Z24" s="559">
        <v>0</v>
      </c>
      <c r="AA24" s="559">
        <v>0</v>
      </c>
      <c r="AB24" s="559">
        <v>0</v>
      </c>
      <c r="AC24" s="557" t="s">
        <v>75</v>
      </c>
      <c r="AD24" s="559">
        <v>0</v>
      </c>
      <c r="AE24" s="559">
        <v>0</v>
      </c>
      <c r="AF24" s="559">
        <v>0</v>
      </c>
      <c r="AG24" s="559">
        <v>0</v>
      </c>
      <c r="AH24" s="294">
        <f t="shared" si="0"/>
        <v>553</v>
      </c>
      <c r="AI24" s="697">
        <f t="shared" si="1"/>
        <v>46.083333333333336</v>
      </c>
      <c r="AJ24" s="697">
        <v>80</v>
      </c>
      <c r="AK24" s="697">
        <f t="shared" si="3"/>
        <v>63.041666666666671</v>
      </c>
      <c r="AL24" s="698">
        <v>65</v>
      </c>
    </row>
    <row r="25" spans="1:38" x14ac:dyDescent="0.25">
      <c r="A25" s="557">
        <v>14</v>
      </c>
      <c r="B25" s="590" t="s">
        <v>900</v>
      </c>
      <c r="C25" s="591" t="s">
        <v>1253</v>
      </c>
      <c r="D25" s="482" t="s">
        <v>68</v>
      </c>
      <c r="E25" s="592" t="s">
        <v>66</v>
      </c>
      <c r="F25" s="557">
        <v>90</v>
      </c>
      <c r="G25" s="557">
        <v>90</v>
      </c>
      <c r="H25" s="557" t="s">
        <v>76</v>
      </c>
      <c r="I25" s="557" t="s">
        <v>2</v>
      </c>
      <c r="J25" s="592" t="s">
        <v>66</v>
      </c>
      <c r="K25" s="557">
        <v>93</v>
      </c>
      <c r="L25" s="557">
        <v>95</v>
      </c>
      <c r="M25" s="557" t="s">
        <v>825</v>
      </c>
      <c r="N25" s="558" t="s">
        <v>2</v>
      </c>
      <c r="O25" s="592" t="s">
        <v>66</v>
      </c>
      <c r="P25" s="557">
        <v>95</v>
      </c>
      <c r="Q25" s="557">
        <v>90</v>
      </c>
      <c r="R25" s="558" t="s">
        <v>2</v>
      </c>
      <c r="S25" s="557" t="s">
        <v>1178</v>
      </c>
      <c r="T25" s="559">
        <v>0</v>
      </c>
      <c r="U25" s="559">
        <v>0</v>
      </c>
      <c r="V25" s="559">
        <v>0</v>
      </c>
      <c r="W25" s="559">
        <v>0</v>
      </c>
      <c r="X25" s="557" t="s">
        <v>66</v>
      </c>
      <c r="Y25" s="557">
        <v>91</v>
      </c>
      <c r="Z25" s="557">
        <v>92</v>
      </c>
      <c r="AA25" s="557" t="s">
        <v>825</v>
      </c>
      <c r="AB25" s="557" t="s">
        <v>2</v>
      </c>
      <c r="AC25" s="557" t="s">
        <v>66</v>
      </c>
      <c r="AD25" s="557">
        <v>90</v>
      </c>
      <c r="AE25" s="557">
        <v>90</v>
      </c>
      <c r="AF25" s="601">
        <v>86</v>
      </c>
      <c r="AG25" s="557" t="s">
        <v>2</v>
      </c>
      <c r="AH25" s="294">
        <f t="shared" si="0"/>
        <v>916</v>
      </c>
      <c r="AI25" s="697">
        <f t="shared" si="1"/>
        <v>76.333333333333329</v>
      </c>
      <c r="AJ25" s="697">
        <f t="shared" si="2"/>
        <v>86</v>
      </c>
      <c r="AK25" s="697">
        <f t="shared" si="3"/>
        <v>81.166666666666657</v>
      </c>
      <c r="AL25" s="698">
        <v>83</v>
      </c>
    </row>
    <row r="26" spans="1:38" s="603" customFormat="1" x14ac:dyDescent="0.25">
      <c r="A26" s="558">
        <v>15</v>
      </c>
      <c r="B26" s="602" t="s">
        <v>901</v>
      </c>
      <c r="C26" s="699" t="s">
        <v>1254</v>
      </c>
      <c r="D26" s="482" t="s">
        <v>68</v>
      </c>
      <c r="E26" s="596" t="s">
        <v>66</v>
      </c>
      <c r="F26" s="558">
        <v>90</v>
      </c>
      <c r="G26" s="558">
        <v>90</v>
      </c>
      <c r="H26" s="558" t="s">
        <v>76</v>
      </c>
      <c r="I26" s="558" t="s">
        <v>2</v>
      </c>
      <c r="J26" s="596" t="s">
        <v>66</v>
      </c>
      <c r="K26" s="558">
        <v>91</v>
      </c>
      <c r="L26" s="558">
        <v>90</v>
      </c>
      <c r="M26" s="558" t="s">
        <v>825</v>
      </c>
      <c r="N26" s="558" t="s">
        <v>2</v>
      </c>
      <c r="O26" s="596" t="s">
        <v>75</v>
      </c>
      <c r="P26" s="559">
        <v>0</v>
      </c>
      <c r="Q26" s="559">
        <v>0</v>
      </c>
      <c r="R26" s="559">
        <v>0</v>
      </c>
      <c r="S26" s="558" t="s">
        <v>66</v>
      </c>
      <c r="T26" s="558">
        <v>91</v>
      </c>
      <c r="U26" s="558">
        <v>92</v>
      </c>
      <c r="V26" s="558" t="s">
        <v>825</v>
      </c>
      <c r="W26" s="558" t="s">
        <v>2</v>
      </c>
      <c r="X26" s="558" t="s">
        <v>66</v>
      </c>
      <c r="Y26" s="558">
        <v>91</v>
      </c>
      <c r="Z26" s="558">
        <v>92</v>
      </c>
      <c r="AA26" s="558" t="s">
        <v>825</v>
      </c>
      <c r="AB26" s="558" t="s">
        <v>2</v>
      </c>
      <c r="AC26" s="558" t="s">
        <v>75</v>
      </c>
      <c r="AD26" s="559">
        <v>0</v>
      </c>
      <c r="AE26" s="559">
        <v>0</v>
      </c>
      <c r="AF26" s="559">
        <v>0</v>
      </c>
      <c r="AG26" s="559">
        <v>0</v>
      </c>
      <c r="AH26" s="294">
        <f t="shared" si="0"/>
        <v>727</v>
      </c>
      <c r="AI26" s="697">
        <f t="shared" si="1"/>
        <v>60.583333333333336</v>
      </c>
      <c r="AJ26" s="697">
        <v>80</v>
      </c>
      <c r="AK26" s="697">
        <f t="shared" si="3"/>
        <v>70.291666666666671</v>
      </c>
      <c r="AL26" s="700">
        <v>71</v>
      </c>
    </row>
    <row r="27" spans="1:38" x14ac:dyDescent="0.25">
      <c r="A27" s="557">
        <v>16</v>
      </c>
      <c r="B27" s="590" t="s">
        <v>902</v>
      </c>
      <c r="C27" s="591" t="s">
        <v>1255</v>
      </c>
      <c r="D27" s="482" t="s">
        <v>1177</v>
      </c>
      <c r="E27" s="592" t="s">
        <v>66</v>
      </c>
      <c r="F27" s="557">
        <v>90</v>
      </c>
      <c r="G27" s="557">
        <v>95</v>
      </c>
      <c r="H27" s="557" t="s">
        <v>825</v>
      </c>
      <c r="I27" s="557" t="s">
        <v>2</v>
      </c>
      <c r="J27" s="592" t="s">
        <v>66</v>
      </c>
      <c r="K27" s="557">
        <v>92</v>
      </c>
      <c r="L27" s="557">
        <v>94</v>
      </c>
      <c r="M27" s="557" t="s">
        <v>825</v>
      </c>
      <c r="N27" s="558" t="s">
        <v>2</v>
      </c>
      <c r="O27" s="592" t="s">
        <v>66</v>
      </c>
      <c r="P27" s="557">
        <v>94</v>
      </c>
      <c r="Q27" s="557">
        <v>95</v>
      </c>
      <c r="R27" s="558" t="s">
        <v>2</v>
      </c>
      <c r="S27" s="557" t="s">
        <v>66</v>
      </c>
      <c r="T27" s="557">
        <v>90</v>
      </c>
      <c r="U27" s="557">
        <v>93</v>
      </c>
      <c r="V27" s="557" t="s">
        <v>825</v>
      </c>
      <c r="W27" s="557" t="s">
        <v>2</v>
      </c>
      <c r="X27" s="557" t="s">
        <v>66</v>
      </c>
      <c r="Y27" s="557">
        <v>92</v>
      </c>
      <c r="Z27" s="557">
        <v>92</v>
      </c>
      <c r="AA27" s="557" t="s">
        <v>825</v>
      </c>
      <c r="AB27" s="557" t="s">
        <v>2</v>
      </c>
      <c r="AC27" s="557" t="s">
        <v>66</v>
      </c>
      <c r="AD27" s="557">
        <v>90</v>
      </c>
      <c r="AE27" s="557">
        <v>93</v>
      </c>
      <c r="AF27" s="601">
        <v>92</v>
      </c>
      <c r="AG27" s="557" t="s">
        <v>2</v>
      </c>
      <c r="AH27" s="294">
        <f t="shared" si="0"/>
        <v>1110</v>
      </c>
      <c r="AI27" s="697">
        <f t="shared" si="1"/>
        <v>92.5</v>
      </c>
      <c r="AJ27" s="697">
        <f t="shared" si="2"/>
        <v>92</v>
      </c>
      <c r="AK27" s="697">
        <f t="shared" si="3"/>
        <v>92.25</v>
      </c>
      <c r="AL27" s="698">
        <v>91</v>
      </c>
    </row>
    <row r="28" spans="1:38" x14ac:dyDescent="0.25">
      <c r="A28" s="604">
        <v>17</v>
      </c>
      <c r="B28" s="594" t="s">
        <v>903</v>
      </c>
      <c r="C28" s="595" t="s">
        <v>1256</v>
      </c>
      <c r="D28" s="482" t="s">
        <v>68</v>
      </c>
      <c r="E28" s="596" t="s">
        <v>66</v>
      </c>
      <c r="F28" s="558">
        <v>93</v>
      </c>
      <c r="G28" s="558">
        <v>94</v>
      </c>
      <c r="H28" s="558" t="s">
        <v>825</v>
      </c>
      <c r="I28" s="557" t="s">
        <v>1</v>
      </c>
      <c r="J28" s="596" t="s">
        <v>66</v>
      </c>
      <c r="K28" s="558">
        <v>94</v>
      </c>
      <c r="L28" s="558">
        <v>93</v>
      </c>
      <c r="M28" s="558" t="s">
        <v>825</v>
      </c>
      <c r="N28" s="558" t="s">
        <v>1</v>
      </c>
      <c r="O28" s="592" t="s">
        <v>66</v>
      </c>
      <c r="P28" s="558">
        <v>95</v>
      </c>
      <c r="Q28" s="558">
        <v>95</v>
      </c>
      <c r="R28" s="558" t="s">
        <v>1</v>
      </c>
      <c r="S28" s="557" t="s">
        <v>66</v>
      </c>
      <c r="T28" s="558">
        <v>94</v>
      </c>
      <c r="U28" s="558">
        <v>94</v>
      </c>
      <c r="V28" s="558" t="s">
        <v>825</v>
      </c>
      <c r="W28" s="557" t="s">
        <v>1</v>
      </c>
      <c r="X28" s="557" t="s">
        <v>66</v>
      </c>
      <c r="Y28" s="558">
        <v>94</v>
      </c>
      <c r="Z28" s="558">
        <v>94</v>
      </c>
      <c r="AA28" s="558" t="s">
        <v>825</v>
      </c>
      <c r="AB28" s="557" t="s">
        <v>1</v>
      </c>
      <c r="AC28" s="557" t="s">
        <v>66</v>
      </c>
      <c r="AD28" s="558">
        <v>93</v>
      </c>
      <c r="AE28" s="558">
        <v>94</v>
      </c>
      <c r="AF28" s="601">
        <v>89</v>
      </c>
      <c r="AG28" s="557" t="s">
        <v>1</v>
      </c>
      <c r="AH28" s="294">
        <f t="shared" si="0"/>
        <v>1127</v>
      </c>
      <c r="AI28" s="697">
        <f t="shared" si="1"/>
        <v>93.916666666666671</v>
      </c>
      <c r="AJ28" s="697">
        <f t="shared" si="2"/>
        <v>89</v>
      </c>
      <c r="AK28" s="697">
        <f t="shared" si="3"/>
        <v>91.458333333333343</v>
      </c>
      <c r="AL28" s="698">
        <v>93</v>
      </c>
    </row>
    <row r="29" spans="1:38" x14ac:dyDescent="0.25">
      <c r="A29" s="557">
        <v>18</v>
      </c>
      <c r="B29" s="590" t="s">
        <v>904</v>
      </c>
      <c r="C29" s="591" t="s">
        <v>1257</v>
      </c>
      <c r="D29" s="482" t="s">
        <v>68</v>
      </c>
      <c r="E29" s="592" t="s">
        <v>66</v>
      </c>
      <c r="F29" s="557">
        <v>90</v>
      </c>
      <c r="G29" s="557">
        <v>93</v>
      </c>
      <c r="H29" s="557" t="s">
        <v>76</v>
      </c>
      <c r="I29" s="557" t="s">
        <v>2</v>
      </c>
      <c r="J29" s="592" t="s">
        <v>1178</v>
      </c>
      <c r="K29" s="559">
        <v>0</v>
      </c>
      <c r="L29" s="559">
        <v>0</v>
      </c>
      <c r="M29" s="559">
        <v>0</v>
      </c>
      <c r="N29" s="559">
        <v>0</v>
      </c>
      <c r="O29" s="592" t="s">
        <v>66</v>
      </c>
      <c r="P29" s="558">
        <v>95</v>
      </c>
      <c r="Q29" s="557">
        <v>93</v>
      </c>
      <c r="R29" s="558" t="s">
        <v>2</v>
      </c>
      <c r="S29" s="557" t="s">
        <v>75</v>
      </c>
      <c r="T29" s="559">
        <v>0</v>
      </c>
      <c r="U29" s="559">
        <v>0</v>
      </c>
      <c r="V29" s="559">
        <v>0</v>
      </c>
      <c r="W29" s="559">
        <v>0</v>
      </c>
      <c r="X29" s="557" t="s">
        <v>66</v>
      </c>
      <c r="Y29" s="558">
        <v>92</v>
      </c>
      <c r="Z29" s="558">
        <v>91</v>
      </c>
      <c r="AA29" s="558" t="s">
        <v>825</v>
      </c>
      <c r="AB29" s="558" t="s">
        <v>2</v>
      </c>
      <c r="AC29" s="557" t="s">
        <v>66</v>
      </c>
      <c r="AD29" s="557">
        <v>90</v>
      </c>
      <c r="AE29" s="557">
        <v>90</v>
      </c>
      <c r="AF29" s="601">
        <v>92</v>
      </c>
      <c r="AG29" s="558" t="s">
        <v>2</v>
      </c>
      <c r="AH29" s="294">
        <f t="shared" si="0"/>
        <v>734</v>
      </c>
      <c r="AI29" s="697">
        <f t="shared" si="1"/>
        <v>61.166666666666664</v>
      </c>
      <c r="AJ29" s="697">
        <f t="shared" si="2"/>
        <v>92</v>
      </c>
      <c r="AK29" s="697">
        <f t="shared" si="3"/>
        <v>76.583333333333329</v>
      </c>
      <c r="AL29" s="698">
        <v>78</v>
      </c>
    </row>
    <row r="30" spans="1:38" s="603" customFormat="1" x14ac:dyDescent="0.25">
      <c r="A30" s="558">
        <v>19</v>
      </c>
      <c r="B30" s="602" t="s">
        <v>905</v>
      </c>
      <c r="C30" s="591" t="s">
        <v>1258</v>
      </c>
      <c r="D30" s="482" t="s">
        <v>68</v>
      </c>
      <c r="E30" s="596" t="s">
        <v>66</v>
      </c>
      <c r="F30" s="558">
        <v>92</v>
      </c>
      <c r="G30" s="558">
        <v>90</v>
      </c>
      <c r="H30" s="558" t="s">
        <v>825</v>
      </c>
      <c r="I30" s="558" t="s">
        <v>3</v>
      </c>
      <c r="J30" s="596" t="s">
        <v>66</v>
      </c>
      <c r="K30" s="558">
        <v>90</v>
      </c>
      <c r="L30" s="558">
        <v>90</v>
      </c>
      <c r="M30" s="558" t="s">
        <v>825</v>
      </c>
      <c r="N30" s="558" t="s">
        <v>3</v>
      </c>
      <c r="O30" s="596" t="s">
        <v>66</v>
      </c>
      <c r="P30" s="558">
        <v>91</v>
      </c>
      <c r="Q30" s="558">
        <v>90</v>
      </c>
      <c r="R30" s="558" t="s">
        <v>3</v>
      </c>
      <c r="S30" s="558" t="s">
        <v>66</v>
      </c>
      <c r="T30" s="558">
        <v>92</v>
      </c>
      <c r="U30" s="558">
        <v>90</v>
      </c>
      <c r="V30" s="558" t="s">
        <v>825</v>
      </c>
      <c r="W30" s="558" t="s">
        <v>3</v>
      </c>
      <c r="X30" s="558" t="s">
        <v>66</v>
      </c>
      <c r="Y30" s="558">
        <v>90</v>
      </c>
      <c r="Z30" s="558">
        <v>90</v>
      </c>
      <c r="AA30" s="558" t="s">
        <v>825</v>
      </c>
      <c r="AB30" s="558" t="s">
        <v>3</v>
      </c>
      <c r="AC30" s="558" t="s">
        <v>66</v>
      </c>
      <c r="AD30" s="558">
        <v>93</v>
      </c>
      <c r="AE30" s="558">
        <v>90</v>
      </c>
      <c r="AF30" s="601">
        <v>94</v>
      </c>
      <c r="AG30" s="558" t="s">
        <v>3</v>
      </c>
      <c r="AH30" s="294">
        <f t="shared" si="0"/>
        <v>1088</v>
      </c>
      <c r="AI30" s="697">
        <f t="shared" si="1"/>
        <v>90.666666666666671</v>
      </c>
      <c r="AJ30" s="697">
        <f t="shared" si="2"/>
        <v>94</v>
      </c>
      <c r="AK30" s="697">
        <f t="shared" si="3"/>
        <v>92.333333333333343</v>
      </c>
      <c r="AL30" s="698">
        <v>91</v>
      </c>
    </row>
    <row r="31" spans="1:38" x14ac:dyDescent="0.25">
      <c r="A31" s="557">
        <v>20</v>
      </c>
      <c r="B31" s="590" t="s">
        <v>906</v>
      </c>
      <c r="C31" s="591" t="s">
        <v>1259</v>
      </c>
      <c r="D31" s="482" t="s">
        <v>1177</v>
      </c>
      <c r="E31" s="592" t="s">
        <v>66</v>
      </c>
      <c r="F31" s="557">
        <v>90</v>
      </c>
      <c r="G31" s="557">
        <v>93</v>
      </c>
      <c r="H31" s="557" t="s">
        <v>825</v>
      </c>
      <c r="I31" s="557" t="s">
        <v>2</v>
      </c>
      <c r="J31" s="592" t="s">
        <v>66</v>
      </c>
      <c r="K31" s="557">
        <v>93</v>
      </c>
      <c r="L31" s="557">
        <v>95</v>
      </c>
      <c r="M31" s="557" t="s">
        <v>825</v>
      </c>
      <c r="N31" s="558" t="s">
        <v>2</v>
      </c>
      <c r="O31" s="592" t="s">
        <v>66</v>
      </c>
      <c r="P31" s="557">
        <v>95</v>
      </c>
      <c r="Q31" s="557">
        <v>95</v>
      </c>
      <c r="R31" s="558" t="s">
        <v>2</v>
      </c>
      <c r="S31" s="557" t="s">
        <v>66</v>
      </c>
      <c r="T31" s="557">
        <v>90</v>
      </c>
      <c r="U31" s="557">
        <v>93</v>
      </c>
      <c r="V31" s="557" t="s">
        <v>825</v>
      </c>
      <c r="W31" s="557" t="s">
        <v>2</v>
      </c>
      <c r="X31" s="557" t="s">
        <v>66</v>
      </c>
      <c r="Y31" s="557">
        <v>93</v>
      </c>
      <c r="Z31" s="557">
        <v>93</v>
      </c>
      <c r="AA31" s="557" t="s">
        <v>825</v>
      </c>
      <c r="AB31" s="557" t="s">
        <v>2</v>
      </c>
      <c r="AC31" s="557" t="s">
        <v>66</v>
      </c>
      <c r="AD31" s="557">
        <v>90</v>
      </c>
      <c r="AE31" s="557">
        <v>93</v>
      </c>
      <c r="AF31" s="601">
        <v>88</v>
      </c>
      <c r="AG31" s="557" t="s">
        <v>2</v>
      </c>
      <c r="AH31" s="294">
        <f t="shared" si="0"/>
        <v>1113</v>
      </c>
      <c r="AI31" s="697">
        <f t="shared" si="1"/>
        <v>92.75</v>
      </c>
      <c r="AJ31" s="697">
        <f t="shared" si="2"/>
        <v>88</v>
      </c>
      <c r="AK31" s="697">
        <f t="shared" si="3"/>
        <v>90.375</v>
      </c>
      <c r="AL31" s="698">
        <v>91</v>
      </c>
    </row>
    <row r="32" spans="1:38" x14ac:dyDescent="0.25">
      <c r="A32" s="557">
        <v>21</v>
      </c>
      <c r="B32" s="590" t="s">
        <v>907</v>
      </c>
      <c r="C32" s="591" t="s">
        <v>1260</v>
      </c>
      <c r="D32" s="482" t="s">
        <v>1177</v>
      </c>
      <c r="E32" s="592" t="s">
        <v>66</v>
      </c>
      <c r="F32" s="557">
        <v>93</v>
      </c>
      <c r="G32" s="557">
        <v>93</v>
      </c>
      <c r="H32" s="557" t="s">
        <v>825</v>
      </c>
      <c r="I32" s="557" t="s">
        <v>2</v>
      </c>
      <c r="J32" s="592" t="s">
        <v>66</v>
      </c>
      <c r="K32" s="557">
        <v>90</v>
      </c>
      <c r="L32" s="557">
        <v>94</v>
      </c>
      <c r="M32" s="557" t="s">
        <v>825</v>
      </c>
      <c r="N32" s="558" t="s">
        <v>2</v>
      </c>
      <c r="O32" s="592" t="s">
        <v>66</v>
      </c>
      <c r="P32" s="557">
        <v>94</v>
      </c>
      <c r="Q32" s="557">
        <v>95</v>
      </c>
      <c r="R32" s="558" t="s">
        <v>2</v>
      </c>
      <c r="S32" s="557" t="s">
        <v>66</v>
      </c>
      <c r="T32" s="557">
        <v>93</v>
      </c>
      <c r="U32" s="557">
        <v>94</v>
      </c>
      <c r="V32" s="557" t="s">
        <v>825</v>
      </c>
      <c r="W32" s="557" t="s">
        <v>2</v>
      </c>
      <c r="X32" s="557" t="s">
        <v>66</v>
      </c>
      <c r="Y32" s="557">
        <v>93</v>
      </c>
      <c r="Z32" s="557">
        <v>93</v>
      </c>
      <c r="AA32" s="557" t="s">
        <v>825</v>
      </c>
      <c r="AB32" s="557" t="s">
        <v>2</v>
      </c>
      <c r="AC32" s="557" t="s">
        <v>66</v>
      </c>
      <c r="AD32" s="557">
        <v>93</v>
      </c>
      <c r="AE32" s="557">
        <v>94</v>
      </c>
      <c r="AF32" s="601">
        <v>88</v>
      </c>
      <c r="AG32" s="557" t="s">
        <v>2</v>
      </c>
      <c r="AH32" s="294">
        <f t="shared" si="0"/>
        <v>1119</v>
      </c>
      <c r="AI32" s="697">
        <f t="shared" si="1"/>
        <v>93.25</v>
      </c>
      <c r="AJ32" s="697">
        <f t="shared" si="2"/>
        <v>88</v>
      </c>
      <c r="AK32" s="697">
        <f t="shared" si="3"/>
        <v>90.625</v>
      </c>
      <c r="AL32" s="698">
        <v>92</v>
      </c>
    </row>
    <row r="33" spans="1:38" s="603" customFormat="1" x14ac:dyDescent="0.25">
      <c r="A33" s="558">
        <v>22</v>
      </c>
      <c r="B33" s="602" t="s">
        <v>908</v>
      </c>
      <c r="C33" s="591" t="s">
        <v>1261</v>
      </c>
      <c r="D33" s="482" t="s">
        <v>68</v>
      </c>
      <c r="E33" s="596" t="s">
        <v>66</v>
      </c>
      <c r="F33" s="558">
        <v>92</v>
      </c>
      <c r="G33" s="558">
        <v>90</v>
      </c>
      <c r="H33" s="558" t="s">
        <v>76</v>
      </c>
      <c r="I33" s="558" t="s">
        <v>3</v>
      </c>
      <c r="J33" s="596" t="s">
        <v>66</v>
      </c>
      <c r="K33" s="558">
        <v>92</v>
      </c>
      <c r="L33" s="558">
        <v>91</v>
      </c>
      <c r="M33" s="558" t="s">
        <v>825</v>
      </c>
      <c r="N33" s="558" t="s">
        <v>2</v>
      </c>
      <c r="O33" s="596" t="s">
        <v>75</v>
      </c>
      <c r="P33" s="559">
        <v>0</v>
      </c>
      <c r="Q33" s="559">
        <v>0</v>
      </c>
      <c r="R33" s="559">
        <v>0</v>
      </c>
      <c r="S33" s="558" t="s">
        <v>66</v>
      </c>
      <c r="T33" s="558">
        <v>92</v>
      </c>
      <c r="U33" s="558">
        <v>91</v>
      </c>
      <c r="V33" s="558" t="s">
        <v>825</v>
      </c>
      <c r="W33" s="558" t="s">
        <v>2</v>
      </c>
      <c r="X33" s="558" t="s">
        <v>66</v>
      </c>
      <c r="Y33" s="558">
        <v>91</v>
      </c>
      <c r="Z33" s="558">
        <v>90</v>
      </c>
      <c r="AA33" s="558" t="s">
        <v>825</v>
      </c>
      <c r="AB33" s="558" t="s">
        <v>2</v>
      </c>
      <c r="AC33" s="558" t="s">
        <v>66</v>
      </c>
      <c r="AD33" s="558">
        <v>92</v>
      </c>
      <c r="AE33" s="558">
        <v>90</v>
      </c>
      <c r="AF33" s="601">
        <v>90</v>
      </c>
      <c r="AG33" s="558" t="s">
        <v>2</v>
      </c>
      <c r="AH33" s="294">
        <f t="shared" si="0"/>
        <v>911</v>
      </c>
      <c r="AI33" s="697">
        <f t="shared" si="1"/>
        <v>75.916666666666671</v>
      </c>
      <c r="AJ33" s="697">
        <f t="shared" si="2"/>
        <v>90</v>
      </c>
      <c r="AK33" s="697">
        <f t="shared" si="3"/>
        <v>82.958333333333343</v>
      </c>
      <c r="AL33" s="698">
        <v>84</v>
      </c>
    </row>
    <row r="34" spans="1:38" s="603" customFormat="1" x14ac:dyDescent="0.25">
      <c r="A34" s="558">
        <v>23</v>
      </c>
      <c r="B34" s="602" t="s">
        <v>909</v>
      </c>
      <c r="C34" s="591" t="s">
        <v>1262</v>
      </c>
      <c r="D34" s="482" t="s">
        <v>68</v>
      </c>
      <c r="E34" s="596" t="s">
        <v>66</v>
      </c>
      <c r="F34" s="558">
        <v>93</v>
      </c>
      <c r="G34" s="558">
        <v>90</v>
      </c>
      <c r="H34" s="558" t="s">
        <v>825</v>
      </c>
      <c r="I34" s="558" t="s">
        <v>3</v>
      </c>
      <c r="J34" s="596" t="s">
        <v>1178</v>
      </c>
      <c r="K34" s="559">
        <v>0</v>
      </c>
      <c r="L34" s="559">
        <v>0</v>
      </c>
      <c r="M34" s="559">
        <v>0</v>
      </c>
      <c r="N34" s="559">
        <v>0</v>
      </c>
      <c r="O34" s="596" t="s">
        <v>66</v>
      </c>
      <c r="P34" s="558">
        <v>92</v>
      </c>
      <c r="Q34" s="558">
        <v>90</v>
      </c>
      <c r="R34" s="558" t="s">
        <v>2</v>
      </c>
      <c r="S34" s="558" t="s">
        <v>66</v>
      </c>
      <c r="T34" s="558">
        <v>92</v>
      </c>
      <c r="U34" s="558">
        <v>90</v>
      </c>
      <c r="V34" s="558" t="s">
        <v>825</v>
      </c>
      <c r="W34" s="558" t="s">
        <v>3</v>
      </c>
      <c r="X34" s="558" t="s">
        <v>66</v>
      </c>
      <c r="Y34" s="558">
        <v>92</v>
      </c>
      <c r="Z34" s="558">
        <v>90</v>
      </c>
      <c r="AA34" s="558" t="s">
        <v>825</v>
      </c>
      <c r="AB34" s="558" t="s">
        <v>3</v>
      </c>
      <c r="AC34" s="558" t="s">
        <v>66</v>
      </c>
      <c r="AD34" s="558">
        <v>92</v>
      </c>
      <c r="AE34" s="558">
        <v>90</v>
      </c>
      <c r="AF34" s="601">
        <v>84</v>
      </c>
      <c r="AG34" s="558" t="s">
        <v>3</v>
      </c>
      <c r="AH34" s="294">
        <f t="shared" si="0"/>
        <v>911</v>
      </c>
      <c r="AI34" s="697">
        <f t="shared" si="1"/>
        <v>75.916666666666671</v>
      </c>
      <c r="AJ34" s="697">
        <f t="shared" si="2"/>
        <v>84</v>
      </c>
      <c r="AK34" s="697">
        <f t="shared" si="3"/>
        <v>79.958333333333343</v>
      </c>
      <c r="AL34" s="698">
        <v>79</v>
      </c>
    </row>
    <row r="35" spans="1:38" s="603" customFormat="1" x14ac:dyDescent="0.25">
      <c r="A35" s="558">
        <v>24</v>
      </c>
      <c r="B35" s="602" t="s">
        <v>910</v>
      </c>
      <c r="C35" s="591" t="s">
        <v>1263</v>
      </c>
      <c r="D35" s="482" t="s">
        <v>68</v>
      </c>
      <c r="E35" s="596" t="s">
        <v>66</v>
      </c>
      <c r="F35" s="558">
        <v>93</v>
      </c>
      <c r="G35" s="558">
        <v>93</v>
      </c>
      <c r="H35" s="558" t="s">
        <v>825</v>
      </c>
      <c r="I35" s="558" t="s">
        <v>2</v>
      </c>
      <c r="J35" s="596" t="s">
        <v>66</v>
      </c>
      <c r="K35" s="558">
        <v>92</v>
      </c>
      <c r="L35" s="558">
        <v>93</v>
      </c>
      <c r="M35" s="558" t="s">
        <v>825</v>
      </c>
      <c r="N35" s="558" t="s">
        <v>2</v>
      </c>
      <c r="O35" s="596" t="s">
        <v>66</v>
      </c>
      <c r="P35" s="558">
        <v>92</v>
      </c>
      <c r="Q35" s="558">
        <v>93</v>
      </c>
      <c r="R35" s="558" t="s">
        <v>2</v>
      </c>
      <c r="S35" s="558" t="s">
        <v>66</v>
      </c>
      <c r="T35" s="558">
        <v>90</v>
      </c>
      <c r="U35" s="558">
        <v>93</v>
      </c>
      <c r="V35" s="558" t="s">
        <v>825</v>
      </c>
      <c r="W35" s="558" t="s">
        <v>2</v>
      </c>
      <c r="X35" s="558" t="s">
        <v>66</v>
      </c>
      <c r="Y35" s="558">
        <v>92</v>
      </c>
      <c r="Z35" s="558">
        <v>92</v>
      </c>
      <c r="AA35" s="558" t="s">
        <v>825</v>
      </c>
      <c r="AB35" s="558" t="s">
        <v>2</v>
      </c>
      <c r="AC35" s="558" t="s">
        <v>66</v>
      </c>
      <c r="AD35" s="558">
        <v>92</v>
      </c>
      <c r="AE35" s="558">
        <v>93</v>
      </c>
      <c r="AF35" s="601">
        <v>84</v>
      </c>
      <c r="AG35" s="558" t="s">
        <v>2</v>
      </c>
      <c r="AH35" s="294">
        <f t="shared" si="0"/>
        <v>1108</v>
      </c>
      <c r="AI35" s="697">
        <f t="shared" si="1"/>
        <v>92.333333333333329</v>
      </c>
      <c r="AJ35" s="697">
        <f t="shared" si="2"/>
        <v>84</v>
      </c>
      <c r="AK35" s="697">
        <f t="shared" si="3"/>
        <v>88.166666666666657</v>
      </c>
      <c r="AL35" s="698">
        <v>89</v>
      </c>
    </row>
    <row r="36" spans="1:38" s="603" customFormat="1" x14ac:dyDescent="0.25">
      <c r="A36" s="558">
        <v>25</v>
      </c>
      <c r="B36" s="602" t="s">
        <v>911</v>
      </c>
      <c r="C36" s="591" t="s">
        <v>1264</v>
      </c>
      <c r="D36" s="482" t="s">
        <v>68</v>
      </c>
      <c r="E36" s="596" t="s">
        <v>66</v>
      </c>
      <c r="F36" s="558">
        <v>90</v>
      </c>
      <c r="G36" s="558">
        <v>90</v>
      </c>
      <c r="H36" s="558" t="s">
        <v>825</v>
      </c>
      <c r="I36" s="558" t="s">
        <v>2</v>
      </c>
      <c r="J36" s="596" t="s">
        <v>66</v>
      </c>
      <c r="K36" s="558">
        <v>91</v>
      </c>
      <c r="L36" s="558">
        <v>90</v>
      </c>
      <c r="M36" s="558" t="s">
        <v>825</v>
      </c>
      <c r="N36" s="558" t="s">
        <v>2</v>
      </c>
      <c r="O36" s="596" t="s">
        <v>1178</v>
      </c>
      <c r="P36" s="559">
        <v>0</v>
      </c>
      <c r="Q36" s="559">
        <v>0</v>
      </c>
      <c r="R36" s="559">
        <v>0</v>
      </c>
      <c r="S36" s="558" t="s">
        <v>66</v>
      </c>
      <c r="T36" s="558">
        <v>92</v>
      </c>
      <c r="U36" s="558">
        <v>91</v>
      </c>
      <c r="V36" s="558" t="s">
        <v>825</v>
      </c>
      <c r="W36" s="558" t="s">
        <v>2</v>
      </c>
      <c r="X36" s="558" t="s">
        <v>66</v>
      </c>
      <c r="Y36" s="558">
        <v>92</v>
      </c>
      <c r="Z36" s="558">
        <v>92</v>
      </c>
      <c r="AA36" s="558" t="s">
        <v>825</v>
      </c>
      <c r="AB36" s="558" t="s">
        <v>2</v>
      </c>
      <c r="AC36" s="558" t="s">
        <v>66</v>
      </c>
      <c r="AD36" s="558">
        <v>90</v>
      </c>
      <c r="AE36" s="558">
        <v>90</v>
      </c>
      <c r="AF36" s="601">
        <v>87</v>
      </c>
      <c r="AG36" s="558" t="s">
        <v>2</v>
      </c>
      <c r="AH36" s="294">
        <f t="shared" si="0"/>
        <v>908</v>
      </c>
      <c r="AI36" s="697">
        <f t="shared" si="1"/>
        <v>75.666666666666671</v>
      </c>
      <c r="AJ36" s="697">
        <f t="shared" si="2"/>
        <v>87</v>
      </c>
      <c r="AK36" s="697">
        <f t="shared" si="3"/>
        <v>81.333333333333343</v>
      </c>
      <c r="AL36" s="698">
        <v>82</v>
      </c>
    </row>
    <row r="37" spans="1:38" x14ac:dyDescent="0.25">
      <c r="A37" s="557">
        <v>26</v>
      </c>
      <c r="B37" s="590" t="s">
        <v>912</v>
      </c>
      <c r="C37" s="591" t="s">
        <v>1265</v>
      </c>
      <c r="D37" s="482" t="s">
        <v>1177</v>
      </c>
      <c r="E37" s="592" t="s">
        <v>66</v>
      </c>
      <c r="F37" s="557">
        <v>92</v>
      </c>
      <c r="G37" s="557">
        <v>94</v>
      </c>
      <c r="H37" s="557" t="s">
        <v>825</v>
      </c>
      <c r="I37" s="557" t="s">
        <v>1</v>
      </c>
      <c r="J37" s="592" t="s">
        <v>66</v>
      </c>
      <c r="K37" s="557">
        <v>93</v>
      </c>
      <c r="L37" s="557">
        <v>94</v>
      </c>
      <c r="M37" s="557" t="s">
        <v>825</v>
      </c>
      <c r="N37" s="558" t="s">
        <v>1</v>
      </c>
      <c r="O37" s="592" t="s">
        <v>66</v>
      </c>
      <c r="P37" s="557">
        <v>94</v>
      </c>
      <c r="Q37" s="557">
        <v>95</v>
      </c>
      <c r="R37" s="558" t="s">
        <v>1</v>
      </c>
      <c r="S37" s="557" t="s">
        <v>66</v>
      </c>
      <c r="T37" s="557">
        <v>90</v>
      </c>
      <c r="U37" s="557">
        <v>94</v>
      </c>
      <c r="V37" s="557" t="s">
        <v>825</v>
      </c>
      <c r="W37" s="557" t="s">
        <v>1</v>
      </c>
      <c r="X37" s="557" t="s">
        <v>66</v>
      </c>
      <c r="Y37" s="557">
        <v>93</v>
      </c>
      <c r="Z37" s="557">
        <v>94</v>
      </c>
      <c r="AA37" s="557" t="s">
        <v>825</v>
      </c>
      <c r="AB37" s="557" t="s">
        <v>1</v>
      </c>
      <c r="AC37" s="557" t="s">
        <v>66</v>
      </c>
      <c r="AD37" s="557">
        <v>92</v>
      </c>
      <c r="AE37" s="557">
        <v>94</v>
      </c>
      <c r="AF37" s="601">
        <v>92</v>
      </c>
      <c r="AG37" s="557" t="s">
        <v>1</v>
      </c>
      <c r="AH37" s="294">
        <f t="shared" si="0"/>
        <v>1119</v>
      </c>
      <c r="AI37" s="697">
        <f t="shared" si="1"/>
        <v>93.25</v>
      </c>
      <c r="AJ37" s="697">
        <f t="shared" si="2"/>
        <v>92</v>
      </c>
      <c r="AK37" s="697">
        <f t="shared" si="3"/>
        <v>92.625</v>
      </c>
      <c r="AL37" s="698">
        <v>94</v>
      </c>
    </row>
    <row r="38" spans="1:38" x14ac:dyDescent="0.25">
      <c r="A38" s="557">
        <v>27</v>
      </c>
      <c r="B38" s="597" t="s">
        <v>913</v>
      </c>
      <c r="C38" s="591" t="s">
        <v>1266</v>
      </c>
      <c r="D38" s="482" t="s">
        <v>68</v>
      </c>
      <c r="E38" s="592" t="s">
        <v>66</v>
      </c>
      <c r="F38" s="557">
        <v>90</v>
      </c>
      <c r="G38" s="557">
        <v>93</v>
      </c>
      <c r="H38" s="557" t="s">
        <v>825</v>
      </c>
      <c r="I38" s="557" t="s">
        <v>1</v>
      </c>
      <c r="J38" s="592" t="s">
        <v>66</v>
      </c>
      <c r="K38" s="557">
        <v>93</v>
      </c>
      <c r="L38" s="557">
        <v>93</v>
      </c>
      <c r="M38" s="557" t="s">
        <v>825</v>
      </c>
      <c r="N38" s="558" t="s">
        <v>2</v>
      </c>
      <c r="O38" s="592" t="s">
        <v>66</v>
      </c>
      <c r="P38" s="557">
        <v>93</v>
      </c>
      <c r="Q38" s="557">
        <v>95</v>
      </c>
      <c r="R38" s="558" t="s">
        <v>2</v>
      </c>
      <c r="S38" s="557" t="s">
        <v>66</v>
      </c>
      <c r="T38" s="557">
        <v>92</v>
      </c>
      <c r="U38" s="557">
        <v>94</v>
      </c>
      <c r="V38" s="557" t="s">
        <v>825</v>
      </c>
      <c r="W38" s="557" t="s">
        <v>1</v>
      </c>
      <c r="X38" s="557" t="s">
        <v>66</v>
      </c>
      <c r="Y38" s="557">
        <v>93</v>
      </c>
      <c r="Z38" s="557">
        <v>94</v>
      </c>
      <c r="AA38" s="557" t="s">
        <v>825</v>
      </c>
      <c r="AB38" s="557" t="s">
        <v>1</v>
      </c>
      <c r="AC38" s="557" t="s">
        <v>66</v>
      </c>
      <c r="AD38" s="557">
        <v>90</v>
      </c>
      <c r="AE38" s="557">
        <v>94</v>
      </c>
      <c r="AF38" s="601">
        <v>90</v>
      </c>
      <c r="AG38" s="557" t="s">
        <v>1</v>
      </c>
      <c r="AH38" s="294">
        <f t="shared" si="0"/>
        <v>1114</v>
      </c>
      <c r="AI38" s="697">
        <f t="shared" si="1"/>
        <v>92.833333333333329</v>
      </c>
      <c r="AJ38" s="697">
        <f t="shared" si="2"/>
        <v>90</v>
      </c>
      <c r="AK38" s="697">
        <f t="shared" si="3"/>
        <v>91.416666666666657</v>
      </c>
      <c r="AL38" s="698">
        <v>93</v>
      </c>
    </row>
    <row r="39" spans="1:38" s="603" customFormat="1" x14ac:dyDescent="0.25">
      <c r="A39" s="558">
        <v>28</v>
      </c>
      <c r="B39" s="605" t="s">
        <v>914</v>
      </c>
      <c r="C39" s="591" t="s">
        <v>1267</v>
      </c>
      <c r="D39" s="482" t="s">
        <v>68</v>
      </c>
      <c r="E39" s="596" t="s">
        <v>66</v>
      </c>
      <c r="F39" s="558">
        <v>90</v>
      </c>
      <c r="G39" s="558">
        <v>91</v>
      </c>
      <c r="H39" s="558" t="s">
        <v>825</v>
      </c>
      <c r="I39" s="558" t="s">
        <v>2</v>
      </c>
      <c r="J39" s="596" t="s">
        <v>66</v>
      </c>
      <c r="K39" s="558">
        <v>90</v>
      </c>
      <c r="L39" s="558">
        <v>92</v>
      </c>
      <c r="M39" s="558" t="s">
        <v>825</v>
      </c>
      <c r="N39" s="558" t="s">
        <v>2</v>
      </c>
      <c r="O39" s="596" t="s">
        <v>66</v>
      </c>
      <c r="P39" s="558">
        <v>90</v>
      </c>
      <c r="Q39" s="558">
        <v>92</v>
      </c>
      <c r="R39" s="558" t="s">
        <v>2</v>
      </c>
      <c r="S39" s="558" t="s">
        <v>66</v>
      </c>
      <c r="T39" s="558">
        <v>90</v>
      </c>
      <c r="U39" s="558">
        <v>92</v>
      </c>
      <c r="V39" s="558" t="s">
        <v>825</v>
      </c>
      <c r="W39" s="558" t="s">
        <v>2</v>
      </c>
      <c r="X39" s="558" t="s">
        <v>66</v>
      </c>
      <c r="Y39" s="558">
        <v>91</v>
      </c>
      <c r="Z39" s="558">
        <v>91</v>
      </c>
      <c r="AA39" s="558" t="s">
        <v>825</v>
      </c>
      <c r="AB39" s="558" t="s">
        <v>2</v>
      </c>
      <c r="AC39" s="558" t="s">
        <v>66</v>
      </c>
      <c r="AD39" s="558">
        <v>92</v>
      </c>
      <c r="AE39" s="558">
        <v>91</v>
      </c>
      <c r="AF39" s="601">
        <v>84</v>
      </c>
      <c r="AG39" s="558" t="s">
        <v>2</v>
      </c>
      <c r="AH39" s="294">
        <f t="shared" si="0"/>
        <v>1092</v>
      </c>
      <c r="AI39" s="697">
        <f t="shared" si="1"/>
        <v>91</v>
      </c>
      <c r="AJ39" s="697">
        <f t="shared" si="2"/>
        <v>84</v>
      </c>
      <c r="AK39" s="697">
        <f t="shared" si="3"/>
        <v>87.5</v>
      </c>
      <c r="AL39" s="698">
        <v>89</v>
      </c>
    </row>
    <row r="40" spans="1:38" x14ac:dyDescent="0.25">
      <c r="A40" s="557">
        <v>29</v>
      </c>
      <c r="B40" s="597" t="s">
        <v>915</v>
      </c>
      <c r="C40" s="591" t="s">
        <v>1268</v>
      </c>
      <c r="D40" s="482" t="s">
        <v>68</v>
      </c>
      <c r="E40" s="592" t="s">
        <v>66</v>
      </c>
      <c r="F40" s="557">
        <v>92</v>
      </c>
      <c r="G40" s="557">
        <v>93</v>
      </c>
      <c r="H40" s="557" t="s">
        <v>825</v>
      </c>
      <c r="I40" s="557" t="s">
        <v>1</v>
      </c>
      <c r="J40" s="592" t="s">
        <v>66</v>
      </c>
      <c r="K40" s="557">
        <v>95</v>
      </c>
      <c r="L40" s="557">
        <v>95</v>
      </c>
      <c r="M40" s="557" t="s">
        <v>825</v>
      </c>
      <c r="N40" s="558" t="s">
        <v>1</v>
      </c>
      <c r="O40" s="592" t="s">
        <v>66</v>
      </c>
      <c r="P40" s="557">
        <v>90</v>
      </c>
      <c r="Q40" s="557">
        <v>91</v>
      </c>
      <c r="R40" s="558" t="s">
        <v>1</v>
      </c>
      <c r="S40" s="557" t="s">
        <v>66</v>
      </c>
      <c r="T40" s="557">
        <v>94</v>
      </c>
      <c r="U40" s="557">
        <v>93</v>
      </c>
      <c r="V40" s="557" t="s">
        <v>825</v>
      </c>
      <c r="W40" s="557" t="s">
        <v>1</v>
      </c>
      <c r="X40" s="557" t="s">
        <v>66</v>
      </c>
      <c r="Y40" s="557">
        <v>95</v>
      </c>
      <c r="Z40" s="557">
        <v>94</v>
      </c>
      <c r="AA40" s="557" t="s">
        <v>825</v>
      </c>
      <c r="AB40" s="557" t="s">
        <v>1</v>
      </c>
      <c r="AC40" s="557" t="s">
        <v>66</v>
      </c>
      <c r="AD40" s="557">
        <v>92</v>
      </c>
      <c r="AE40" s="557">
        <v>93</v>
      </c>
      <c r="AF40" s="601">
        <v>90</v>
      </c>
      <c r="AG40" s="557" t="s">
        <v>1</v>
      </c>
      <c r="AH40" s="294">
        <f t="shared" si="0"/>
        <v>1117</v>
      </c>
      <c r="AI40" s="697">
        <f t="shared" si="1"/>
        <v>93.083333333333329</v>
      </c>
      <c r="AJ40" s="697">
        <f t="shared" si="2"/>
        <v>90</v>
      </c>
      <c r="AK40" s="697">
        <f t="shared" si="3"/>
        <v>91.541666666666657</v>
      </c>
      <c r="AL40" s="698">
        <v>93</v>
      </c>
    </row>
    <row r="41" spans="1:38" x14ac:dyDescent="0.25">
      <c r="A41" s="557">
        <v>30</v>
      </c>
      <c r="B41" s="597" t="s">
        <v>916</v>
      </c>
      <c r="C41" s="591" t="s">
        <v>1269</v>
      </c>
      <c r="D41" s="482" t="s">
        <v>1177</v>
      </c>
      <c r="E41" s="592" t="s">
        <v>66</v>
      </c>
      <c r="F41" s="557">
        <v>90</v>
      </c>
      <c r="G41" s="557">
        <v>94</v>
      </c>
      <c r="H41" s="557" t="s">
        <v>825</v>
      </c>
      <c r="I41" s="557" t="s">
        <v>1</v>
      </c>
      <c r="J41" s="592" t="s">
        <v>66</v>
      </c>
      <c r="K41" s="557">
        <v>95</v>
      </c>
      <c r="L41" s="557">
        <v>95</v>
      </c>
      <c r="M41" s="557" t="s">
        <v>825</v>
      </c>
      <c r="N41" s="558" t="s">
        <v>1</v>
      </c>
      <c r="O41" s="592" t="s">
        <v>66</v>
      </c>
      <c r="P41" s="557">
        <v>95</v>
      </c>
      <c r="Q41" s="557">
        <v>95</v>
      </c>
      <c r="R41" s="558" t="s">
        <v>1</v>
      </c>
      <c r="S41" s="557" t="s">
        <v>66</v>
      </c>
      <c r="T41" s="557">
        <v>93</v>
      </c>
      <c r="U41" s="557">
        <v>95</v>
      </c>
      <c r="V41" s="557" t="s">
        <v>825</v>
      </c>
      <c r="W41" s="557" t="s">
        <v>1</v>
      </c>
      <c r="X41" s="557" t="s">
        <v>66</v>
      </c>
      <c r="Y41" s="557">
        <v>94</v>
      </c>
      <c r="Z41" s="557">
        <v>95</v>
      </c>
      <c r="AA41" s="557" t="s">
        <v>825</v>
      </c>
      <c r="AB41" s="557" t="s">
        <v>1</v>
      </c>
      <c r="AC41" s="557" t="s">
        <v>66</v>
      </c>
      <c r="AD41" s="557">
        <v>93</v>
      </c>
      <c r="AE41" s="557">
        <v>95</v>
      </c>
      <c r="AF41" s="601">
        <v>92</v>
      </c>
      <c r="AG41" s="557" t="s">
        <v>1</v>
      </c>
      <c r="AH41" s="294">
        <f t="shared" si="0"/>
        <v>1129</v>
      </c>
      <c r="AI41" s="697">
        <f t="shared" si="1"/>
        <v>94.083333333333329</v>
      </c>
      <c r="AJ41" s="697">
        <f t="shared" si="2"/>
        <v>92</v>
      </c>
      <c r="AK41" s="697">
        <f t="shared" si="3"/>
        <v>93.041666666666657</v>
      </c>
      <c r="AL41" s="698">
        <v>95</v>
      </c>
    </row>
    <row r="42" spans="1:38" x14ac:dyDescent="0.25">
      <c r="A42" s="557">
        <v>31</v>
      </c>
      <c r="B42" s="597" t="s">
        <v>917</v>
      </c>
      <c r="C42" s="591" t="s">
        <v>1270</v>
      </c>
      <c r="D42" s="482" t="s">
        <v>68</v>
      </c>
      <c r="E42" s="592" t="s">
        <v>66</v>
      </c>
      <c r="F42" s="557">
        <v>90</v>
      </c>
      <c r="G42" s="557">
        <v>93</v>
      </c>
      <c r="H42" s="557" t="s">
        <v>825</v>
      </c>
      <c r="I42" s="557" t="s">
        <v>2</v>
      </c>
      <c r="J42" s="592" t="s">
        <v>66</v>
      </c>
      <c r="K42" s="557">
        <v>95</v>
      </c>
      <c r="L42" s="557">
        <v>95</v>
      </c>
      <c r="M42" s="557" t="s">
        <v>825</v>
      </c>
      <c r="N42" s="558" t="s">
        <v>2</v>
      </c>
      <c r="O42" s="592" t="s">
        <v>66</v>
      </c>
      <c r="P42" s="557">
        <v>95</v>
      </c>
      <c r="Q42" s="557">
        <v>93</v>
      </c>
      <c r="R42" s="558" t="s">
        <v>2</v>
      </c>
      <c r="S42" s="557" t="s">
        <v>66</v>
      </c>
      <c r="T42" s="557">
        <v>90</v>
      </c>
      <c r="U42" s="557">
        <v>93</v>
      </c>
      <c r="V42" s="557" t="s">
        <v>825</v>
      </c>
      <c r="W42" s="557" t="s">
        <v>2</v>
      </c>
      <c r="X42" s="557" t="s">
        <v>66</v>
      </c>
      <c r="Y42" s="557">
        <v>92</v>
      </c>
      <c r="Z42" s="557">
        <v>93</v>
      </c>
      <c r="AA42" s="557" t="s">
        <v>825</v>
      </c>
      <c r="AB42" s="557" t="s">
        <v>2</v>
      </c>
      <c r="AC42" s="557" t="s">
        <v>66</v>
      </c>
      <c r="AD42" s="557">
        <v>90</v>
      </c>
      <c r="AE42" s="557">
        <v>93</v>
      </c>
      <c r="AF42" s="601">
        <v>88</v>
      </c>
      <c r="AG42" s="557" t="s">
        <v>2</v>
      </c>
      <c r="AH42" s="294">
        <f t="shared" si="0"/>
        <v>1112</v>
      </c>
      <c r="AI42" s="697">
        <f t="shared" si="1"/>
        <v>92.666666666666671</v>
      </c>
      <c r="AJ42" s="697">
        <f t="shared" si="2"/>
        <v>88</v>
      </c>
      <c r="AK42" s="697">
        <f t="shared" si="3"/>
        <v>90.333333333333343</v>
      </c>
      <c r="AL42" s="698">
        <v>91</v>
      </c>
    </row>
    <row r="43" spans="1:38" x14ac:dyDescent="0.25">
      <c r="A43" s="557">
        <v>32</v>
      </c>
      <c r="B43" s="597" t="s">
        <v>918</v>
      </c>
      <c r="C43" s="591" t="s">
        <v>1271</v>
      </c>
      <c r="D43" s="482" t="s">
        <v>68</v>
      </c>
      <c r="E43" s="596" t="s">
        <v>1178</v>
      </c>
      <c r="F43" s="559">
        <v>0</v>
      </c>
      <c r="G43" s="559">
        <v>0</v>
      </c>
      <c r="H43" s="559">
        <v>0</v>
      </c>
      <c r="I43" s="559">
        <v>0</v>
      </c>
      <c r="J43" s="596" t="s">
        <v>1178</v>
      </c>
      <c r="K43" s="559">
        <v>0</v>
      </c>
      <c r="L43" s="559">
        <v>0</v>
      </c>
      <c r="M43" s="559">
        <v>0</v>
      </c>
      <c r="N43" s="559">
        <v>0</v>
      </c>
      <c r="O43" s="592" t="s">
        <v>66</v>
      </c>
      <c r="P43" s="557">
        <v>90</v>
      </c>
      <c r="Q43" s="557">
        <v>93</v>
      </c>
      <c r="R43" s="558" t="s">
        <v>2</v>
      </c>
      <c r="S43" s="557" t="s">
        <v>66</v>
      </c>
      <c r="T43" s="557">
        <v>93</v>
      </c>
      <c r="U43" s="557">
        <v>94</v>
      </c>
      <c r="V43" s="557" t="s">
        <v>825</v>
      </c>
      <c r="W43" s="557" t="s">
        <v>2</v>
      </c>
      <c r="X43" s="557" t="s">
        <v>66</v>
      </c>
      <c r="Y43" s="557">
        <v>92</v>
      </c>
      <c r="Z43" s="557">
        <v>93</v>
      </c>
      <c r="AA43" s="557" t="s">
        <v>825</v>
      </c>
      <c r="AB43" s="557" t="s">
        <v>2</v>
      </c>
      <c r="AC43" s="557" t="s">
        <v>66</v>
      </c>
      <c r="AD43" s="557">
        <v>90</v>
      </c>
      <c r="AE43" s="557">
        <v>94</v>
      </c>
      <c r="AF43" s="601">
        <v>90</v>
      </c>
      <c r="AG43" s="557" t="s">
        <v>2</v>
      </c>
      <c r="AH43" s="294">
        <f t="shared" si="0"/>
        <v>739</v>
      </c>
      <c r="AI43" s="697">
        <f t="shared" si="1"/>
        <v>61.583333333333336</v>
      </c>
      <c r="AJ43" s="697">
        <f t="shared" si="2"/>
        <v>90</v>
      </c>
      <c r="AK43" s="697">
        <f t="shared" si="3"/>
        <v>75.791666666666671</v>
      </c>
      <c r="AL43" s="698">
        <v>77</v>
      </c>
    </row>
    <row r="44" spans="1:38" x14ac:dyDescent="0.25">
      <c r="A44" s="557">
        <v>33</v>
      </c>
      <c r="B44" s="597" t="s">
        <v>923</v>
      </c>
      <c r="C44" s="591" t="s">
        <v>1272</v>
      </c>
      <c r="D44" s="482" t="s">
        <v>68</v>
      </c>
      <c r="E44" s="592" t="s">
        <v>66</v>
      </c>
      <c r="F44" s="557">
        <v>90</v>
      </c>
      <c r="G44" s="557">
        <v>92</v>
      </c>
      <c r="H44" s="557" t="s">
        <v>825</v>
      </c>
      <c r="I44" s="557" t="s">
        <v>3</v>
      </c>
      <c r="J44" s="592" t="s">
        <v>66</v>
      </c>
      <c r="K44" s="557">
        <v>90</v>
      </c>
      <c r="L44" s="557">
        <v>90</v>
      </c>
      <c r="M44" s="557" t="s">
        <v>825</v>
      </c>
      <c r="N44" s="558" t="s">
        <v>3</v>
      </c>
      <c r="O44" s="592" t="s">
        <v>66</v>
      </c>
      <c r="P44" s="557">
        <v>90</v>
      </c>
      <c r="Q44" s="557">
        <v>93</v>
      </c>
      <c r="R44" s="558" t="s">
        <v>2</v>
      </c>
      <c r="S44" s="557" t="s">
        <v>66</v>
      </c>
      <c r="T44" s="557">
        <v>90</v>
      </c>
      <c r="U44" s="557">
        <v>93</v>
      </c>
      <c r="V44" s="557" t="s">
        <v>825</v>
      </c>
      <c r="W44" s="557" t="s">
        <v>3</v>
      </c>
      <c r="X44" s="557" t="s">
        <v>66</v>
      </c>
      <c r="Y44" s="557">
        <v>92</v>
      </c>
      <c r="Z44" s="557">
        <v>91</v>
      </c>
      <c r="AA44" s="557" t="s">
        <v>825</v>
      </c>
      <c r="AB44" s="557" t="s">
        <v>3</v>
      </c>
      <c r="AC44" s="557" t="s">
        <v>66</v>
      </c>
      <c r="AD44" s="557">
        <v>90</v>
      </c>
      <c r="AE44" s="557">
        <v>93</v>
      </c>
      <c r="AF44" s="601">
        <v>83</v>
      </c>
      <c r="AG44" s="557" t="s">
        <v>3</v>
      </c>
      <c r="AH44" s="294">
        <f t="shared" si="0"/>
        <v>1094</v>
      </c>
      <c r="AI44" s="697">
        <f t="shared" si="1"/>
        <v>91.166666666666671</v>
      </c>
      <c r="AJ44" s="697">
        <f t="shared" si="2"/>
        <v>83</v>
      </c>
      <c r="AK44" s="697">
        <f t="shared" si="3"/>
        <v>87.083333333333343</v>
      </c>
      <c r="AL44" s="698">
        <v>87</v>
      </c>
    </row>
    <row r="45" spans="1:38" x14ac:dyDescent="0.25">
      <c r="A45" s="557">
        <v>34</v>
      </c>
      <c r="B45" s="597" t="s">
        <v>924</v>
      </c>
      <c r="C45" s="591" t="s">
        <v>1273</v>
      </c>
      <c r="D45" s="482" t="s">
        <v>68</v>
      </c>
      <c r="E45" s="592" t="s">
        <v>66</v>
      </c>
      <c r="F45" s="557">
        <v>93</v>
      </c>
      <c r="G45" s="557">
        <v>90</v>
      </c>
      <c r="H45" s="557" t="s">
        <v>825</v>
      </c>
      <c r="I45" s="557" t="s">
        <v>2</v>
      </c>
      <c r="J45" s="592" t="s">
        <v>66</v>
      </c>
      <c r="K45" s="557">
        <v>90</v>
      </c>
      <c r="L45" s="557">
        <v>90</v>
      </c>
      <c r="M45" s="557" t="s">
        <v>825</v>
      </c>
      <c r="N45" s="558" t="s">
        <v>2</v>
      </c>
      <c r="O45" s="592" t="s">
        <v>66</v>
      </c>
      <c r="P45" s="557">
        <v>90</v>
      </c>
      <c r="Q45" s="557">
        <v>90</v>
      </c>
      <c r="R45" s="558" t="s">
        <v>2</v>
      </c>
      <c r="S45" s="557" t="s">
        <v>66</v>
      </c>
      <c r="T45" s="557">
        <v>91</v>
      </c>
      <c r="U45" s="557">
        <v>90</v>
      </c>
      <c r="V45" s="557" t="s">
        <v>825</v>
      </c>
      <c r="W45" s="557" t="s">
        <v>2</v>
      </c>
      <c r="X45" s="557" t="s">
        <v>66</v>
      </c>
      <c r="Y45" s="559">
        <v>0</v>
      </c>
      <c r="Z45" s="559">
        <v>0</v>
      </c>
      <c r="AA45" s="559">
        <v>0</v>
      </c>
      <c r="AB45" s="559">
        <v>0</v>
      </c>
      <c r="AC45" s="557" t="s">
        <v>66</v>
      </c>
      <c r="AD45" s="557">
        <v>93</v>
      </c>
      <c r="AE45" s="557">
        <v>90</v>
      </c>
      <c r="AF45" s="601">
        <v>89</v>
      </c>
      <c r="AG45" s="557" t="s">
        <v>2</v>
      </c>
      <c r="AH45" s="294">
        <f t="shared" si="0"/>
        <v>907</v>
      </c>
      <c r="AI45" s="697">
        <f t="shared" si="1"/>
        <v>75.583333333333329</v>
      </c>
      <c r="AJ45" s="697">
        <f t="shared" si="2"/>
        <v>89</v>
      </c>
      <c r="AK45" s="697">
        <f t="shared" si="3"/>
        <v>82.291666666666657</v>
      </c>
      <c r="AL45" s="698">
        <v>82</v>
      </c>
    </row>
    <row r="46" spans="1:38" x14ac:dyDescent="0.25">
      <c r="A46" s="557">
        <v>35</v>
      </c>
      <c r="B46" s="598" t="s">
        <v>925</v>
      </c>
      <c r="C46" s="591" t="s">
        <v>1274</v>
      </c>
      <c r="D46" s="482" t="s">
        <v>68</v>
      </c>
      <c r="E46" s="592" t="s">
        <v>66</v>
      </c>
      <c r="F46" s="557">
        <v>90</v>
      </c>
      <c r="G46" s="557">
        <v>94</v>
      </c>
      <c r="H46" s="557" t="s">
        <v>825</v>
      </c>
      <c r="I46" s="557" t="s">
        <v>1</v>
      </c>
      <c r="J46" s="592" t="s">
        <v>66</v>
      </c>
      <c r="K46" s="557">
        <v>95</v>
      </c>
      <c r="L46" s="557">
        <v>95</v>
      </c>
      <c r="M46" s="557" t="s">
        <v>825</v>
      </c>
      <c r="N46" s="558" t="s">
        <v>2</v>
      </c>
      <c r="O46" s="592" t="s">
        <v>66</v>
      </c>
      <c r="P46" s="557">
        <v>95</v>
      </c>
      <c r="Q46" s="557">
        <v>95</v>
      </c>
      <c r="R46" s="558" t="s">
        <v>2</v>
      </c>
      <c r="S46" s="557" t="s">
        <v>66</v>
      </c>
      <c r="T46" s="557">
        <v>90</v>
      </c>
      <c r="U46" s="557">
        <v>95</v>
      </c>
      <c r="V46" s="557" t="s">
        <v>825</v>
      </c>
      <c r="W46" s="557" t="s">
        <v>1</v>
      </c>
      <c r="X46" s="557" t="s">
        <v>66</v>
      </c>
      <c r="Y46" s="557">
        <v>92</v>
      </c>
      <c r="Z46" s="557">
        <v>91</v>
      </c>
      <c r="AA46" s="557" t="s">
        <v>825</v>
      </c>
      <c r="AB46" s="557" t="s">
        <v>1</v>
      </c>
      <c r="AC46" s="557" t="s">
        <v>66</v>
      </c>
      <c r="AD46" s="557">
        <v>90</v>
      </c>
      <c r="AE46" s="557">
        <v>95</v>
      </c>
      <c r="AF46" s="601">
        <v>82</v>
      </c>
      <c r="AG46" s="557" t="s">
        <v>1</v>
      </c>
      <c r="AH46" s="294">
        <f t="shared" si="0"/>
        <v>1117</v>
      </c>
      <c r="AI46" s="697">
        <f t="shared" si="1"/>
        <v>93.083333333333329</v>
      </c>
      <c r="AJ46" s="697">
        <f t="shared" si="2"/>
        <v>82</v>
      </c>
      <c r="AK46" s="697">
        <f t="shared" si="3"/>
        <v>87.541666666666657</v>
      </c>
      <c r="AL46" s="698">
        <v>90</v>
      </c>
    </row>
    <row r="47" spans="1:38" x14ac:dyDescent="0.25">
      <c r="A47" s="557">
        <v>36</v>
      </c>
      <c r="B47" s="597" t="s">
        <v>926</v>
      </c>
      <c r="C47" s="591" t="s">
        <v>1275</v>
      </c>
      <c r="D47" s="203" t="s">
        <v>1177</v>
      </c>
      <c r="E47" s="592" t="s">
        <v>66</v>
      </c>
      <c r="F47" s="557">
        <v>90</v>
      </c>
      <c r="G47" s="557">
        <v>92</v>
      </c>
      <c r="H47" s="557" t="s">
        <v>825</v>
      </c>
      <c r="I47" s="557" t="s">
        <v>2</v>
      </c>
      <c r="J47" s="592" t="s">
        <v>66</v>
      </c>
      <c r="K47" s="557">
        <v>92</v>
      </c>
      <c r="L47" s="557">
        <v>94</v>
      </c>
      <c r="M47" s="557" t="s">
        <v>825</v>
      </c>
      <c r="N47" s="558" t="s">
        <v>2</v>
      </c>
      <c r="O47" s="592" t="s">
        <v>66</v>
      </c>
      <c r="P47" s="557">
        <v>94</v>
      </c>
      <c r="Q47" s="557">
        <v>95</v>
      </c>
      <c r="R47" s="558" t="s">
        <v>2</v>
      </c>
      <c r="S47" s="557" t="s">
        <v>66</v>
      </c>
      <c r="T47" s="557">
        <v>90</v>
      </c>
      <c r="U47" s="557">
        <v>93</v>
      </c>
      <c r="V47" s="557" t="s">
        <v>825</v>
      </c>
      <c r="W47" s="557" t="s">
        <v>2</v>
      </c>
      <c r="X47" s="557" t="s">
        <v>66</v>
      </c>
      <c r="Y47" s="557">
        <v>92</v>
      </c>
      <c r="Z47" s="557">
        <v>91</v>
      </c>
      <c r="AA47" s="557" t="s">
        <v>825</v>
      </c>
      <c r="AB47" s="557" t="s">
        <v>2</v>
      </c>
      <c r="AC47" s="557" t="s">
        <v>66</v>
      </c>
      <c r="AD47" s="557">
        <v>90</v>
      </c>
      <c r="AE47" s="557">
        <v>93</v>
      </c>
      <c r="AF47" s="601">
        <v>88</v>
      </c>
      <c r="AG47" s="557" t="s">
        <v>2</v>
      </c>
      <c r="AH47" s="294">
        <f t="shared" si="0"/>
        <v>1106</v>
      </c>
      <c r="AI47" s="697">
        <f t="shared" si="1"/>
        <v>92.166666666666671</v>
      </c>
      <c r="AJ47" s="697">
        <f t="shared" si="2"/>
        <v>88</v>
      </c>
      <c r="AK47" s="697">
        <f t="shared" si="3"/>
        <v>90.083333333333343</v>
      </c>
      <c r="AL47" s="698">
        <v>91</v>
      </c>
    </row>
    <row r="48" spans="1:38" x14ac:dyDescent="0.25">
      <c r="A48" s="984" t="s">
        <v>28</v>
      </c>
      <c r="B48" s="984"/>
      <c r="C48" s="984"/>
      <c r="D48" s="482" t="s">
        <v>1179</v>
      </c>
      <c r="E48" s="557" t="s">
        <v>1180</v>
      </c>
      <c r="J48" s="557" t="s">
        <v>1192</v>
      </c>
      <c r="O48" s="178" t="s">
        <v>1212</v>
      </c>
      <c r="S48" s="178" t="s">
        <v>1213</v>
      </c>
      <c r="X48" s="178" t="s">
        <v>1277</v>
      </c>
      <c r="AC48" s="294" t="s">
        <v>1398</v>
      </c>
    </row>
    <row r="49" spans="2:9" x14ac:dyDescent="0.25">
      <c r="B49" s="36"/>
    </row>
    <row r="50" spans="2:9" x14ac:dyDescent="0.25">
      <c r="B50" s="36"/>
      <c r="C50" s="560" t="s">
        <v>463</v>
      </c>
      <c r="D50" s="985" t="s">
        <v>1016</v>
      </c>
      <c r="E50" s="986"/>
      <c r="F50" s="986"/>
      <c r="G50" s="986"/>
      <c r="H50" s="986"/>
      <c r="I50" s="987"/>
    </row>
    <row r="51" spans="2:9" ht="15.75" customHeight="1" x14ac:dyDescent="0.25">
      <c r="B51" s="36"/>
      <c r="C51" s="294" t="s">
        <v>1</v>
      </c>
      <c r="D51" s="988" t="s">
        <v>1401</v>
      </c>
      <c r="E51" s="989"/>
      <c r="F51" s="989"/>
      <c r="G51" s="989"/>
      <c r="H51" s="989"/>
      <c r="I51" s="990"/>
    </row>
    <row r="52" spans="2:9" x14ac:dyDescent="0.25">
      <c r="B52" s="36"/>
      <c r="C52" s="294" t="s">
        <v>2</v>
      </c>
      <c r="D52" s="981" t="s">
        <v>1181</v>
      </c>
      <c r="E52" s="982"/>
      <c r="F52" s="982"/>
      <c r="G52" s="982"/>
      <c r="H52" s="982"/>
      <c r="I52" s="983"/>
    </row>
    <row r="53" spans="2:9" x14ac:dyDescent="0.25">
      <c r="B53" s="36"/>
      <c r="C53" s="294" t="s">
        <v>3</v>
      </c>
      <c r="D53" s="981" t="s">
        <v>1182</v>
      </c>
      <c r="E53" s="982"/>
      <c r="F53" s="982"/>
      <c r="G53" s="982"/>
      <c r="H53" s="982"/>
      <c r="I53" s="983"/>
    </row>
    <row r="54" spans="2:9" x14ac:dyDescent="0.25">
      <c r="B54" s="36"/>
      <c r="C54" s="294" t="s">
        <v>67</v>
      </c>
      <c r="D54" s="981" t="s">
        <v>1183</v>
      </c>
      <c r="E54" s="982"/>
      <c r="F54" s="982"/>
      <c r="G54" s="982"/>
      <c r="H54" s="982"/>
      <c r="I54" s="983"/>
    </row>
    <row r="55" spans="2:9" x14ac:dyDescent="0.25">
      <c r="B55" s="36"/>
      <c r="C55" s="294"/>
      <c r="D55" s="975"/>
      <c r="E55" s="976"/>
      <c r="F55" s="976"/>
      <c r="G55" s="976"/>
      <c r="H55" s="976"/>
      <c r="I55" s="977"/>
    </row>
    <row r="56" spans="2:9" x14ac:dyDescent="0.25">
      <c r="B56" s="36"/>
    </row>
    <row r="57" spans="2:9" x14ac:dyDescent="0.25">
      <c r="B57" s="36"/>
    </row>
    <row r="58" spans="2:9" x14ac:dyDescent="0.25">
      <c r="B58" s="36"/>
      <c r="E58" s="25" t="s">
        <v>1168</v>
      </c>
    </row>
    <row r="59" spans="2:9" x14ac:dyDescent="0.25">
      <c r="B59" s="36"/>
      <c r="C59" s="557" t="s">
        <v>1184</v>
      </c>
      <c r="D59" s="973" t="s">
        <v>1191</v>
      </c>
      <c r="E59" s="973"/>
      <c r="F59" s="973"/>
      <c r="G59" s="973"/>
      <c r="H59" s="973"/>
      <c r="I59" s="973"/>
    </row>
    <row r="60" spans="2:9" x14ac:dyDescent="0.25">
      <c r="B60" s="36"/>
      <c r="C60" s="557" t="s">
        <v>1185</v>
      </c>
      <c r="D60" s="973" t="s">
        <v>1186</v>
      </c>
      <c r="E60" s="973"/>
      <c r="F60" s="973"/>
      <c r="G60" s="973"/>
      <c r="H60" s="973"/>
      <c r="I60" s="973"/>
    </row>
    <row r="61" spans="2:9" x14ac:dyDescent="0.25">
      <c r="B61" s="36"/>
      <c r="C61" s="557" t="s">
        <v>1187</v>
      </c>
      <c r="D61" s="973" t="s">
        <v>1188</v>
      </c>
      <c r="E61" s="973"/>
      <c r="F61" s="973"/>
      <c r="G61" s="973"/>
      <c r="H61" s="973"/>
      <c r="I61" s="973"/>
    </row>
    <row r="62" spans="2:9" x14ac:dyDescent="0.25">
      <c r="B62" s="36"/>
    </row>
    <row r="63" spans="2:9" x14ac:dyDescent="0.25">
      <c r="B63" s="36"/>
      <c r="E63" s="25" t="s">
        <v>1172</v>
      </c>
    </row>
    <row r="64" spans="2:9" x14ac:dyDescent="0.25">
      <c r="B64" s="36"/>
      <c r="C64" s="557" t="s">
        <v>1189</v>
      </c>
      <c r="D64" s="972" t="s">
        <v>1215</v>
      </c>
      <c r="E64" s="973"/>
      <c r="F64" s="973"/>
      <c r="G64" s="973"/>
      <c r="H64" s="973"/>
      <c r="I64" s="973"/>
    </row>
    <row r="65" spans="2:9" x14ac:dyDescent="0.25">
      <c r="B65" s="36"/>
      <c r="C65" s="557" t="s">
        <v>1185</v>
      </c>
      <c r="D65" s="973" t="s">
        <v>1190</v>
      </c>
      <c r="E65" s="973"/>
      <c r="F65" s="973"/>
      <c r="G65" s="973"/>
      <c r="H65" s="973"/>
      <c r="I65" s="973"/>
    </row>
    <row r="66" spans="2:9" x14ac:dyDescent="0.25">
      <c r="B66" s="36"/>
      <c r="C66" s="557" t="s">
        <v>1187</v>
      </c>
      <c r="D66" s="973" t="s">
        <v>1188</v>
      </c>
      <c r="E66" s="973"/>
      <c r="F66" s="973"/>
      <c r="G66" s="973"/>
      <c r="H66" s="973"/>
      <c r="I66" s="973"/>
    </row>
    <row r="68" spans="2:9" x14ac:dyDescent="0.25">
      <c r="E68" s="25" t="s">
        <v>1210</v>
      </c>
    </row>
    <row r="69" spans="2:9" x14ac:dyDescent="0.25">
      <c r="C69" s="557" t="s">
        <v>1189</v>
      </c>
      <c r="D69" s="973" t="s">
        <v>1216</v>
      </c>
      <c r="E69" s="973"/>
      <c r="F69" s="973"/>
      <c r="G69" s="973"/>
      <c r="H69" s="973"/>
      <c r="I69" s="973"/>
    </row>
    <row r="70" spans="2:9" x14ac:dyDescent="0.25">
      <c r="C70" s="557" t="s">
        <v>1185</v>
      </c>
      <c r="D70" s="973" t="s">
        <v>1217</v>
      </c>
      <c r="E70" s="973"/>
      <c r="F70" s="973"/>
      <c r="G70" s="973"/>
      <c r="H70" s="973"/>
      <c r="I70" s="973"/>
    </row>
    <row r="72" spans="2:9" x14ac:dyDescent="0.25">
      <c r="E72" s="25" t="s">
        <v>1214</v>
      </c>
    </row>
    <row r="73" spans="2:9" x14ac:dyDescent="0.25">
      <c r="C73" s="557" t="s">
        <v>1189</v>
      </c>
      <c r="D73" s="973" t="s">
        <v>1199</v>
      </c>
      <c r="E73" s="973"/>
      <c r="F73" s="973"/>
      <c r="G73" s="973"/>
      <c r="H73" s="973"/>
      <c r="I73" s="973"/>
    </row>
    <row r="74" spans="2:9" x14ac:dyDescent="0.25">
      <c r="C74" s="557" t="s">
        <v>1185</v>
      </c>
      <c r="D74" s="973" t="s">
        <v>1200</v>
      </c>
      <c r="E74" s="973"/>
      <c r="F74" s="973"/>
      <c r="G74" s="973"/>
      <c r="H74" s="973"/>
      <c r="I74" s="973"/>
    </row>
    <row r="75" spans="2:9" x14ac:dyDescent="0.25">
      <c r="C75" s="557" t="s">
        <v>1187</v>
      </c>
      <c r="D75" s="973" t="s">
        <v>1188</v>
      </c>
      <c r="E75" s="973"/>
      <c r="F75" s="973"/>
      <c r="G75" s="973"/>
      <c r="H75" s="973"/>
      <c r="I75" s="973"/>
    </row>
    <row r="77" spans="2:9" x14ac:dyDescent="0.25">
      <c r="E77" s="25" t="s">
        <v>1276</v>
      </c>
    </row>
    <row r="78" spans="2:9" x14ac:dyDescent="0.25">
      <c r="C78" s="557" t="s">
        <v>1189</v>
      </c>
      <c r="D78" s="972" t="s">
        <v>1238</v>
      </c>
      <c r="E78" s="972"/>
      <c r="F78" s="972"/>
      <c r="G78" s="972"/>
      <c r="H78" s="972"/>
      <c r="I78" s="972"/>
    </row>
    <row r="79" spans="2:9" x14ac:dyDescent="0.25">
      <c r="C79" s="557" t="s">
        <v>1185</v>
      </c>
      <c r="D79" s="973" t="s">
        <v>1239</v>
      </c>
      <c r="E79" s="973"/>
      <c r="F79" s="973"/>
      <c r="G79" s="973"/>
      <c r="H79" s="973"/>
      <c r="I79" s="973"/>
    </row>
    <row r="80" spans="2:9" x14ac:dyDescent="0.25">
      <c r="C80" s="557" t="s">
        <v>1187</v>
      </c>
      <c r="D80" s="973" t="s">
        <v>1188</v>
      </c>
      <c r="E80" s="973"/>
      <c r="F80" s="973"/>
      <c r="G80" s="973"/>
      <c r="H80" s="973"/>
      <c r="I80" s="973"/>
    </row>
    <row r="83" spans="3:9" x14ac:dyDescent="0.25">
      <c r="E83" s="25" t="s">
        <v>1394</v>
      </c>
    </row>
    <row r="84" spans="3:9" x14ac:dyDescent="0.25">
      <c r="C84" s="557" t="s">
        <v>1189</v>
      </c>
      <c r="D84" s="972" t="s">
        <v>1395</v>
      </c>
      <c r="E84" s="972"/>
      <c r="F84" s="972"/>
      <c r="G84" s="972"/>
      <c r="H84" s="972"/>
      <c r="I84" s="972"/>
    </row>
    <row r="85" spans="3:9" x14ac:dyDescent="0.25">
      <c r="C85" s="557" t="s">
        <v>1185</v>
      </c>
      <c r="D85" s="973" t="s">
        <v>1396</v>
      </c>
      <c r="E85" s="973"/>
      <c r="F85" s="973"/>
      <c r="G85" s="973"/>
      <c r="H85" s="973"/>
      <c r="I85" s="973"/>
    </row>
    <row r="86" spans="3:9" x14ac:dyDescent="0.25">
      <c r="C86" s="606" t="s">
        <v>1187</v>
      </c>
      <c r="D86" s="974" t="s">
        <v>1397</v>
      </c>
      <c r="E86" s="974"/>
      <c r="F86" s="974"/>
      <c r="G86" s="974"/>
      <c r="H86" s="974"/>
      <c r="I86" s="974"/>
    </row>
  </sheetData>
  <mergeCells count="30">
    <mergeCell ref="D74:I74"/>
    <mergeCell ref="D75:I75"/>
    <mergeCell ref="D60:I60"/>
    <mergeCell ref="A9:A11"/>
    <mergeCell ref="D9:D11"/>
    <mergeCell ref="B9:B11"/>
    <mergeCell ref="C9:C11"/>
    <mergeCell ref="D54:I54"/>
    <mergeCell ref="A48:C48"/>
    <mergeCell ref="D50:I50"/>
    <mergeCell ref="D51:I51"/>
    <mergeCell ref="D52:I52"/>
    <mergeCell ref="D53:I53"/>
    <mergeCell ref="E9:AH9"/>
    <mergeCell ref="D84:I84"/>
    <mergeCell ref="D85:I85"/>
    <mergeCell ref="D86:I86"/>
    <mergeCell ref="A2:AG2"/>
    <mergeCell ref="D78:I78"/>
    <mergeCell ref="D79:I79"/>
    <mergeCell ref="D80:I80"/>
    <mergeCell ref="D55:I55"/>
    <mergeCell ref="D59:I59"/>
    <mergeCell ref="D69:I69"/>
    <mergeCell ref="D70:I70"/>
    <mergeCell ref="D61:I61"/>
    <mergeCell ref="D64:I64"/>
    <mergeCell ref="D65:I65"/>
    <mergeCell ref="D66:I66"/>
    <mergeCell ref="D73:I73"/>
  </mergeCells>
  <phoneticPr fontId="86" type="noConversion"/>
  <printOptions horizontalCentered="1" verticalCentered="1"/>
  <pageMargins left="0.25" right="0.25" top="0.75" bottom="0.75" header="0.3" footer="0.3"/>
  <pageSetup paperSize="9" scale="24" orientation="landscape" horizontalDpi="300" verticalDpi="30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32"/>
  <sheetViews>
    <sheetView topLeftCell="A3" workbookViewId="0">
      <selection activeCell="A3" sqref="A3:I5"/>
    </sheetView>
  </sheetViews>
  <sheetFormatPr defaultRowHeight="15" x14ac:dyDescent="0.25"/>
  <cols>
    <col min="1" max="1" width="26.42578125" customWidth="1"/>
    <col min="2" max="2" width="22.140625" customWidth="1"/>
    <col min="3" max="3" width="10.5703125" customWidth="1"/>
    <col min="4" max="4" width="12.5703125" customWidth="1"/>
    <col min="5" max="5" width="11.5703125" customWidth="1"/>
    <col min="6" max="6" width="15.85546875" customWidth="1"/>
    <col min="7" max="7" width="13.5703125" customWidth="1"/>
    <col min="8" max="8" width="22.5703125" customWidth="1"/>
    <col min="9" max="9" width="10.5703125" customWidth="1"/>
  </cols>
  <sheetData>
    <row r="1" spans="1:10" ht="18.75" x14ac:dyDescent="0.3">
      <c r="A1" s="751"/>
      <c r="B1" s="751"/>
      <c r="C1" s="751"/>
      <c r="D1" s="751"/>
      <c r="E1" s="751"/>
      <c r="F1" s="751"/>
      <c r="G1" s="751"/>
      <c r="H1" s="32"/>
      <c r="I1" s="181" t="s">
        <v>395</v>
      </c>
    </row>
    <row r="2" spans="1:10" ht="18.75" x14ac:dyDescent="0.3">
      <c r="A2" s="751"/>
      <c r="B2" s="751"/>
      <c r="C2" s="751"/>
      <c r="D2" s="751"/>
      <c r="E2" s="751"/>
      <c r="F2" s="751"/>
      <c r="G2" s="751"/>
      <c r="H2" s="32"/>
      <c r="I2" s="236">
        <v>41783</v>
      </c>
    </row>
    <row r="3" spans="1:10" ht="18.75" x14ac:dyDescent="0.3">
      <c r="A3" s="751" t="s">
        <v>630</v>
      </c>
      <c r="B3" s="751"/>
      <c r="C3" s="751"/>
      <c r="D3" s="751"/>
      <c r="E3" s="751"/>
      <c r="F3" s="751"/>
      <c r="G3" s="751"/>
      <c r="H3" s="751"/>
      <c r="I3" s="751"/>
    </row>
    <row r="4" spans="1:10" ht="18.75" x14ac:dyDescent="0.3">
      <c r="A4" s="751" t="s">
        <v>318</v>
      </c>
      <c r="B4" s="751"/>
      <c r="C4" s="751"/>
      <c r="D4" s="751"/>
      <c r="E4" s="751"/>
      <c r="F4" s="751"/>
      <c r="G4" s="751"/>
      <c r="H4" s="751"/>
      <c r="I4" s="751"/>
      <c r="J4" s="26"/>
    </row>
    <row r="5" spans="1:10" ht="18.75" x14ac:dyDescent="0.3">
      <c r="A5" s="751" t="s">
        <v>631</v>
      </c>
      <c r="B5" s="751"/>
      <c r="C5" s="751"/>
      <c r="D5" s="751"/>
      <c r="E5" s="751"/>
      <c r="F5" s="751"/>
      <c r="G5" s="751"/>
      <c r="H5" s="751"/>
      <c r="I5" s="751"/>
      <c r="J5" s="241"/>
    </row>
    <row r="6" spans="1:10" x14ac:dyDescent="0.25">
      <c r="A6" s="27" t="s">
        <v>319</v>
      </c>
      <c r="B6" s="33" t="s">
        <v>320</v>
      </c>
      <c r="C6" s="33"/>
      <c r="D6" s="33"/>
      <c r="E6" s="33"/>
      <c r="F6" s="33"/>
      <c r="G6" s="27"/>
      <c r="H6" s="27"/>
    </row>
    <row r="7" spans="1:10" ht="15.75" x14ac:dyDescent="0.25">
      <c r="A7" s="25" t="s">
        <v>282</v>
      </c>
      <c r="B7" s="36" t="s">
        <v>34</v>
      </c>
      <c r="C7" s="36"/>
      <c r="D7" s="36"/>
      <c r="E7" s="36"/>
      <c r="F7" s="36"/>
      <c r="G7" s="25"/>
      <c r="H7" s="25"/>
    </row>
    <row r="8" spans="1:10" ht="17.25" customHeight="1" x14ac:dyDescent="0.25">
      <c r="A8" s="25" t="s">
        <v>321</v>
      </c>
      <c r="B8" s="36" t="s">
        <v>34</v>
      </c>
      <c r="C8" s="36"/>
      <c r="D8" s="36"/>
      <c r="E8" s="36"/>
      <c r="F8" s="36"/>
      <c r="G8" s="25"/>
      <c r="H8" s="25"/>
      <c r="I8" s="25"/>
    </row>
    <row r="9" spans="1:10" ht="19.5" customHeight="1" x14ac:dyDescent="0.25">
      <c r="A9" s="25" t="s">
        <v>612</v>
      </c>
      <c r="B9" s="944" t="s">
        <v>65</v>
      </c>
      <c r="C9" s="944"/>
      <c r="D9" s="944"/>
      <c r="E9" s="944"/>
      <c r="F9" s="36"/>
      <c r="G9" s="36"/>
      <c r="H9" s="36"/>
      <c r="I9" s="25"/>
    </row>
    <row r="10" spans="1:10" ht="15.75" x14ac:dyDescent="0.25">
      <c r="A10" s="25"/>
      <c r="B10" s="995"/>
      <c r="C10" s="996"/>
      <c r="D10" s="996"/>
      <c r="E10" s="996"/>
      <c r="F10" s="996"/>
      <c r="G10" s="996"/>
      <c r="H10" s="996"/>
      <c r="I10" s="996"/>
    </row>
    <row r="11" spans="1:10" ht="15.75" x14ac:dyDescent="0.25">
      <c r="A11" s="25"/>
      <c r="B11" s="996" t="s">
        <v>65</v>
      </c>
      <c r="C11" s="996"/>
      <c r="D11" s="996"/>
      <c r="E11" s="996"/>
      <c r="F11" s="996"/>
      <c r="G11" s="996"/>
      <c r="H11" s="996"/>
      <c r="I11" s="996"/>
    </row>
    <row r="12" spans="1:10" ht="15.75" x14ac:dyDescent="0.25">
      <c r="A12" s="36" t="s">
        <v>322</v>
      </c>
      <c r="B12" s="36"/>
      <c r="C12" s="36"/>
      <c r="D12" s="36"/>
      <c r="E12" s="36"/>
      <c r="F12" s="36"/>
      <c r="G12" s="25"/>
      <c r="H12" s="25"/>
      <c r="I12" s="25"/>
    </row>
    <row r="13" spans="1:10" ht="29.25" customHeight="1" x14ac:dyDescent="0.25">
      <c r="A13" s="233" t="s">
        <v>328</v>
      </c>
      <c r="B13" s="27"/>
      <c r="C13" s="27"/>
      <c r="D13" s="27"/>
      <c r="E13" s="27"/>
      <c r="F13" s="27"/>
      <c r="G13" s="27"/>
      <c r="H13" s="27"/>
      <c r="I13" s="27"/>
    </row>
    <row r="14" spans="1:10" ht="23.25" customHeight="1" x14ac:dyDescent="0.25">
      <c r="A14" s="964" t="s">
        <v>598</v>
      </c>
      <c r="B14" s="964" t="s">
        <v>324</v>
      </c>
      <c r="C14" s="949" t="s">
        <v>325</v>
      </c>
      <c r="D14" s="964" t="s">
        <v>609</v>
      </c>
      <c r="E14" s="964" t="s">
        <v>326</v>
      </c>
      <c r="F14" s="994" t="s">
        <v>411</v>
      </c>
      <c r="G14" s="994"/>
      <c r="H14" s="994"/>
      <c r="I14" s="994"/>
    </row>
    <row r="15" spans="1:10" ht="23.25" customHeight="1" x14ac:dyDescent="0.25">
      <c r="A15" s="966"/>
      <c r="B15" s="966"/>
      <c r="C15" s="949"/>
      <c r="D15" s="966"/>
      <c r="E15" s="966"/>
      <c r="F15" s="35" t="s">
        <v>151</v>
      </c>
      <c r="G15" s="35" t="s">
        <v>610</v>
      </c>
      <c r="H15" s="290" t="s">
        <v>282</v>
      </c>
      <c r="I15" s="289" t="s">
        <v>611</v>
      </c>
    </row>
    <row r="16" spans="1:10" ht="23.25" customHeight="1" x14ac:dyDescent="0.25">
      <c r="A16" s="1004"/>
      <c r="B16" s="1004"/>
      <c r="C16" s="839">
        <v>1</v>
      </c>
      <c r="D16" s="839">
        <v>2</v>
      </c>
      <c r="E16" s="839">
        <v>3</v>
      </c>
      <c r="F16" s="997">
        <f>SUM(C16:E18)/9*100</f>
        <v>66.666666666666657</v>
      </c>
      <c r="G16" s="997">
        <f>(F16+F19)/2</f>
        <v>72.222222222222229</v>
      </c>
      <c r="H16" s="997"/>
      <c r="I16" s="998"/>
    </row>
    <row r="17" spans="1:10" ht="15" customHeight="1" x14ac:dyDescent="0.25">
      <c r="A17" s="1005"/>
      <c r="B17" s="1005"/>
      <c r="C17" s="839"/>
      <c r="D17" s="839"/>
      <c r="E17" s="839"/>
      <c r="F17" s="997"/>
      <c r="G17" s="997"/>
      <c r="H17" s="997"/>
      <c r="I17" s="999"/>
    </row>
    <row r="18" spans="1:10" ht="15" customHeight="1" x14ac:dyDescent="0.25">
      <c r="A18" s="1006"/>
      <c r="B18" s="1006"/>
      <c r="C18" s="839"/>
      <c r="D18" s="839"/>
      <c r="E18" s="839"/>
      <c r="F18" s="997"/>
      <c r="G18" s="997"/>
      <c r="H18" s="997"/>
      <c r="I18" s="999"/>
    </row>
    <row r="19" spans="1:10" ht="23.25" customHeight="1" x14ac:dyDescent="0.25">
      <c r="A19" s="1001"/>
      <c r="B19" s="1001"/>
      <c r="C19" s="839">
        <v>2</v>
      </c>
      <c r="D19" s="839">
        <v>2</v>
      </c>
      <c r="E19" s="839">
        <v>3</v>
      </c>
      <c r="F19" s="997">
        <f>SUM(C19:E21)/9*100</f>
        <v>77.777777777777786</v>
      </c>
      <c r="G19" s="997"/>
      <c r="H19" s="997"/>
      <c r="I19" s="999"/>
    </row>
    <row r="20" spans="1:10" ht="15" customHeight="1" x14ac:dyDescent="0.25">
      <c r="A20" s="1002"/>
      <c r="B20" s="1002"/>
      <c r="C20" s="839"/>
      <c r="D20" s="839"/>
      <c r="E20" s="839"/>
      <c r="F20" s="997"/>
      <c r="G20" s="997"/>
      <c r="H20" s="997"/>
      <c r="I20" s="999"/>
    </row>
    <row r="21" spans="1:10" ht="15" customHeight="1" x14ac:dyDescent="0.25">
      <c r="A21" s="1003"/>
      <c r="B21" s="1003"/>
      <c r="C21" s="839"/>
      <c r="D21" s="839"/>
      <c r="E21" s="839"/>
      <c r="F21" s="997"/>
      <c r="G21" s="997"/>
      <c r="H21" s="997"/>
      <c r="I21" s="1000"/>
    </row>
    <row r="22" spans="1:10" x14ac:dyDescent="0.25">
      <c r="A22" s="27" t="s">
        <v>284</v>
      </c>
      <c r="B22" s="27"/>
      <c r="C22" s="27"/>
      <c r="D22" s="27"/>
      <c r="E22" s="27"/>
      <c r="F22" s="27"/>
      <c r="G22" s="27"/>
      <c r="H22" s="27"/>
      <c r="I22" s="27" t="s">
        <v>599</v>
      </c>
    </row>
    <row r="23" spans="1:10" x14ac:dyDescent="0.25">
      <c r="A23" s="27"/>
      <c r="B23" s="27"/>
      <c r="C23" s="27"/>
      <c r="D23" s="27"/>
      <c r="E23" s="27"/>
      <c r="F23" s="27"/>
      <c r="G23" s="27"/>
      <c r="H23" s="27"/>
      <c r="I23" s="27" t="s">
        <v>174</v>
      </c>
    </row>
    <row r="24" spans="1:10" x14ac:dyDescent="0.25">
      <c r="A24" s="27"/>
      <c r="B24" s="27"/>
      <c r="C24" s="27"/>
      <c r="D24" s="27"/>
      <c r="E24" s="27"/>
      <c r="F24" s="27"/>
      <c r="G24" s="27"/>
      <c r="H24" s="27"/>
      <c r="I24" s="27"/>
    </row>
    <row r="25" spans="1:10" ht="16.5" x14ac:dyDescent="0.25">
      <c r="A25" s="27"/>
      <c r="B25" s="27"/>
      <c r="C25" s="27"/>
      <c r="D25" s="27"/>
      <c r="E25" s="27"/>
      <c r="F25" s="27"/>
      <c r="G25" s="27"/>
      <c r="H25" s="27"/>
      <c r="I25" s="27"/>
      <c r="J25" s="4"/>
    </row>
    <row r="26" spans="1:10" ht="16.5" x14ac:dyDescent="0.25">
      <c r="A26" s="28"/>
      <c r="B26" s="27"/>
      <c r="C26" s="28" t="s">
        <v>33</v>
      </c>
      <c r="D26" s="28"/>
      <c r="E26" s="37"/>
      <c r="F26" s="28"/>
      <c r="G26" s="27"/>
      <c r="H26" s="27"/>
      <c r="I26" s="27"/>
      <c r="J26" s="4"/>
    </row>
    <row r="27" spans="1:10" ht="16.5" x14ac:dyDescent="0.25">
      <c r="A27" s="28" t="s">
        <v>137</v>
      </c>
      <c r="B27" s="28"/>
      <c r="C27" s="28"/>
      <c r="D27" s="28"/>
      <c r="E27" s="27"/>
      <c r="F27" s="27"/>
      <c r="G27" s="27"/>
      <c r="H27" s="27"/>
      <c r="I27" s="28" t="s">
        <v>299</v>
      </c>
      <c r="J27" s="4"/>
    </row>
    <row r="28" spans="1:10" ht="16.5" x14ac:dyDescent="0.25">
      <c r="A28" s="28"/>
      <c r="B28" s="28"/>
      <c r="C28" s="28"/>
      <c r="D28" s="28"/>
      <c r="E28" s="27"/>
      <c r="F28" s="27"/>
      <c r="G28" s="27"/>
      <c r="H28" s="27"/>
      <c r="I28" s="28"/>
      <c r="J28" s="4"/>
    </row>
    <row r="29" spans="1:10" ht="16.5" x14ac:dyDescent="0.25">
      <c r="A29" s="28"/>
      <c r="B29" s="28"/>
      <c r="C29" s="28"/>
      <c r="D29" s="28"/>
      <c r="E29" s="27"/>
      <c r="F29" s="27"/>
      <c r="G29" s="27"/>
      <c r="H29" s="27"/>
      <c r="I29" s="28"/>
      <c r="J29" s="4"/>
    </row>
    <row r="30" spans="1:10" ht="16.5" x14ac:dyDescent="0.25">
      <c r="A30" s="28"/>
      <c r="B30" s="28"/>
      <c r="C30" s="28"/>
      <c r="D30" s="28"/>
      <c r="E30" s="27"/>
      <c r="F30" s="27"/>
      <c r="G30" s="27"/>
      <c r="H30" s="27"/>
      <c r="I30" s="28"/>
      <c r="J30" s="4"/>
    </row>
    <row r="31" spans="1:10" x14ac:dyDescent="0.25">
      <c r="A31" s="28" t="s">
        <v>287</v>
      </c>
      <c r="B31" s="28"/>
      <c r="C31" s="28"/>
      <c r="D31" s="28"/>
      <c r="E31" s="27"/>
      <c r="F31" s="27"/>
      <c r="G31" s="27"/>
      <c r="H31" s="27"/>
      <c r="I31" s="38" t="s">
        <v>297</v>
      </c>
    </row>
    <row r="32" spans="1:10" x14ac:dyDescent="0.25">
      <c r="A32" s="28" t="s">
        <v>283</v>
      </c>
      <c r="B32" s="28"/>
      <c r="C32" s="28"/>
      <c r="D32" s="28"/>
      <c r="E32" s="27"/>
      <c r="F32" s="27"/>
      <c r="G32" s="27"/>
      <c r="H32" s="27"/>
      <c r="I32" s="38" t="s">
        <v>298</v>
      </c>
    </row>
  </sheetData>
  <mergeCells count="30">
    <mergeCell ref="H16:H21"/>
    <mergeCell ref="I16:I18"/>
    <mergeCell ref="I19:I21"/>
    <mergeCell ref="G16:G21"/>
    <mergeCell ref="A19:A21"/>
    <mergeCell ref="C19:C21"/>
    <mergeCell ref="D19:D21"/>
    <mergeCell ref="E19:E21"/>
    <mergeCell ref="F19:F21"/>
    <mergeCell ref="A16:A18"/>
    <mergeCell ref="C16:C18"/>
    <mergeCell ref="D16:D18"/>
    <mergeCell ref="E16:E18"/>
    <mergeCell ref="F16:F18"/>
    <mergeCell ref="B16:B18"/>
    <mergeCell ref="B19:B21"/>
    <mergeCell ref="A1:G1"/>
    <mergeCell ref="A2:G2"/>
    <mergeCell ref="F14:I14"/>
    <mergeCell ref="B9:E9"/>
    <mergeCell ref="B10:I10"/>
    <mergeCell ref="B11:I11"/>
    <mergeCell ref="A14:A15"/>
    <mergeCell ref="B14:B15"/>
    <mergeCell ref="C14:C15"/>
    <mergeCell ref="D14:D15"/>
    <mergeCell ref="E14:E15"/>
    <mergeCell ref="A3:I3"/>
    <mergeCell ref="A4:I4"/>
    <mergeCell ref="A5:I5"/>
  </mergeCells>
  <pageMargins left="0.70866141732283472" right="0.31496062992125984" top="0.33" bottom="0.33" header="0.31496062992125984" footer="0.31496062992125984"/>
  <pageSetup paperSize="9" scale="95" orientation="landscape" horizontalDpi="0"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0"/>
    <pageSetUpPr fitToPage="1"/>
  </sheetPr>
  <dimension ref="A1:R48"/>
  <sheetViews>
    <sheetView tabSelected="1" topLeftCell="A9" zoomScale="75" workbookViewId="0">
      <selection activeCell="C12" sqref="C12"/>
    </sheetView>
  </sheetViews>
  <sheetFormatPr defaultColWidth="9.140625" defaultRowHeight="15" x14ac:dyDescent="0.25"/>
  <cols>
    <col min="1" max="1" width="7.140625" style="142" customWidth="1"/>
    <col min="2" max="2" width="21.140625" style="27" customWidth="1"/>
    <col min="3" max="3" width="7.85546875" style="27" customWidth="1"/>
    <col min="4" max="4" width="12.85546875" style="27" customWidth="1"/>
    <col min="5" max="5" width="41" style="27" customWidth="1"/>
    <col min="6" max="6" width="18.140625" style="27" customWidth="1"/>
    <col min="7" max="7" width="21.5703125" style="27" customWidth="1"/>
    <col min="8" max="8" width="2.140625" style="27" customWidth="1"/>
    <col min="9" max="16384" width="9.140625" style="27"/>
  </cols>
  <sheetData>
    <row r="1" spans="1:8" x14ac:dyDescent="0.25">
      <c r="G1" s="234" t="s">
        <v>1628</v>
      </c>
      <c r="H1" s="46"/>
    </row>
    <row r="2" spans="1:8" ht="21.75" customHeight="1" x14ac:dyDescent="0.25">
      <c r="B2" s="938" t="s">
        <v>153</v>
      </c>
      <c r="C2" s="938"/>
      <c r="D2" s="938"/>
      <c r="E2" s="938"/>
      <c r="F2" s="1009"/>
      <c r="G2" s="640" t="s">
        <v>1616</v>
      </c>
      <c r="H2" s="688"/>
    </row>
    <row r="3" spans="1:8" ht="16.5" customHeight="1" x14ac:dyDescent="0.25">
      <c r="C3" s="169"/>
      <c r="D3" s="169"/>
      <c r="E3" s="169"/>
      <c r="F3" s="169"/>
    </row>
    <row r="4" spans="1:8" ht="20.100000000000001" customHeight="1" x14ac:dyDescent="0.3">
      <c r="B4" s="27" t="s">
        <v>126</v>
      </c>
      <c r="C4" s="32"/>
      <c r="D4" s="27" t="s">
        <v>1151</v>
      </c>
      <c r="E4" s="26"/>
      <c r="F4" s="27" t="s">
        <v>1678</v>
      </c>
      <c r="G4" s="27" t="s">
        <v>866</v>
      </c>
    </row>
    <row r="5" spans="1:8" ht="20.100000000000001" customHeight="1" x14ac:dyDescent="0.3">
      <c r="B5" s="27" t="s">
        <v>780</v>
      </c>
      <c r="C5" s="32"/>
      <c r="D5" s="27" t="s">
        <v>1198</v>
      </c>
      <c r="E5" s="26"/>
      <c r="F5" s="27" t="s">
        <v>1679</v>
      </c>
      <c r="G5" s="27" t="s">
        <v>965</v>
      </c>
    </row>
    <row r="6" spans="1:8" ht="20.100000000000001" customHeight="1" x14ac:dyDescent="0.3">
      <c r="B6" s="27" t="s">
        <v>38</v>
      </c>
      <c r="C6" s="32"/>
      <c r="D6" s="27" t="s">
        <v>701</v>
      </c>
      <c r="E6" s="26"/>
    </row>
    <row r="7" spans="1:8" ht="12.75" customHeight="1" x14ac:dyDescent="0.3">
      <c r="B7" s="32"/>
      <c r="C7" s="32"/>
      <c r="E7" s="26"/>
      <c r="F7" s="26"/>
    </row>
    <row r="8" spans="1:8" s="172" customFormat="1" ht="16.5" thickBot="1" x14ac:dyDescent="0.3">
      <c r="A8" s="170" t="s">
        <v>4</v>
      </c>
      <c r="B8" s="170" t="s">
        <v>125</v>
      </c>
      <c r="C8" s="170" t="s">
        <v>39</v>
      </c>
      <c r="D8" s="170" t="s">
        <v>154</v>
      </c>
      <c r="E8" s="170" t="s">
        <v>697</v>
      </c>
      <c r="F8" s="170" t="s">
        <v>602</v>
      </c>
      <c r="G8" s="171" t="s">
        <v>124</v>
      </c>
    </row>
    <row r="9" spans="1:8" ht="75.75" thickTop="1" x14ac:dyDescent="0.25">
      <c r="A9" s="163">
        <v>1</v>
      </c>
      <c r="B9" s="336" t="s">
        <v>1224</v>
      </c>
      <c r="C9" s="336" t="s">
        <v>1222</v>
      </c>
      <c r="D9" s="564" t="s">
        <v>1223</v>
      </c>
      <c r="E9" s="565" t="s">
        <v>1218</v>
      </c>
      <c r="F9" s="336"/>
      <c r="G9" s="336"/>
    </row>
    <row r="10" spans="1:8" ht="75" x14ac:dyDescent="0.25">
      <c r="A10" s="163">
        <v>2</v>
      </c>
      <c r="B10" s="337" t="s">
        <v>1225</v>
      </c>
      <c r="C10" s="337" t="s">
        <v>1222</v>
      </c>
      <c r="D10" s="337" t="s">
        <v>1404</v>
      </c>
      <c r="E10" s="21" t="s">
        <v>1219</v>
      </c>
      <c r="F10" s="337"/>
      <c r="G10" s="337"/>
    </row>
    <row r="11" spans="1:8" ht="75" x14ac:dyDescent="0.25">
      <c r="A11" s="163">
        <v>3</v>
      </c>
      <c r="B11" s="337" t="s">
        <v>1226</v>
      </c>
      <c r="C11" s="337" t="s">
        <v>1222</v>
      </c>
      <c r="D11" s="337" t="s">
        <v>1223</v>
      </c>
      <c r="E11" s="21" t="s">
        <v>1220</v>
      </c>
      <c r="F11" s="337"/>
      <c r="G11" s="337"/>
    </row>
    <row r="12" spans="1:8" ht="60" x14ac:dyDescent="0.25">
      <c r="A12" s="163">
        <v>4</v>
      </c>
      <c r="B12" s="337" t="s">
        <v>1403</v>
      </c>
      <c r="C12" s="337" t="s">
        <v>1222</v>
      </c>
      <c r="D12" s="337" t="s">
        <v>1404</v>
      </c>
      <c r="E12" s="21" t="s">
        <v>1221</v>
      </c>
      <c r="F12" s="337"/>
      <c r="G12" s="337"/>
    </row>
    <row r="13" spans="1:8" ht="18" customHeight="1" x14ac:dyDescent="0.25">
      <c r="A13" s="163">
        <v>5</v>
      </c>
      <c r="B13" s="845" t="s">
        <v>1402</v>
      </c>
      <c r="C13" s="845" t="s">
        <v>1222</v>
      </c>
      <c r="D13" s="845" t="s">
        <v>1223</v>
      </c>
      <c r="E13" s="1010" t="s">
        <v>1237</v>
      </c>
      <c r="F13" s="845"/>
      <c r="G13" s="845"/>
    </row>
    <row r="14" spans="1:8" ht="60.75" customHeight="1" x14ac:dyDescent="0.25">
      <c r="A14" s="163">
        <v>6</v>
      </c>
      <c r="B14" s="847"/>
      <c r="C14" s="847"/>
      <c r="D14" s="847"/>
      <c r="E14" s="1011"/>
      <c r="F14" s="847"/>
      <c r="G14" s="847"/>
    </row>
    <row r="15" spans="1:8" x14ac:dyDescent="0.25">
      <c r="A15" s="163">
        <v>7</v>
      </c>
      <c r="B15" s="845" t="s">
        <v>1406</v>
      </c>
      <c r="C15" s="845" t="s">
        <v>1222</v>
      </c>
      <c r="D15" s="845" t="s">
        <v>1405</v>
      </c>
      <c r="E15" s="1010" t="s">
        <v>1407</v>
      </c>
      <c r="F15" s="1007"/>
      <c r="G15" s="1007"/>
    </row>
    <row r="16" spans="1:8" ht="61.5" customHeight="1" x14ac:dyDescent="0.25">
      <c r="A16" s="163">
        <v>8</v>
      </c>
      <c r="B16" s="847"/>
      <c r="C16" s="847"/>
      <c r="D16" s="847"/>
      <c r="E16" s="1011"/>
      <c r="F16" s="1008"/>
      <c r="G16" s="1008"/>
    </row>
    <row r="17" spans="1:7" ht="18" customHeight="1" x14ac:dyDescent="0.25">
      <c r="A17" s="163">
        <v>9</v>
      </c>
      <c r="B17" s="845"/>
      <c r="C17" s="845"/>
      <c r="D17" s="845"/>
      <c r="E17" s="1010"/>
      <c r="F17" s="29"/>
      <c r="G17" s="49"/>
    </row>
    <row r="18" spans="1:7" ht="18" customHeight="1" x14ac:dyDescent="0.25">
      <c r="A18" s="163">
        <v>10</v>
      </c>
      <c r="B18" s="847"/>
      <c r="C18" s="847"/>
      <c r="D18" s="847"/>
      <c r="E18" s="1011"/>
      <c r="F18" s="29"/>
      <c r="G18" s="29"/>
    </row>
    <row r="19" spans="1:7" ht="18" customHeight="1" x14ac:dyDescent="0.25">
      <c r="A19" s="163">
        <v>11</v>
      </c>
      <c r="B19" s="1007"/>
      <c r="C19" s="1007"/>
      <c r="D19" s="1007"/>
      <c r="E19" s="1010"/>
      <c r="F19" s="29"/>
      <c r="G19" s="49"/>
    </row>
    <row r="20" spans="1:7" ht="18" customHeight="1" x14ac:dyDescent="0.25">
      <c r="A20" s="163">
        <v>12</v>
      </c>
      <c r="B20" s="1008"/>
      <c r="C20" s="1008"/>
      <c r="D20" s="1008"/>
      <c r="E20" s="1011"/>
      <c r="F20" s="29"/>
      <c r="G20" s="29"/>
    </row>
    <row r="21" spans="1:7" ht="18" customHeight="1" x14ac:dyDescent="0.25">
      <c r="A21" s="163">
        <v>13</v>
      </c>
      <c r="B21" s="1007"/>
      <c r="C21" s="845"/>
      <c r="D21" s="845"/>
      <c r="E21" s="1010"/>
      <c r="F21" s="29"/>
      <c r="G21" s="49"/>
    </row>
    <row r="22" spans="1:7" ht="18" customHeight="1" x14ac:dyDescent="0.25">
      <c r="A22" s="163">
        <v>14</v>
      </c>
      <c r="B22" s="1008"/>
      <c r="C22" s="847"/>
      <c r="D22" s="847"/>
      <c r="E22" s="1011"/>
      <c r="F22" s="29"/>
      <c r="G22" s="29"/>
    </row>
    <row r="23" spans="1:7" ht="18" customHeight="1" x14ac:dyDescent="0.25">
      <c r="A23" s="163">
        <v>15</v>
      </c>
      <c r="B23" s="1007"/>
      <c r="C23" s="1007"/>
      <c r="D23" s="1007"/>
      <c r="E23" s="1012"/>
      <c r="F23" s="29"/>
      <c r="G23" s="49"/>
    </row>
    <row r="24" spans="1:7" ht="18" customHeight="1" x14ac:dyDescent="0.25">
      <c r="A24" s="163">
        <v>16</v>
      </c>
      <c r="B24" s="1008"/>
      <c r="C24" s="1008"/>
      <c r="D24" s="1008"/>
      <c r="E24" s="1013"/>
      <c r="F24" s="29"/>
      <c r="G24" s="29"/>
    </row>
    <row r="25" spans="1:7" ht="18" customHeight="1" x14ac:dyDescent="0.25">
      <c r="A25" s="163">
        <v>17</v>
      </c>
      <c r="B25" s="1007"/>
      <c r="C25" s="1007"/>
      <c r="D25" s="845"/>
      <c r="E25" s="1012"/>
      <c r="F25" s="29"/>
      <c r="G25" s="49"/>
    </row>
    <row r="26" spans="1:7" ht="18" customHeight="1" x14ac:dyDescent="0.25">
      <c r="A26" s="163">
        <v>18</v>
      </c>
      <c r="B26" s="1008"/>
      <c r="C26" s="1008"/>
      <c r="D26" s="847"/>
      <c r="E26" s="1013"/>
      <c r="F26" s="29"/>
      <c r="G26" s="29"/>
    </row>
    <row r="27" spans="1:7" ht="18" customHeight="1" x14ac:dyDescent="0.25">
      <c r="A27" s="163">
        <v>19</v>
      </c>
      <c r="B27" s="29"/>
      <c r="C27" s="29"/>
      <c r="D27" s="29"/>
      <c r="E27" s="305"/>
      <c r="F27" s="29"/>
      <c r="G27" s="29"/>
    </row>
    <row r="28" spans="1:7" ht="18" customHeight="1" x14ac:dyDescent="0.25"/>
    <row r="29" spans="1:7" ht="15.75" x14ac:dyDescent="0.25">
      <c r="B29" s="28"/>
      <c r="C29"/>
      <c r="D29"/>
      <c r="E29" s="25"/>
      <c r="F29" s="27" t="s">
        <v>1145</v>
      </c>
    </row>
    <row r="30" spans="1:7" ht="15.75" x14ac:dyDescent="0.25">
      <c r="B30" s="28"/>
      <c r="C30"/>
      <c r="D30"/>
      <c r="E30" s="25"/>
      <c r="F30"/>
    </row>
    <row r="31" spans="1:7" ht="15.75" x14ac:dyDescent="0.25">
      <c r="B31" s="28" t="s">
        <v>1623</v>
      </c>
      <c r="C31"/>
      <c r="D31"/>
      <c r="E31" s="25"/>
      <c r="F31" s="28" t="s">
        <v>41</v>
      </c>
    </row>
    <row r="32" spans="1:7" ht="15.75" x14ac:dyDescent="0.25">
      <c r="B32" s="28"/>
      <c r="C32"/>
      <c r="D32"/>
      <c r="E32" s="25"/>
      <c r="F32" s="28"/>
    </row>
    <row r="33" spans="2:18" ht="15.75" x14ac:dyDescent="0.25">
      <c r="B33" s="28"/>
      <c r="C33"/>
      <c r="D33"/>
      <c r="E33" s="25"/>
      <c r="F33" s="28"/>
    </row>
    <row r="34" spans="2:18" ht="15.75" x14ac:dyDescent="0.25">
      <c r="B34" s="28"/>
      <c r="C34"/>
      <c r="D34"/>
      <c r="E34" s="25"/>
      <c r="F34" s="28"/>
    </row>
    <row r="35" spans="2:18" ht="15.75" x14ac:dyDescent="0.25">
      <c r="B35" s="34" t="s">
        <v>1622</v>
      </c>
      <c r="C35"/>
      <c r="D35"/>
      <c r="E35" s="25"/>
      <c r="F35" s="34" t="s">
        <v>1154</v>
      </c>
    </row>
    <row r="36" spans="2:18" ht="15.75" x14ac:dyDescent="0.25">
      <c r="B36" s="28" t="s">
        <v>1683</v>
      </c>
      <c r="C36"/>
      <c r="D36"/>
      <c r="E36" s="25"/>
      <c r="F36" s="28" t="s">
        <v>1155</v>
      </c>
    </row>
    <row r="37" spans="2:18" ht="15.75" x14ac:dyDescent="0.25">
      <c r="B37" s="28"/>
      <c r="C37"/>
      <c r="D37"/>
      <c r="E37" s="25"/>
    </row>
    <row r="38" spans="2:18" ht="15.75" x14ac:dyDescent="0.25">
      <c r="B38"/>
      <c r="D38"/>
      <c r="E38" s="174" t="s">
        <v>33</v>
      </c>
      <c r="F38"/>
      <c r="J38" s="18"/>
      <c r="K38" s="18"/>
      <c r="L38"/>
      <c r="M38"/>
      <c r="N38"/>
      <c r="O38"/>
      <c r="P38" s="25"/>
      <c r="Q38"/>
      <c r="R38"/>
    </row>
    <row r="39" spans="2:18" ht="15.75" x14ac:dyDescent="0.25">
      <c r="B39" s="28" t="s">
        <v>1624</v>
      </c>
      <c r="C39"/>
      <c r="D39"/>
      <c r="E39" s="25"/>
      <c r="F39" s="28" t="s">
        <v>1625</v>
      </c>
      <c r="J39" s="26"/>
      <c r="K39" s="26"/>
      <c r="L39"/>
      <c r="M39"/>
      <c r="N39"/>
      <c r="O39"/>
      <c r="P39" s="25"/>
      <c r="Q39"/>
      <c r="R39"/>
    </row>
    <row r="40" spans="2:18" ht="15.75" x14ac:dyDescent="0.25">
      <c r="B40" s="28"/>
      <c r="C40"/>
      <c r="D40"/>
      <c r="E40" s="25"/>
      <c r="F40" s="28"/>
    </row>
    <row r="41" spans="2:18" ht="15.75" x14ac:dyDescent="0.25">
      <c r="B41" s="28"/>
      <c r="C41"/>
      <c r="D41"/>
      <c r="E41" s="25"/>
      <c r="F41" s="28"/>
    </row>
    <row r="42" spans="2:18" ht="15.75" x14ac:dyDescent="0.25">
      <c r="B42" s="28"/>
      <c r="C42"/>
      <c r="D42"/>
      <c r="E42" s="25"/>
      <c r="F42" s="28"/>
    </row>
    <row r="43" spans="2:18" ht="15.75" x14ac:dyDescent="0.25">
      <c r="B43" s="34" t="s">
        <v>1156</v>
      </c>
      <c r="C43"/>
      <c r="D43"/>
      <c r="E43" s="25"/>
      <c r="F43" s="34" t="s">
        <v>1044</v>
      </c>
    </row>
    <row r="44" spans="2:18" ht="15.75" x14ac:dyDescent="0.25">
      <c r="B44" s="34" t="s">
        <v>1620</v>
      </c>
      <c r="C44"/>
      <c r="D44"/>
      <c r="E44" s="25"/>
      <c r="F44" s="28" t="s">
        <v>1621</v>
      </c>
    </row>
    <row r="45" spans="2:18" x14ac:dyDescent="0.25">
      <c r="B45" s="28"/>
      <c r="C45" s="28"/>
      <c r="F45" s="143"/>
    </row>
    <row r="46" spans="2:18" x14ac:dyDescent="0.25">
      <c r="B46" s="28"/>
      <c r="C46" s="28"/>
      <c r="F46" s="28"/>
    </row>
    <row r="47" spans="2:18" x14ac:dyDescent="0.25">
      <c r="B47" s="28"/>
      <c r="C47" s="28"/>
    </row>
    <row r="48" spans="2:18" x14ac:dyDescent="0.25">
      <c r="B48" s="28"/>
      <c r="C48" s="28"/>
    </row>
  </sheetData>
  <mergeCells count="33">
    <mergeCell ref="F15:F16"/>
    <mergeCell ref="G15:G16"/>
    <mergeCell ref="E21:E22"/>
    <mergeCell ref="D21:D22"/>
    <mergeCell ref="C21:C22"/>
    <mergeCell ref="E23:E24"/>
    <mergeCell ref="E25:E26"/>
    <mergeCell ref="D25:D26"/>
    <mergeCell ref="C25:C26"/>
    <mergeCell ref="E17:E18"/>
    <mergeCell ref="D17:D18"/>
    <mergeCell ref="C17:C18"/>
    <mergeCell ref="B17:B18"/>
    <mergeCell ref="E19:E20"/>
    <mergeCell ref="C19:C20"/>
    <mergeCell ref="D19:D20"/>
    <mergeCell ref="B19:B20"/>
    <mergeCell ref="B25:B26"/>
    <mergeCell ref="F13:F14"/>
    <mergeCell ref="G13:G14"/>
    <mergeCell ref="B2:F2"/>
    <mergeCell ref="B21:B22"/>
    <mergeCell ref="B23:B24"/>
    <mergeCell ref="C23:C24"/>
    <mergeCell ref="D23:D24"/>
    <mergeCell ref="E15:E16"/>
    <mergeCell ref="D15:D16"/>
    <mergeCell ref="C15:C16"/>
    <mergeCell ref="B15:B16"/>
    <mergeCell ref="E13:E14"/>
    <mergeCell ref="D13:D14"/>
    <mergeCell ref="C13:C14"/>
    <mergeCell ref="B13:B14"/>
  </mergeCells>
  <phoneticPr fontId="86" type="noConversion"/>
  <printOptions horizontalCentered="1"/>
  <pageMargins left="0.98425196850393704" right="0.31496062992126" top="0.31496062992126" bottom="1.49606299212598" header="0.31496062992126" footer="0.31496062992126"/>
  <pageSetup paperSize="9" scale="68" orientation="portrait" horizontalDpi="4294967293"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0"/>
    <pageSetUpPr fitToPage="1"/>
  </sheetPr>
  <dimension ref="B1:AC678"/>
  <sheetViews>
    <sheetView topLeftCell="A629" zoomScale="73" workbookViewId="0">
      <selection activeCell="B568" sqref="B568:L678"/>
    </sheetView>
  </sheetViews>
  <sheetFormatPr defaultRowHeight="15" x14ac:dyDescent="0.25"/>
  <cols>
    <col min="2" max="2" width="13.42578125" customWidth="1"/>
    <col min="3" max="3" width="4.140625" customWidth="1"/>
    <col min="4" max="4" width="7" customWidth="1"/>
    <col min="5" max="5" width="4.7109375" customWidth="1"/>
    <col min="10" max="10" width="6.85546875" customWidth="1"/>
    <col min="12" max="12" width="15.42578125" customWidth="1"/>
    <col min="14" max="14" width="9.140625" customWidth="1"/>
  </cols>
  <sheetData>
    <row r="1" spans="2:12" ht="23.25" customHeight="1" x14ac:dyDescent="0.25">
      <c r="J1" s="7"/>
      <c r="K1" s="1124" t="s">
        <v>685</v>
      </c>
      <c r="L1" s="1124"/>
    </row>
    <row r="2" spans="2:12" ht="21.75" customHeight="1" x14ac:dyDescent="0.25">
      <c r="J2" s="238"/>
      <c r="K2" s="1125">
        <v>46039</v>
      </c>
      <c r="L2" s="1125"/>
    </row>
    <row r="3" spans="2:12" ht="20.25" x14ac:dyDescent="0.3">
      <c r="B3" s="535"/>
      <c r="C3" s="535"/>
      <c r="D3" s="535"/>
      <c r="E3" s="535"/>
      <c r="F3" s="535"/>
      <c r="G3" s="536" t="s">
        <v>975</v>
      </c>
      <c r="H3" s="535"/>
      <c r="I3" s="535"/>
      <c r="J3" s="535"/>
      <c r="K3" s="535"/>
      <c r="L3" s="535"/>
    </row>
    <row r="4" spans="2:12" ht="20.25" x14ac:dyDescent="0.3">
      <c r="B4" s="535"/>
      <c r="C4" s="535"/>
      <c r="D4" s="535"/>
      <c r="E4" s="535"/>
      <c r="F4" s="535"/>
      <c r="G4" s="537" t="s">
        <v>976</v>
      </c>
      <c r="H4" s="535"/>
      <c r="I4" s="535"/>
      <c r="J4" s="535"/>
      <c r="K4" s="535"/>
      <c r="L4" s="535"/>
    </row>
    <row r="5" spans="2:12" ht="15.75" thickBot="1" x14ac:dyDescent="0.3">
      <c r="B5" s="376"/>
    </row>
    <row r="6" spans="2:12" ht="15.75" thickBot="1" x14ac:dyDescent="0.3">
      <c r="B6" s="1032" t="s">
        <v>977</v>
      </c>
      <c r="C6" s="1033"/>
      <c r="D6" s="1033"/>
      <c r="E6" s="1033"/>
      <c r="F6" s="1033"/>
      <c r="G6" s="1033"/>
      <c r="H6" s="1033"/>
      <c r="I6" s="1033"/>
      <c r="J6" s="1033"/>
      <c r="K6" s="1033"/>
      <c r="L6" s="1034"/>
    </row>
    <row r="7" spans="2:12" ht="15.75" thickBot="1" x14ac:dyDescent="0.3">
      <c r="B7" s="1035" t="s">
        <v>313</v>
      </c>
      <c r="C7" s="1037"/>
      <c r="D7" s="1020" t="s">
        <v>871</v>
      </c>
      <c r="E7" s="1021"/>
      <c r="F7" s="1021"/>
      <c r="G7" s="1022"/>
      <c r="H7" s="1035" t="s">
        <v>978</v>
      </c>
      <c r="I7" s="1037"/>
      <c r="J7" s="1020" t="s">
        <v>979</v>
      </c>
      <c r="K7" s="1021"/>
      <c r="L7" s="1022"/>
    </row>
    <row r="8" spans="2:12" ht="15.75" thickBot="1" x14ac:dyDescent="0.3">
      <c r="B8" s="1035" t="s">
        <v>980</v>
      </c>
      <c r="C8" s="1037"/>
      <c r="D8" s="1020" t="s">
        <v>981</v>
      </c>
      <c r="E8" s="1021"/>
      <c r="F8" s="1021"/>
      <c r="G8" s="1022"/>
      <c r="H8" s="1035" t="s">
        <v>982</v>
      </c>
      <c r="I8" s="1037"/>
      <c r="J8" s="1020" t="s">
        <v>983</v>
      </c>
      <c r="K8" s="1021"/>
      <c r="L8" s="1022"/>
    </row>
    <row r="9" spans="2:12" ht="15.75" thickBot="1" x14ac:dyDescent="0.3">
      <c r="B9" s="1035" t="s">
        <v>984</v>
      </c>
      <c r="C9" s="1037"/>
      <c r="D9" s="1107" t="s">
        <v>1408</v>
      </c>
      <c r="E9" s="1108"/>
      <c r="F9" s="1108"/>
      <c r="G9" s="1109"/>
      <c r="H9" s="1035" t="s">
        <v>38</v>
      </c>
      <c r="I9" s="1037"/>
      <c r="J9" s="1020" t="s">
        <v>753</v>
      </c>
      <c r="K9" s="1021"/>
      <c r="L9" s="1022"/>
    </row>
    <row r="10" spans="2:12" ht="15.75" thickBot="1" x14ac:dyDescent="0.3">
      <c r="B10" s="1035" t="s">
        <v>315</v>
      </c>
      <c r="C10" s="1037"/>
      <c r="D10" s="1020" t="s">
        <v>1038</v>
      </c>
      <c r="E10" s="1021"/>
      <c r="F10" s="1021"/>
      <c r="G10" s="1022"/>
      <c r="H10" s="1035" t="s">
        <v>985</v>
      </c>
      <c r="I10" s="1037"/>
      <c r="J10" s="1020" t="s">
        <v>1154</v>
      </c>
      <c r="K10" s="1021"/>
      <c r="L10" s="1022"/>
    </row>
    <row r="11" spans="2:12" ht="15.75" thickBot="1" x14ac:dyDescent="0.3">
      <c r="B11" s="1035" t="s">
        <v>986</v>
      </c>
      <c r="C11" s="1037"/>
      <c r="D11" s="1020" t="s">
        <v>987</v>
      </c>
      <c r="E11" s="1021"/>
      <c r="F11" s="1021"/>
      <c r="G11" s="1022"/>
      <c r="H11" s="1035" t="s">
        <v>988</v>
      </c>
      <c r="I11" s="1037"/>
      <c r="J11" s="1020" t="s">
        <v>1154</v>
      </c>
      <c r="K11" s="1021"/>
      <c r="L11" s="1022"/>
    </row>
    <row r="12" spans="2:12" ht="15.75" thickBot="1" x14ac:dyDescent="0.3">
      <c r="B12" s="1020"/>
      <c r="C12" s="1021"/>
      <c r="D12" s="1021"/>
      <c r="E12" s="1021"/>
      <c r="F12" s="1021"/>
      <c r="G12" s="1021"/>
      <c r="H12" s="1021"/>
      <c r="I12" s="1021"/>
      <c r="J12" s="1021"/>
      <c r="K12" s="1021"/>
      <c r="L12" s="1022"/>
    </row>
    <row r="13" spans="2:12" x14ac:dyDescent="0.25">
      <c r="B13" s="1100" t="s">
        <v>989</v>
      </c>
      <c r="C13" s="1101"/>
      <c r="D13" s="1102"/>
      <c r="E13" s="1094" t="s">
        <v>1413</v>
      </c>
      <c r="F13" s="1057"/>
      <c r="G13" s="1057"/>
      <c r="H13" s="1057"/>
      <c r="I13" s="1057"/>
      <c r="J13" s="1057"/>
      <c r="K13" s="1057"/>
      <c r="L13" s="1058"/>
    </row>
    <row r="14" spans="2:12" ht="15.75" thickBot="1" x14ac:dyDescent="0.3">
      <c r="B14" s="1104" t="s">
        <v>990</v>
      </c>
      <c r="C14" s="1105"/>
      <c r="D14" s="1106"/>
      <c r="E14" s="1103"/>
      <c r="F14" s="1098"/>
      <c r="G14" s="1098"/>
      <c r="H14" s="1098"/>
      <c r="I14" s="1098"/>
      <c r="J14" s="1098"/>
      <c r="K14" s="1098"/>
      <c r="L14" s="1099"/>
    </row>
    <row r="15" spans="2:12" ht="15.75" thickBot="1" x14ac:dyDescent="0.3">
      <c r="B15" s="1035" t="s">
        <v>991</v>
      </c>
      <c r="C15" s="1036"/>
      <c r="D15" s="1037"/>
      <c r="E15" s="1076" t="s">
        <v>1409</v>
      </c>
      <c r="F15" s="1077"/>
      <c r="G15" s="1077"/>
      <c r="H15" s="1077"/>
      <c r="I15" s="1077"/>
      <c r="J15" s="1077"/>
      <c r="K15" s="1077"/>
      <c r="L15" s="1078"/>
    </row>
    <row r="16" spans="2:12" ht="42.75" customHeight="1" x14ac:dyDescent="0.25">
      <c r="B16" s="1085" t="s">
        <v>992</v>
      </c>
      <c r="C16" s="1086"/>
      <c r="D16" s="1087"/>
      <c r="E16" s="1094" t="s">
        <v>993</v>
      </c>
      <c r="F16" s="1057"/>
      <c r="G16" s="1057"/>
      <c r="H16" s="1057"/>
      <c r="I16" s="1057"/>
      <c r="J16" s="1057"/>
      <c r="K16" s="1057"/>
      <c r="L16" s="1058"/>
    </row>
    <row r="17" spans="2:12" ht="30" customHeight="1" x14ac:dyDescent="0.25">
      <c r="B17" s="1088"/>
      <c r="C17" s="1089"/>
      <c r="D17" s="1090"/>
      <c r="E17" s="1097" t="s">
        <v>994</v>
      </c>
      <c r="F17" s="1044"/>
      <c r="G17" s="1044"/>
      <c r="H17" s="1044"/>
      <c r="I17" s="1044"/>
      <c r="J17" s="1044"/>
      <c r="K17" s="1044"/>
      <c r="L17" s="1045"/>
    </row>
    <row r="18" spans="2:12" ht="15" customHeight="1" thickBot="1" x14ac:dyDescent="0.3">
      <c r="B18" s="1091"/>
      <c r="C18" s="1092"/>
      <c r="D18" s="1093"/>
      <c r="E18" s="1097" t="s">
        <v>995</v>
      </c>
      <c r="F18" s="1044"/>
      <c r="G18" s="1044"/>
      <c r="H18" s="1044"/>
      <c r="I18" s="1044"/>
      <c r="J18" s="1044"/>
      <c r="K18" s="1044"/>
      <c r="L18" s="1045"/>
    </row>
    <row r="19" spans="2:12" x14ac:dyDescent="0.25">
      <c r="B19" s="1085" t="s">
        <v>996</v>
      </c>
      <c r="C19" s="1086"/>
      <c r="D19" s="1087"/>
      <c r="E19" s="1094" t="s">
        <v>997</v>
      </c>
      <c r="F19" s="1057"/>
      <c r="G19" s="1057"/>
      <c r="H19" s="1057"/>
      <c r="I19" s="1057"/>
      <c r="J19" s="1057"/>
      <c r="K19" s="1057"/>
      <c r="L19" s="1058"/>
    </row>
    <row r="20" spans="2:12" x14ac:dyDescent="0.25">
      <c r="B20" s="1088"/>
      <c r="C20" s="1089"/>
      <c r="D20" s="1090"/>
      <c r="E20" s="621">
        <v>1</v>
      </c>
      <c r="F20" s="1044" t="s">
        <v>1457</v>
      </c>
      <c r="G20" s="1044"/>
      <c r="H20" s="1044"/>
      <c r="I20" s="1044"/>
      <c r="J20" s="1044"/>
      <c r="K20" s="1044"/>
      <c r="L20" s="1045"/>
    </row>
    <row r="21" spans="2:12" x14ac:dyDescent="0.25">
      <c r="B21" s="1088"/>
      <c r="C21" s="1089"/>
      <c r="D21" s="1090"/>
      <c r="E21" s="621">
        <v>2</v>
      </c>
      <c r="F21" s="1044" t="s">
        <v>1458</v>
      </c>
      <c r="G21" s="1044"/>
      <c r="H21" s="1044"/>
      <c r="I21" s="1044"/>
      <c r="J21" s="1044"/>
      <c r="K21" s="1044"/>
      <c r="L21" s="1045"/>
    </row>
    <row r="22" spans="2:12" ht="15" customHeight="1" x14ac:dyDescent="0.25">
      <c r="B22" s="1088"/>
      <c r="C22" s="1089"/>
      <c r="D22" s="1090"/>
      <c r="E22" s="621">
        <v>3</v>
      </c>
      <c r="F22" s="1044" t="s">
        <v>1459</v>
      </c>
      <c r="G22" s="1044"/>
      <c r="H22" s="1044"/>
      <c r="I22" s="1044"/>
      <c r="J22" s="1044"/>
      <c r="K22" s="1044"/>
      <c r="L22" s="1045"/>
    </row>
    <row r="23" spans="2:12" ht="15" customHeight="1" x14ac:dyDescent="0.25">
      <c r="B23" s="1088"/>
      <c r="C23" s="1089"/>
      <c r="D23" s="1090"/>
      <c r="E23" s="621">
        <v>4</v>
      </c>
      <c r="F23" s="1044" t="s">
        <v>1039</v>
      </c>
      <c r="G23" s="1044"/>
      <c r="H23" s="1044"/>
      <c r="I23" s="1044"/>
      <c r="J23" s="1044"/>
      <c r="K23" s="1044"/>
      <c r="L23" s="1045"/>
    </row>
    <row r="24" spans="2:12" ht="15" customHeight="1" x14ac:dyDescent="0.25">
      <c r="B24" s="1088"/>
      <c r="C24" s="1089"/>
      <c r="D24" s="1090"/>
      <c r="E24" s="621">
        <v>5</v>
      </c>
      <c r="F24" s="1044" t="s">
        <v>1460</v>
      </c>
      <c r="G24" s="1044"/>
      <c r="H24" s="1044"/>
      <c r="I24" s="1044"/>
      <c r="J24" s="1044"/>
      <c r="K24" s="1044"/>
      <c r="L24" s="1045"/>
    </row>
    <row r="25" spans="2:12" ht="15" customHeight="1" x14ac:dyDescent="0.25">
      <c r="B25" s="1088"/>
      <c r="C25" s="1089"/>
      <c r="D25" s="1090"/>
      <c r="E25" s="621">
        <v>6</v>
      </c>
      <c r="F25" s="1044" t="s">
        <v>1461</v>
      </c>
      <c r="G25" s="1044"/>
      <c r="H25" s="1044"/>
      <c r="I25" s="1044"/>
      <c r="J25" s="1044"/>
      <c r="K25" s="1044"/>
      <c r="L25" s="1045"/>
    </row>
    <row r="26" spans="2:12" ht="15" customHeight="1" x14ac:dyDescent="0.25">
      <c r="B26" s="1088"/>
      <c r="C26" s="1089"/>
      <c r="D26" s="1090"/>
      <c r="E26" s="1097" t="s">
        <v>998</v>
      </c>
      <c r="F26" s="1044"/>
      <c r="G26" s="1044"/>
      <c r="H26" s="1044"/>
      <c r="I26" s="1044"/>
      <c r="J26" s="1044"/>
      <c r="K26" s="1044"/>
      <c r="L26" s="1045"/>
    </row>
    <row r="27" spans="2:12" ht="15" customHeight="1" thickBot="1" x14ac:dyDescent="0.3">
      <c r="B27" s="1091"/>
      <c r="C27" s="1092"/>
      <c r="D27" s="1093"/>
      <c r="E27" s="626">
        <v>1</v>
      </c>
      <c r="F27" s="1098" t="s">
        <v>1462</v>
      </c>
      <c r="G27" s="1098"/>
      <c r="H27" s="1098"/>
      <c r="I27" s="1098"/>
      <c r="J27" s="1098"/>
      <c r="K27" s="1098"/>
      <c r="L27" s="1099"/>
    </row>
    <row r="28" spans="2:12" ht="15" customHeight="1" thickBot="1" x14ac:dyDescent="0.3">
      <c r="B28" s="1035" t="s">
        <v>999</v>
      </c>
      <c r="C28" s="1036"/>
      <c r="D28" s="1037"/>
      <c r="E28" s="1076" t="s">
        <v>1410</v>
      </c>
      <c r="F28" s="1077"/>
      <c r="G28" s="1077"/>
      <c r="H28" s="1077"/>
      <c r="I28" s="1077"/>
      <c r="J28" s="1077"/>
      <c r="K28" s="1077"/>
      <c r="L28" s="1078"/>
    </row>
    <row r="29" spans="2:12" ht="15.75" customHeight="1" thickBot="1" x14ac:dyDescent="0.3">
      <c r="B29" s="1035" t="s">
        <v>629</v>
      </c>
      <c r="C29" s="1036"/>
      <c r="D29" s="1037"/>
      <c r="E29" s="1082" t="s">
        <v>1421</v>
      </c>
      <c r="F29" s="1083"/>
      <c r="G29" s="1083"/>
      <c r="H29" s="1083"/>
      <c r="I29" s="1083"/>
      <c r="J29" s="1083"/>
      <c r="K29" s="1083"/>
      <c r="L29" s="1084"/>
    </row>
    <row r="30" spans="2:12" ht="15.75" thickBot="1" x14ac:dyDescent="0.3">
      <c r="B30" s="1035" t="s">
        <v>1000</v>
      </c>
      <c r="C30" s="1036"/>
      <c r="D30" s="1037"/>
      <c r="E30" s="1076" t="s">
        <v>1420</v>
      </c>
      <c r="F30" s="1077"/>
      <c r="G30" s="1077"/>
      <c r="H30" s="1077"/>
      <c r="I30" s="1077"/>
      <c r="J30" s="1077"/>
      <c r="K30" s="1077"/>
      <c r="L30" s="1078"/>
    </row>
    <row r="31" spans="2:12" ht="15.75" thickBot="1" x14ac:dyDescent="0.3">
      <c r="B31" s="1020"/>
      <c r="C31" s="1021"/>
      <c r="D31" s="1021"/>
      <c r="E31" s="1021"/>
      <c r="F31" s="1021"/>
      <c r="G31" s="1021"/>
      <c r="H31" s="1021"/>
      <c r="I31" s="1021"/>
      <c r="J31" s="1021"/>
      <c r="K31" s="1021"/>
      <c r="L31" s="1022"/>
    </row>
    <row r="32" spans="2:12" ht="15.75" thickBot="1" x14ac:dyDescent="0.3">
      <c r="B32" s="1032" t="s">
        <v>1001</v>
      </c>
      <c r="C32" s="1033"/>
      <c r="D32" s="1033"/>
      <c r="E32" s="1033"/>
      <c r="F32" s="1033"/>
      <c r="G32" s="1033"/>
      <c r="H32" s="1033"/>
      <c r="I32" s="1033"/>
      <c r="J32" s="1033"/>
      <c r="K32" s="1033"/>
      <c r="L32" s="1034"/>
    </row>
    <row r="33" spans="2:29" ht="15.75" customHeight="1" x14ac:dyDescent="0.25">
      <c r="B33" s="1085" t="s">
        <v>627</v>
      </c>
      <c r="C33" s="1086"/>
      <c r="D33" s="1087"/>
      <c r="E33" s="1094" t="s">
        <v>1463</v>
      </c>
      <c r="F33" s="1057"/>
      <c r="G33" s="1057"/>
      <c r="H33" s="1057"/>
      <c r="I33" s="1057"/>
      <c r="J33" s="1057"/>
      <c r="K33" s="1057"/>
      <c r="L33" s="1058"/>
    </row>
    <row r="34" spans="2:29" x14ac:dyDescent="0.25">
      <c r="B34" s="1088"/>
      <c r="C34" s="1089"/>
      <c r="D34" s="1090"/>
      <c r="E34" s="627">
        <v>1</v>
      </c>
      <c r="F34" s="1095" t="s">
        <v>1428</v>
      </c>
      <c r="G34" s="1095"/>
      <c r="H34" s="1095"/>
      <c r="I34" s="1095"/>
      <c r="J34" s="1095"/>
      <c r="K34" s="1095"/>
      <c r="L34" s="1096"/>
    </row>
    <row r="35" spans="2:29" ht="30" customHeight="1" x14ac:dyDescent="0.25">
      <c r="B35" s="1088"/>
      <c r="C35" s="1089"/>
      <c r="D35" s="1090"/>
      <c r="E35" s="627">
        <v>2</v>
      </c>
      <c r="F35" s="1095" t="s">
        <v>1429</v>
      </c>
      <c r="G35" s="1095"/>
      <c r="H35" s="1095"/>
      <c r="I35" s="1095"/>
      <c r="J35" s="1095"/>
      <c r="K35" s="1095"/>
      <c r="L35" s="1096"/>
    </row>
    <row r="36" spans="2:29" ht="30" customHeight="1" x14ac:dyDescent="0.25">
      <c r="B36" s="1088"/>
      <c r="C36" s="1089"/>
      <c r="D36" s="1090"/>
      <c r="E36" s="627">
        <v>3</v>
      </c>
      <c r="F36" s="1095" t="s">
        <v>1430</v>
      </c>
      <c r="G36" s="1095"/>
      <c r="H36" s="1095"/>
      <c r="I36" s="1095"/>
      <c r="J36" s="1095"/>
      <c r="K36" s="1095"/>
      <c r="L36" s="1096"/>
    </row>
    <row r="37" spans="2:29" ht="45" customHeight="1" thickBot="1" x14ac:dyDescent="0.3">
      <c r="B37" s="1091"/>
      <c r="C37" s="1092"/>
      <c r="D37" s="1093"/>
      <c r="E37" s="627">
        <v>4</v>
      </c>
      <c r="F37" s="1095" t="s">
        <v>1431</v>
      </c>
      <c r="G37" s="1095"/>
      <c r="H37" s="1095"/>
      <c r="I37" s="1095"/>
      <c r="J37" s="1095"/>
      <c r="K37" s="1095"/>
      <c r="L37" s="1096"/>
    </row>
    <row r="38" spans="2:29" ht="45" customHeight="1" thickBot="1" x14ac:dyDescent="0.3">
      <c r="B38" s="1035" t="s">
        <v>1002</v>
      </c>
      <c r="C38" s="1036"/>
      <c r="D38" s="1037"/>
      <c r="E38" s="1076" t="s">
        <v>1496</v>
      </c>
      <c r="F38" s="1077"/>
      <c r="G38" s="1077"/>
      <c r="H38" s="1077"/>
      <c r="I38" s="1077"/>
      <c r="J38" s="1077"/>
      <c r="K38" s="1077"/>
      <c r="L38" s="1078"/>
    </row>
    <row r="39" spans="2:29" ht="63" customHeight="1" thickBot="1" x14ac:dyDescent="0.3">
      <c r="B39" s="1035" t="s">
        <v>1003</v>
      </c>
      <c r="C39" s="1036"/>
      <c r="D39" s="1037"/>
      <c r="E39" s="1076" t="s">
        <v>1004</v>
      </c>
      <c r="F39" s="1077"/>
      <c r="G39" s="1077"/>
      <c r="H39" s="1077"/>
      <c r="I39" s="1077"/>
      <c r="J39" s="1077"/>
      <c r="K39" s="1077"/>
      <c r="L39" s="1078"/>
    </row>
    <row r="40" spans="2:29" s="618" customFormat="1" ht="15.75" thickBot="1" x14ac:dyDescent="0.3">
      <c r="B40" s="1035" t="s">
        <v>626</v>
      </c>
      <c r="C40" s="1036"/>
      <c r="D40" s="1037"/>
      <c r="E40" s="1079" t="s">
        <v>1411</v>
      </c>
      <c r="F40" s="1080"/>
      <c r="G40" s="1080"/>
      <c r="H40" s="1080"/>
      <c r="I40" s="1080"/>
      <c r="J40" s="1080"/>
      <c r="K40" s="1080"/>
      <c r="L40" s="1081"/>
      <c r="N40"/>
    </row>
    <row r="41" spans="2:29" ht="15.75" thickBot="1" x14ac:dyDescent="0.3">
      <c r="B41" s="1020"/>
      <c r="C41" s="1021"/>
      <c r="D41" s="1021"/>
      <c r="E41" s="1021"/>
      <c r="F41" s="1021"/>
      <c r="G41" s="1021"/>
      <c r="H41" s="1021"/>
      <c r="I41" s="1021"/>
      <c r="J41" s="1021"/>
      <c r="K41" s="1021"/>
      <c r="L41" s="1022"/>
    </row>
    <row r="42" spans="2:29" ht="15.75" thickBot="1" x14ac:dyDescent="0.3">
      <c r="B42" s="1032" t="s">
        <v>1005</v>
      </c>
      <c r="C42" s="1033"/>
      <c r="D42" s="1033"/>
      <c r="E42" s="1033"/>
      <c r="F42" s="1033"/>
      <c r="G42" s="1033"/>
      <c r="H42" s="1033"/>
      <c r="I42" s="1033"/>
      <c r="J42" s="1033"/>
      <c r="K42" s="1033"/>
      <c r="L42" s="1034"/>
    </row>
    <row r="43" spans="2:29" ht="15.75" thickBot="1" x14ac:dyDescent="0.3">
      <c r="B43" s="1035" t="s">
        <v>1414</v>
      </c>
      <c r="C43" s="1036"/>
      <c r="D43" s="1036"/>
      <c r="E43" s="1036"/>
      <c r="F43" s="1036"/>
      <c r="G43" s="1036"/>
      <c r="H43" s="1036"/>
      <c r="I43" s="1036"/>
      <c r="J43" s="1036"/>
      <c r="K43" s="1036"/>
      <c r="L43" s="1037"/>
    </row>
    <row r="44" spans="2:29" ht="15.75" thickBot="1" x14ac:dyDescent="0.3">
      <c r="B44" s="1035" t="s">
        <v>1006</v>
      </c>
      <c r="C44" s="1036"/>
      <c r="D44" s="1037"/>
      <c r="E44" s="1020" t="s">
        <v>1412</v>
      </c>
      <c r="F44" s="1021"/>
      <c r="G44" s="1021"/>
      <c r="H44" s="1021"/>
      <c r="I44" s="1021"/>
      <c r="J44" s="1021"/>
      <c r="K44" s="1021"/>
      <c r="L44" s="1022"/>
    </row>
    <row r="45" spans="2:29" ht="15" customHeight="1" thickBot="1" x14ac:dyDescent="0.3">
      <c r="B45" s="1035" t="s">
        <v>1007</v>
      </c>
      <c r="C45" s="1036"/>
      <c r="D45" s="1037"/>
      <c r="E45" s="1070"/>
      <c r="F45" s="1071"/>
      <c r="G45" s="1071"/>
      <c r="H45" s="1071"/>
      <c r="I45" s="1071"/>
      <c r="J45" s="1072"/>
      <c r="K45" s="378" t="s">
        <v>1008</v>
      </c>
      <c r="L45" s="631" t="s">
        <v>1417</v>
      </c>
    </row>
    <row r="46" spans="2:29" x14ac:dyDescent="0.25">
      <c r="B46" s="1073"/>
      <c r="C46" s="1074"/>
      <c r="D46" s="1074"/>
      <c r="E46" s="1074"/>
      <c r="F46" s="1074"/>
      <c r="G46" s="1074"/>
      <c r="H46" s="1074"/>
      <c r="I46" s="1074"/>
      <c r="J46" s="1074"/>
      <c r="K46" s="1074"/>
      <c r="L46" s="1075"/>
      <c r="S46" s="609"/>
      <c r="T46" s="609"/>
      <c r="U46" s="609"/>
      <c r="V46" s="609"/>
      <c r="W46" s="609"/>
      <c r="X46" s="609"/>
      <c r="Y46" s="609"/>
      <c r="Z46" s="609"/>
      <c r="AA46" s="609"/>
      <c r="AB46" s="609"/>
      <c r="AC46" s="609"/>
    </row>
    <row r="47" spans="2:29" x14ac:dyDescent="0.25">
      <c r="B47" s="632">
        <v>1</v>
      </c>
      <c r="C47" s="624"/>
      <c r="D47" s="1044" t="s">
        <v>1441</v>
      </c>
      <c r="E47" s="1044"/>
      <c r="F47" s="1044"/>
      <c r="G47" s="1044"/>
      <c r="H47" s="1044"/>
      <c r="I47" s="1044"/>
      <c r="J47" s="1044"/>
      <c r="K47" s="1044"/>
      <c r="L47" s="1045"/>
    </row>
    <row r="48" spans="2:29" ht="15" customHeight="1" x14ac:dyDescent="0.25">
      <c r="B48" s="628">
        <v>2</v>
      </c>
      <c r="C48" s="624"/>
      <c r="D48" s="1044" t="s">
        <v>1432</v>
      </c>
      <c r="E48" s="1044"/>
      <c r="F48" s="1044"/>
      <c r="G48" s="1044"/>
      <c r="H48" s="1044"/>
      <c r="I48" s="1044"/>
      <c r="J48" s="1044"/>
      <c r="K48" s="1044"/>
      <c r="L48" s="1045"/>
    </row>
    <row r="49" spans="2:12" x14ac:dyDescent="0.25">
      <c r="B49" s="628">
        <v>3</v>
      </c>
      <c r="C49" s="624"/>
      <c r="D49" s="1044" t="s">
        <v>1438</v>
      </c>
      <c r="E49" s="1044"/>
      <c r="F49" s="1044"/>
      <c r="G49" s="1044"/>
      <c r="H49" s="1044"/>
      <c r="I49" s="1044"/>
      <c r="J49" s="1044"/>
      <c r="K49" s="1044"/>
      <c r="L49" s="1045"/>
    </row>
    <row r="50" spans="2:12" ht="9.75" customHeight="1" x14ac:dyDescent="0.25">
      <c r="B50" s="628">
        <v>4</v>
      </c>
      <c r="C50" s="624"/>
      <c r="D50" s="1044" t="s">
        <v>1433</v>
      </c>
      <c r="E50" s="1044"/>
      <c r="F50" s="1044"/>
      <c r="G50" s="1044"/>
      <c r="H50" s="1044"/>
      <c r="I50" s="1044"/>
      <c r="J50" s="1044"/>
      <c r="K50" s="1044"/>
      <c r="L50" s="1045"/>
    </row>
    <row r="51" spans="2:12" hidden="1" x14ac:dyDescent="0.25">
      <c r="B51" s="628">
        <v>5</v>
      </c>
      <c r="C51" s="150"/>
      <c r="D51" s="1044" t="s">
        <v>1439</v>
      </c>
      <c r="E51" s="1044"/>
      <c r="F51" s="1044"/>
      <c r="G51" s="1044"/>
      <c r="H51" s="1044"/>
      <c r="I51" s="1044"/>
      <c r="J51" s="1044"/>
      <c r="K51" s="1044"/>
      <c r="L51" s="1045"/>
    </row>
    <row r="52" spans="2:12" hidden="1" x14ac:dyDescent="0.25">
      <c r="B52" s="628">
        <v>6</v>
      </c>
      <c r="C52" s="624"/>
      <c r="D52" s="1044" t="s">
        <v>1442</v>
      </c>
      <c r="E52" s="1044"/>
      <c r="F52" s="1044"/>
      <c r="G52" s="1044"/>
      <c r="H52" s="1044"/>
      <c r="I52" s="1044"/>
      <c r="J52" s="1044"/>
      <c r="K52" s="1044"/>
      <c r="L52" s="1045"/>
    </row>
    <row r="53" spans="2:12" hidden="1" x14ac:dyDescent="0.25">
      <c r="B53" s="628">
        <v>7</v>
      </c>
      <c r="C53" s="624"/>
      <c r="D53" s="1044" t="s">
        <v>1443</v>
      </c>
      <c r="E53" s="1044"/>
      <c r="F53" s="1044"/>
      <c r="G53" s="1044"/>
      <c r="H53" s="1044"/>
      <c r="I53" s="1044"/>
      <c r="J53" s="1044"/>
      <c r="K53" s="1044"/>
      <c r="L53" s="1045"/>
    </row>
    <row r="54" spans="2:12" x14ac:dyDescent="0.25">
      <c r="B54" s="628">
        <v>8</v>
      </c>
      <c r="C54" s="624"/>
      <c r="D54" s="1044" t="s">
        <v>1434</v>
      </c>
      <c r="E54" s="1044"/>
      <c r="F54" s="1044"/>
      <c r="G54" s="1044"/>
      <c r="H54" s="1044"/>
      <c r="I54" s="1044"/>
      <c r="J54" s="1044"/>
      <c r="K54" s="1044"/>
      <c r="L54" s="1045"/>
    </row>
    <row r="55" spans="2:12" x14ac:dyDescent="0.25">
      <c r="B55" s="628" t="s">
        <v>1435</v>
      </c>
      <c r="C55" s="624" t="s">
        <v>1437</v>
      </c>
      <c r="D55" s="1044" t="s">
        <v>1436</v>
      </c>
      <c r="E55" s="1044"/>
      <c r="F55" s="1044"/>
      <c r="G55" s="1044"/>
      <c r="H55" s="1044"/>
      <c r="I55" s="1044"/>
      <c r="J55" s="1044"/>
      <c r="K55" s="1044"/>
      <c r="L55" s="1045"/>
    </row>
    <row r="56" spans="2:12" ht="15" customHeight="1" x14ac:dyDescent="0.25">
      <c r="B56" s="628">
        <v>9</v>
      </c>
      <c r="C56" s="242"/>
      <c r="D56" s="1044" t="s">
        <v>1440</v>
      </c>
      <c r="E56" s="1044"/>
      <c r="F56" s="1044"/>
      <c r="G56" s="1044"/>
      <c r="H56" s="1044"/>
      <c r="I56" s="1044"/>
      <c r="J56" s="1044"/>
      <c r="K56" s="1044"/>
      <c r="L56" s="1045"/>
    </row>
    <row r="57" spans="2:12" x14ac:dyDescent="0.25">
      <c r="B57" s="1067"/>
      <c r="C57" s="1068"/>
      <c r="D57" s="1068"/>
      <c r="E57" s="1068"/>
      <c r="F57" s="1068"/>
      <c r="G57" s="1068"/>
      <c r="H57" s="1068"/>
      <c r="I57" s="1068"/>
      <c r="J57" s="1068"/>
      <c r="K57" s="1068"/>
      <c r="L57" s="1069"/>
    </row>
    <row r="58" spans="2:12" ht="15.75" thickBot="1" x14ac:dyDescent="0.3">
      <c r="B58" s="1046"/>
      <c r="C58" s="1047"/>
      <c r="D58" s="1047"/>
      <c r="E58" s="1047"/>
      <c r="F58" s="1047"/>
      <c r="G58" s="1047"/>
      <c r="H58" s="1047"/>
      <c r="I58" s="1047"/>
      <c r="J58" s="1047"/>
      <c r="K58" s="1047"/>
      <c r="L58" s="1048"/>
    </row>
    <row r="59" spans="2:12" ht="15.75" thickBot="1" x14ac:dyDescent="0.3">
      <c r="B59" s="1054" t="s">
        <v>1009</v>
      </c>
      <c r="C59" s="1055"/>
      <c r="D59" s="1056"/>
      <c r="E59" s="1020"/>
      <c r="F59" s="1021"/>
      <c r="G59" s="1021"/>
      <c r="H59" s="1021"/>
      <c r="I59" s="1021"/>
      <c r="J59" s="1022"/>
      <c r="K59" s="378" t="s">
        <v>1008</v>
      </c>
      <c r="L59" s="631" t="s">
        <v>1415</v>
      </c>
    </row>
    <row r="60" spans="2:12" x14ac:dyDescent="0.25">
      <c r="B60" s="1064"/>
      <c r="C60" s="1065"/>
      <c r="D60" s="1065"/>
      <c r="E60" s="1065"/>
      <c r="F60" s="1065"/>
      <c r="G60" s="1065"/>
      <c r="H60" s="1065"/>
      <c r="I60" s="1065"/>
      <c r="J60" s="1065"/>
      <c r="K60" s="1065"/>
      <c r="L60" s="1066"/>
    </row>
    <row r="61" spans="2:12" ht="15.75" customHeight="1" x14ac:dyDescent="0.25">
      <c r="B61" s="620" t="s">
        <v>1</v>
      </c>
      <c r="C61" s="1059" t="s">
        <v>1444</v>
      </c>
      <c r="D61" s="1059"/>
      <c r="E61" s="1059"/>
      <c r="F61" s="1059"/>
      <c r="G61" s="1059"/>
      <c r="H61" s="1059"/>
      <c r="I61" s="1059"/>
      <c r="J61" s="1059"/>
      <c r="K61" s="1059"/>
      <c r="L61" s="1060"/>
    </row>
    <row r="62" spans="2:12" ht="45" customHeight="1" x14ac:dyDescent="0.25">
      <c r="B62" s="615"/>
      <c r="C62" s="624">
        <v>1</v>
      </c>
      <c r="D62" s="1044" t="s">
        <v>1445</v>
      </c>
      <c r="E62" s="1044"/>
      <c r="F62" s="1044"/>
      <c r="G62" s="1044"/>
      <c r="H62" s="1044"/>
      <c r="I62" s="1044"/>
      <c r="J62" s="1044"/>
      <c r="K62" s="1044"/>
      <c r="L62" s="1045"/>
    </row>
    <row r="63" spans="2:12" s="46" customFormat="1" ht="30" customHeight="1" x14ac:dyDescent="0.25">
      <c r="B63" s="615"/>
      <c r="C63" s="150"/>
      <c r="D63" s="142" t="s">
        <v>1437</v>
      </c>
      <c r="E63" s="1044" t="s">
        <v>1446</v>
      </c>
      <c r="F63" s="1044"/>
      <c r="G63" s="1044"/>
      <c r="H63" s="1044"/>
      <c r="I63" s="1044"/>
      <c r="J63" s="1044"/>
      <c r="K63" s="1044"/>
      <c r="L63" s="1045"/>
    </row>
    <row r="64" spans="2:12" s="46" customFormat="1" ht="30" customHeight="1" x14ac:dyDescent="0.25">
      <c r="B64" s="615"/>
      <c r="C64" s="150"/>
      <c r="D64" s="625" t="s">
        <v>1466</v>
      </c>
      <c r="E64" s="1044" t="s">
        <v>1447</v>
      </c>
      <c r="F64" s="1044"/>
      <c r="G64" s="1044"/>
      <c r="H64" s="1044"/>
      <c r="I64" s="1044"/>
      <c r="J64" s="1044"/>
      <c r="K64" s="1044"/>
      <c r="L64" s="1045"/>
    </row>
    <row r="65" spans="2:12" s="46" customFormat="1" x14ac:dyDescent="0.25">
      <c r="B65" s="615"/>
      <c r="C65" s="150"/>
      <c r="D65" s="625" t="s">
        <v>1464</v>
      </c>
      <c r="E65" s="1044" t="s">
        <v>1448</v>
      </c>
      <c r="F65" s="1044"/>
      <c r="G65" s="1044"/>
      <c r="H65" s="1044"/>
      <c r="I65" s="1044"/>
      <c r="J65" s="1044"/>
      <c r="K65" s="1044"/>
      <c r="L65" s="1045"/>
    </row>
    <row r="66" spans="2:12" s="46" customFormat="1" x14ac:dyDescent="0.25">
      <c r="B66" s="615"/>
      <c r="C66" s="624">
        <v>2</v>
      </c>
      <c r="D66" s="1044" t="s">
        <v>1449</v>
      </c>
      <c r="E66" s="1044"/>
      <c r="F66" s="1044"/>
      <c r="G66" s="1044"/>
      <c r="H66" s="1044"/>
      <c r="I66" s="1044"/>
      <c r="J66" s="1044"/>
      <c r="K66" s="1044"/>
      <c r="L66" s="1045"/>
    </row>
    <row r="67" spans="2:12" s="46" customFormat="1" x14ac:dyDescent="0.25">
      <c r="B67" s="615"/>
      <c r="C67" s="150">
        <v>3</v>
      </c>
      <c r="D67" s="1044" t="s">
        <v>1450</v>
      </c>
      <c r="E67" s="1044"/>
      <c r="F67" s="1044"/>
      <c r="G67" s="1044"/>
      <c r="H67" s="1044"/>
      <c r="I67" s="1044"/>
      <c r="J67" s="1044"/>
      <c r="K67" s="1044"/>
      <c r="L67" s="1045"/>
    </row>
    <row r="68" spans="2:12" s="46" customFormat="1" ht="30" customHeight="1" x14ac:dyDescent="0.25">
      <c r="B68" s="615"/>
      <c r="C68" s="150"/>
      <c r="D68" s="625" t="s">
        <v>1437</v>
      </c>
      <c r="E68" s="1044" t="s">
        <v>1451</v>
      </c>
      <c r="F68" s="1044"/>
      <c r="G68" s="1044"/>
      <c r="H68" s="1044"/>
      <c r="I68" s="1044"/>
      <c r="J68" s="1044"/>
      <c r="K68" s="1044"/>
      <c r="L68" s="1045"/>
    </row>
    <row r="69" spans="2:12" s="46" customFormat="1" ht="30" customHeight="1" x14ac:dyDescent="0.25">
      <c r="B69" s="615"/>
      <c r="C69" s="150"/>
      <c r="D69" s="625" t="s">
        <v>1466</v>
      </c>
      <c r="E69" s="1044" t="s">
        <v>1452</v>
      </c>
      <c r="F69" s="1044"/>
      <c r="G69" s="1044"/>
      <c r="H69" s="1044"/>
      <c r="I69" s="1044"/>
      <c r="J69" s="1044"/>
      <c r="K69" s="1044"/>
      <c r="L69" s="1045"/>
    </row>
    <row r="70" spans="2:12" s="46" customFormat="1" x14ac:dyDescent="0.25">
      <c r="B70" s="615"/>
      <c r="C70" s="150"/>
      <c r="D70" s="142" t="s">
        <v>1464</v>
      </c>
      <c r="E70" s="1044" t="s">
        <v>1453</v>
      </c>
      <c r="F70" s="1044"/>
      <c r="G70" s="1044"/>
      <c r="H70" s="1044"/>
      <c r="I70" s="1044"/>
      <c r="J70" s="1044"/>
      <c r="K70" s="1044"/>
      <c r="L70" s="1045"/>
    </row>
    <row r="71" spans="2:12" s="46" customFormat="1" x14ac:dyDescent="0.25">
      <c r="B71" s="615"/>
      <c r="C71" s="150"/>
      <c r="D71" s="142" t="s">
        <v>1465</v>
      </c>
      <c r="E71" s="1044" t="s">
        <v>1454</v>
      </c>
      <c r="F71" s="1044"/>
      <c r="G71" s="1044"/>
      <c r="H71" s="1044"/>
      <c r="I71" s="1044"/>
      <c r="J71" s="1044"/>
      <c r="K71" s="1044"/>
      <c r="L71" s="1045"/>
    </row>
    <row r="72" spans="2:12" s="46" customFormat="1" x14ac:dyDescent="0.25">
      <c r="B72" s="615"/>
      <c r="C72" s="624">
        <v>4</v>
      </c>
      <c r="D72" s="1044" t="s">
        <v>1455</v>
      </c>
      <c r="E72" s="1044"/>
      <c r="F72" s="1044"/>
      <c r="G72" s="1044"/>
      <c r="H72" s="1044"/>
      <c r="I72" s="1044"/>
      <c r="J72" s="1044"/>
      <c r="K72" s="1044"/>
      <c r="L72" s="1045"/>
    </row>
    <row r="73" spans="2:12" s="46" customFormat="1" ht="45" customHeight="1" x14ac:dyDescent="0.25">
      <c r="B73" s="615"/>
      <c r="C73" s="150"/>
      <c r="D73" s="142" t="s">
        <v>1437</v>
      </c>
      <c r="E73" s="1044" t="s">
        <v>1456</v>
      </c>
      <c r="F73" s="1044"/>
      <c r="G73" s="1044"/>
      <c r="H73" s="1044"/>
      <c r="I73" s="1044"/>
      <c r="J73" s="1044"/>
      <c r="K73" s="1044"/>
      <c r="L73" s="1045"/>
    </row>
    <row r="74" spans="2:12" s="46" customFormat="1" ht="14.25" x14ac:dyDescent="0.25">
      <c r="B74" s="1063"/>
      <c r="C74" s="1059"/>
      <c r="D74" s="1059"/>
      <c r="E74" s="1059"/>
      <c r="F74" s="1059"/>
      <c r="G74" s="1059"/>
      <c r="H74" s="1059"/>
      <c r="I74" s="1059"/>
      <c r="J74" s="1059"/>
      <c r="K74" s="1059"/>
      <c r="L74" s="1060"/>
    </row>
    <row r="75" spans="2:12" s="46" customFormat="1" ht="14.25" x14ac:dyDescent="0.25">
      <c r="B75" s="620" t="s">
        <v>2</v>
      </c>
      <c r="C75" s="1059" t="s">
        <v>1467</v>
      </c>
      <c r="D75" s="1059"/>
      <c r="E75" s="1059"/>
      <c r="F75" s="1059"/>
      <c r="G75" s="1059"/>
      <c r="H75" s="1059"/>
      <c r="I75" s="1059"/>
      <c r="J75" s="1059"/>
      <c r="K75" s="1059"/>
      <c r="L75" s="1060"/>
    </row>
    <row r="76" spans="2:12" s="46" customFormat="1" x14ac:dyDescent="0.25">
      <c r="B76" s="615"/>
      <c r="C76" s="150">
        <v>1</v>
      </c>
      <c r="D76" s="1052" t="s">
        <v>1495</v>
      </c>
      <c r="E76" s="1052"/>
      <c r="F76" s="1052"/>
      <c r="G76" s="1052"/>
      <c r="H76" s="1052"/>
      <c r="I76" s="1052"/>
      <c r="J76" s="1052"/>
      <c r="K76" s="1052"/>
      <c r="L76" s="1053"/>
    </row>
    <row r="77" spans="2:12" s="46" customFormat="1" ht="30" customHeight="1" x14ac:dyDescent="0.25">
      <c r="B77" s="615"/>
      <c r="C77" s="150">
        <v>2</v>
      </c>
      <c r="D77" s="1052" t="s">
        <v>1468</v>
      </c>
      <c r="E77" s="1052"/>
      <c r="F77" s="1052"/>
      <c r="G77" s="1052"/>
      <c r="H77" s="1052"/>
      <c r="I77" s="1052"/>
      <c r="J77" s="1052"/>
      <c r="K77" s="1052"/>
      <c r="L77" s="1053"/>
    </row>
    <row r="78" spans="2:12" s="46" customFormat="1" x14ac:dyDescent="0.25">
      <c r="B78" s="615"/>
      <c r="C78" s="150">
        <v>3</v>
      </c>
      <c r="D78" s="1052" t="s">
        <v>1469</v>
      </c>
      <c r="E78" s="1052"/>
      <c r="F78" s="1052"/>
      <c r="G78" s="1052"/>
      <c r="H78" s="1052"/>
      <c r="I78" s="1052"/>
      <c r="J78" s="1052"/>
      <c r="K78" s="1052"/>
      <c r="L78" s="1053"/>
    </row>
    <row r="79" spans="2:12" s="46" customFormat="1" x14ac:dyDescent="0.25">
      <c r="B79" s="615"/>
      <c r="C79" s="150">
        <v>4</v>
      </c>
      <c r="D79" s="1052" t="s">
        <v>1470</v>
      </c>
      <c r="E79" s="1052"/>
      <c r="F79" s="1052"/>
      <c r="G79" s="1052"/>
      <c r="H79" s="1052"/>
      <c r="I79" s="1052"/>
      <c r="J79" s="1052"/>
      <c r="K79" s="1052"/>
      <c r="L79" s="1053"/>
    </row>
    <row r="80" spans="2:12" s="46" customFormat="1" ht="30" customHeight="1" x14ac:dyDescent="0.25">
      <c r="B80" s="615"/>
      <c r="C80" s="1061"/>
      <c r="D80" s="1061"/>
      <c r="E80" s="1061"/>
      <c r="F80" s="1061"/>
      <c r="G80" s="1061"/>
      <c r="H80" s="1061"/>
      <c r="I80" s="1061"/>
      <c r="J80" s="1061"/>
      <c r="K80" s="1061"/>
      <c r="L80" s="1062"/>
    </row>
    <row r="81" spans="2:23" s="46" customFormat="1" ht="45" customHeight="1" x14ac:dyDescent="0.25">
      <c r="B81" s="620" t="s">
        <v>3</v>
      </c>
      <c r="C81" s="1059" t="s">
        <v>1471</v>
      </c>
      <c r="D81" s="1059"/>
      <c r="E81" s="1059"/>
      <c r="F81" s="1059"/>
      <c r="G81" s="1059"/>
      <c r="H81" s="1059"/>
      <c r="I81" s="1059"/>
      <c r="J81" s="1059"/>
      <c r="K81" s="1059"/>
      <c r="L81" s="1060"/>
    </row>
    <row r="82" spans="2:23" s="46" customFormat="1" x14ac:dyDescent="0.25">
      <c r="B82" s="615"/>
      <c r="C82" s="150">
        <v>1</v>
      </c>
      <c r="D82" s="1044" t="s">
        <v>1472</v>
      </c>
      <c r="E82" s="1044"/>
      <c r="F82" s="1044"/>
      <c r="G82" s="1044"/>
      <c r="H82" s="1044"/>
      <c r="I82" s="1044"/>
      <c r="J82" s="1044"/>
      <c r="K82" s="1044"/>
      <c r="L82" s="1045"/>
    </row>
    <row r="83" spans="2:23" s="46" customFormat="1" x14ac:dyDescent="0.25">
      <c r="B83" s="615"/>
      <c r="C83" s="624">
        <v>2</v>
      </c>
      <c r="D83" s="1044" t="s">
        <v>1473</v>
      </c>
      <c r="E83" s="1044"/>
      <c r="F83" s="1044"/>
      <c r="G83" s="1044"/>
      <c r="H83" s="1044"/>
      <c r="I83" s="1044"/>
      <c r="J83" s="1044"/>
      <c r="K83" s="1044"/>
      <c r="L83" s="1045"/>
      <c r="M83" s="609"/>
      <c r="N83" s="609"/>
      <c r="O83" s="609"/>
      <c r="P83" s="609"/>
      <c r="Q83" s="609"/>
      <c r="R83" s="609"/>
      <c r="S83" s="609"/>
      <c r="T83" s="609"/>
      <c r="U83" s="609"/>
      <c r="V83" s="609"/>
      <c r="W83" s="609"/>
    </row>
    <row r="84" spans="2:23" s="46" customFormat="1" x14ac:dyDescent="0.25">
      <c r="B84" s="615"/>
      <c r="C84" s="624">
        <v>3</v>
      </c>
      <c r="D84" s="1044" t="s">
        <v>1474</v>
      </c>
      <c r="E84" s="1044"/>
      <c r="F84" s="1044"/>
      <c r="G84" s="1044"/>
      <c r="H84" s="1044"/>
      <c r="I84" s="1044"/>
      <c r="J84" s="1044"/>
      <c r="K84" s="1044"/>
      <c r="L84" s="1045"/>
    </row>
    <row r="85" spans="2:23" s="46" customFormat="1" ht="30" customHeight="1" x14ac:dyDescent="0.25">
      <c r="B85" s="615"/>
      <c r="C85" s="150">
        <v>4</v>
      </c>
      <c r="D85" s="1044" t="s">
        <v>1475</v>
      </c>
      <c r="E85" s="1044"/>
      <c r="F85" s="1044"/>
      <c r="G85" s="1044"/>
      <c r="H85" s="1044"/>
      <c r="I85" s="1044"/>
      <c r="J85" s="1044"/>
      <c r="K85" s="1044"/>
      <c r="L85" s="1045"/>
    </row>
    <row r="86" spans="2:23" s="46" customFormat="1" ht="35.1" customHeight="1" x14ac:dyDescent="0.25">
      <c r="B86" s="615"/>
      <c r="C86" s="616"/>
      <c r="D86" s="616"/>
      <c r="E86" s="616"/>
      <c r="F86" s="616"/>
      <c r="G86" s="616"/>
      <c r="H86" s="616"/>
      <c r="I86" s="616"/>
      <c r="J86" s="616"/>
      <c r="K86" s="616"/>
      <c r="L86" s="617"/>
    </row>
    <row r="87" spans="2:23" s="46" customFormat="1" ht="30" customHeight="1" x14ac:dyDescent="0.25">
      <c r="B87" s="620" t="s">
        <v>67</v>
      </c>
      <c r="C87" s="1059" t="s">
        <v>1476</v>
      </c>
      <c r="D87" s="1059"/>
      <c r="E87" s="1059"/>
      <c r="F87" s="1059"/>
      <c r="G87" s="1059"/>
      <c r="H87" s="1059"/>
      <c r="I87" s="1059"/>
      <c r="J87" s="1059"/>
      <c r="K87" s="1059"/>
      <c r="L87" s="1060"/>
    </row>
    <row r="88" spans="2:23" s="46" customFormat="1" ht="15" customHeight="1" x14ac:dyDescent="0.25">
      <c r="B88" s="615"/>
      <c r="C88" s="624">
        <v>1</v>
      </c>
      <c r="D88" s="1044" t="s">
        <v>1477</v>
      </c>
      <c r="E88" s="1044"/>
      <c r="F88" s="1044"/>
      <c r="G88" s="1044"/>
      <c r="H88" s="1044"/>
      <c r="I88" s="1044"/>
      <c r="J88" s="1044"/>
      <c r="K88" s="1044"/>
      <c r="L88" s="1045"/>
    </row>
    <row r="89" spans="2:23" s="46" customFormat="1" ht="15" customHeight="1" x14ac:dyDescent="0.25">
      <c r="B89" s="615"/>
      <c r="C89" s="624">
        <v>2</v>
      </c>
      <c r="D89" s="1044" t="s">
        <v>1422</v>
      </c>
      <c r="E89" s="1044"/>
      <c r="F89" s="1044"/>
      <c r="G89" s="1044"/>
      <c r="H89" s="1044"/>
      <c r="I89" s="1044"/>
      <c r="J89" s="1044"/>
      <c r="K89" s="1044"/>
      <c r="L89" s="1045"/>
    </row>
    <row r="90" spans="2:23" s="46" customFormat="1" ht="15" customHeight="1" x14ac:dyDescent="0.25">
      <c r="B90" s="615"/>
      <c r="C90" s="150">
        <v>3</v>
      </c>
      <c r="D90" s="1044" t="s">
        <v>1478</v>
      </c>
      <c r="E90" s="1044"/>
      <c r="F90" s="1044"/>
      <c r="G90" s="1044"/>
      <c r="H90" s="1044"/>
      <c r="I90" s="1044"/>
      <c r="J90" s="1044"/>
      <c r="K90" s="1044"/>
      <c r="L90" s="1045"/>
    </row>
    <row r="91" spans="2:23" s="46" customFormat="1" ht="30" customHeight="1" x14ac:dyDescent="0.25">
      <c r="B91" s="615"/>
      <c r="C91" s="150"/>
      <c r="D91" s="622"/>
      <c r="E91" s="622"/>
      <c r="F91" s="622"/>
      <c r="G91" s="622"/>
      <c r="H91" s="622"/>
      <c r="I91" s="622"/>
      <c r="J91" s="622"/>
      <c r="K91" s="622"/>
      <c r="L91" s="623"/>
    </row>
    <row r="92" spans="2:23" s="46" customFormat="1" ht="14.25" x14ac:dyDescent="0.25">
      <c r="B92" s="620" t="s">
        <v>1479</v>
      </c>
      <c r="C92" s="1059" t="s">
        <v>1480</v>
      </c>
      <c r="D92" s="1059"/>
      <c r="E92" s="1059"/>
      <c r="F92" s="1059"/>
      <c r="G92" s="1059"/>
      <c r="H92" s="1059"/>
      <c r="I92" s="1059"/>
      <c r="J92" s="1059"/>
      <c r="K92" s="1059"/>
      <c r="L92" s="1060"/>
    </row>
    <row r="93" spans="2:23" s="46" customFormat="1" x14ac:dyDescent="0.25">
      <c r="B93" s="615"/>
      <c r="C93" s="150">
        <v>1</v>
      </c>
      <c r="D93" s="1044" t="s">
        <v>1423</v>
      </c>
      <c r="E93" s="1044"/>
      <c r="F93" s="1044"/>
      <c r="G93" s="1044"/>
      <c r="H93" s="1044"/>
      <c r="I93" s="1044"/>
      <c r="J93" s="1044"/>
      <c r="K93" s="1044"/>
      <c r="L93" s="1045"/>
    </row>
    <row r="94" spans="2:23" s="46" customFormat="1" x14ac:dyDescent="0.25">
      <c r="B94" s="615"/>
      <c r="C94" s="624">
        <v>2</v>
      </c>
      <c r="D94" s="1044" t="s">
        <v>1424</v>
      </c>
      <c r="E94" s="1044"/>
      <c r="F94" s="1044"/>
      <c r="G94" s="1044"/>
      <c r="H94" s="1044"/>
      <c r="I94" s="1044"/>
      <c r="J94" s="1044"/>
      <c r="K94" s="1044"/>
      <c r="L94" s="1045"/>
    </row>
    <row r="95" spans="2:23" s="46" customFormat="1" x14ac:dyDescent="0.25">
      <c r="B95" s="615"/>
      <c r="C95" s="624">
        <v>3</v>
      </c>
      <c r="D95" s="1044" t="s">
        <v>1485</v>
      </c>
      <c r="E95" s="1044"/>
      <c r="F95" s="1044"/>
      <c r="G95" s="1044"/>
      <c r="H95" s="1044"/>
      <c r="I95" s="1044"/>
      <c r="J95" s="1044"/>
      <c r="K95" s="1044"/>
      <c r="L95" s="1045"/>
    </row>
    <row r="96" spans="2:23" s="46" customFormat="1" x14ac:dyDescent="0.25">
      <c r="B96" s="615"/>
      <c r="C96" s="150">
        <v>4</v>
      </c>
      <c r="D96" s="1044" t="s">
        <v>1486</v>
      </c>
      <c r="E96" s="1044"/>
      <c r="F96" s="1044"/>
      <c r="G96" s="1044"/>
      <c r="H96" s="1044"/>
      <c r="I96" s="1044"/>
      <c r="J96" s="1044"/>
      <c r="K96" s="1044"/>
      <c r="L96" s="1045"/>
    </row>
    <row r="97" spans="2:12" s="46" customFormat="1" ht="30" customHeight="1" x14ac:dyDescent="0.25">
      <c r="B97" s="615"/>
      <c r="C97" s="616"/>
      <c r="D97" s="616"/>
      <c r="E97" s="616"/>
      <c r="F97" s="616"/>
      <c r="G97" s="616"/>
      <c r="H97" s="616"/>
      <c r="I97" s="616"/>
      <c r="J97" s="616"/>
      <c r="K97" s="616"/>
      <c r="L97" s="617"/>
    </row>
    <row r="98" spans="2:12" s="46" customFormat="1" ht="30" customHeight="1" x14ac:dyDescent="0.25">
      <c r="B98" s="620" t="s">
        <v>1481</v>
      </c>
      <c r="C98" s="1059" t="s">
        <v>1482</v>
      </c>
      <c r="D98" s="1059"/>
      <c r="E98" s="1059"/>
      <c r="F98" s="1059"/>
      <c r="G98" s="1059"/>
      <c r="H98" s="1059"/>
      <c r="I98" s="1059"/>
      <c r="J98" s="1059"/>
      <c r="K98" s="1059"/>
      <c r="L98" s="1060"/>
    </row>
    <row r="99" spans="2:12" s="46" customFormat="1" ht="45" customHeight="1" x14ac:dyDescent="0.25">
      <c r="B99" s="615"/>
      <c r="C99" s="624">
        <v>1</v>
      </c>
      <c r="D99" s="1044" t="s">
        <v>1483</v>
      </c>
      <c r="E99" s="1044"/>
      <c r="F99" s="1044"/>
      <c r="G99" s="1044"/>
      <c r="H99" s="1044"/>
      <c r="I99" s="1044"/>
      <c r="J99" s="1044"/>
      <c r="K99" s="1044"/>
      <c r="L99" s="1045"/>
    </row>
    <row r="100" spans="2:12" s="46" customFormat="1" ht="54" customHeight="1" x14ac:dyDescent="0.25">
      <c r="B100" s="615"/>
      <c r="C100" s="150">
        <v>2</v>
      </c>
      <c r="D100" s="1044" t="s">
        <v>1484</v>
      </c>
      <c r="E100" s="1044"/>
      <c r="F100" s="1044"/>
      <c r="G100" s="1044"/>
      <c r="H100" s="1044"/>
      <c r="I100" s="1044"/>
      <c r="J100" s="1044"/>
      <c r="K100" s="1044"/>
      <c r="L100" s="1045"/>
    </row>
    <row r="101" spans="2:12" s="46" customFormat="1" x14ac:dyDescent="0.25">
      <c r="B101" s="615"/>
      <c r="C101" s="616"/>
      <c r="D101" s="142" t="s">
        <v>1437</v>
      </c>
      <c r="E101" s="1052" t="s">
        <v>1425</v>
      </c>
      <c r="F101" s="1052"/>
      <c r="G101" s="1052"/>
      <c r="H101" s="1052"/>
      <c r="I101" s="1052"/>
      <c r="J101" s="1052"/>
      <c r="K101" s="1052"/>
      <c r="L101" s="1053"/>
    </row>
    <row r="102" spans="2:12" s="636" customFormat="1" x14ac:dyDescent="0.25">
      <c r="B102" s="615"/>
      <c r="C102" s="150">
        <v>3</v>
      </c>
      <c r="D102" s="1052" t="s">
        <v>1487</v>
      </c>
      <c r="E102" s="1052"/>
      <c r="F102" s="1052"/>
      <c r="G102" s="1052"/>
      <c r="H102" s="1052"/>
      <c r="I102" s="1052"/>
      <c r="J102" s="1052"/>
      <c r="K102" s="1052"/>
      <c r="L102" s="1053"/>
    </row>
    <row r="103" spans="2:12" s="46" customFormat="1" ht="30" customHeight="1" thickBot="1" x14ac:dyDescent="0.3">
      <c r="B103" s="607"/>
      <c r="C103" s="608"/>
      <c r="D103" s="608"/>
      <c r="E103" s="608"/>
      <c r="F103" s="608"/>
      <c r="G103" s="608"/>
      <c r="H103" s="608"/>
      <c r="I103" s="608"/>
      <c r="J103" s="608"/>
      <c r="K103" s="608"/>
      <c r="L103" s="377"/>
    </row>
    <row r="104" spans="2:12" s="46" customFormat="1" ht="30" customHeight="1" thickBot="1" x14ac:dyDescent="0.3">
      <c r="B104" s="1054" t="s">
        <v>1010</v>
      </c>
      <c r="C104" s="1055"/>
      <c r="D104" s="1056"/>
      <c r="E104" s="1020"/>
      <c r="F104" s="1021"/>
      <c r="G104" s="1021"/>
      <c r="H104" s="1021"/>
      <c r="I104" s="1021"/>
      <c r="J104" s="1022"/>
      <c r="K104" s="378" t="s">
        <v>1008</v>
      </c>
      <c r="L104" s="631" t="s">
        <v>1416</v>
      </c>
    </row>
    <row r="105" spans="2:12" ht="30" customHeight="1" x14ac:dyDescent="0.25">
      <c r="B105" s="615">
        <v>1</v>
      </c>
      <c r="C105" s="616"/>
      <c r="D105" s="1057" t="s">
        <v>1489</v>
      </c>
      <c r="E105" s="1057"/>
      <c r="F105" s="1057"/>
      <c r="G105" s="1057"/>
      <c r="H105" s="1057"/>
      <c r="I105" s="1057"/>
      <c r="J105" s="1057"/>
      <c r="K105" s="1057"/>
      <c r="L105" s="1058"/>
    </row>
    <row r="106" spans="2:12" ht="15" customHeight="1" x14ac:dyDescent="0.25">
      <c r="B106" s="615">
        <v>2</v>
      </c>
      <c r="C106" s="616"/>
      <c r="D106" s="1044" t="s">
        <v>1030</v>
      </c>
      <c r="E106" s="1044"/>
      <c r="F106" s="1044"/>
      <c r="G106" s="1044"/>
      <c r="H106" s="1044"/>
      <c r="I106" s="1044"/>
      <c r="J106" s="1044"/>
      <c r="K106" s="1044"/>
      <c r="L106" s="1045"/>
    </row>
    <row r="107" spans="2:12" x14ac:dyDescent="0.25">
      <c r="B107" s="633">
        <v>3</v>
      </c>
      <c r="C107" s="616"/>
      <c r="D107" s="1044" t="s">
        <v>1490</v>
      </c>
      <c r="E107" s="1044"/>
      <c r="F107" s="1044"/>
      <c r="G107" s="1044"/>
      <c r="H107" s="1044"/>
      <c r="I107" s="1044"/>
      <c r="J107" s="1044"/>
      <c r="K107" s="1044"/>
      <c r="L107" s="1045"/>
    </row>
    <row r="108" spans="2:12" x14ac:dyDescent="0.25">
      <c r="B108" s="633">
        <v>4</v>
      </c>
      <c r="C108" s="616"/>
      <c r="D108" s="1044" t="s">
        <v>1491</v>
      </c>
      <c r="E108" s="1044"/>
      <c r="F108" s="1044"/>
      <c r="G108" s="1044"/>
      <c r="H108" s="1044"/>
      <c r="I108" s="1044"/>
      <c r="J108" s="1044"/>
      <c r="K108" s="1044"/>
      <c r="L108" s="1045"/>
    </row>
    <row r="109" spans="2:12" x14ac:dyDescent="0.25">
      <c r="B109" s="615">
        <v>5</v>
      </c>
      <c r="C109" s="616"/>
      <c r="D109" s="1044" t="s">
        <v>1492</v>
      </c>
      <c r="E109" s="1044"/>
      <c r="F109" s="1044"/>
      <c r="G109" s="1044"/>
      <c r="H109" s="1044"/>
      <c r="I109" s="1044"/>
      <c r="J109" s="1044"/>
      <c r="K109" s="1044"/>
      <c r="L109" s="1045"/>
    </row>
    <row r="110" spans="2:12" x14ac:dyDescent="0.25">
      <c r="B110" s="615">
        <v>6</v>
      </c>
      <c r="C110" s="616"/>
      <c r="D110" s="1044" t="s">
        <v>1493</v>
      </c>
      <c r="E110" s="1044"/>
      <c r="F110" s="1044"/>
      <c r="G110" s="1044"/>
      <c r="H110" s="1044"/>
      <c r="I110" s="1044"/>
      <c r="J110" s="1044"/>
      <c r="K110" s="1044"/>
      <c r="L110" s="1045"/>
    </row>
    <row r="111" spans="2:12" ht="30" customHeight="1" x14ac:dyDescent="0.25">
      <c r="B111" s="615">
        <v>7</v>
      </c>
      <c r="C111" s="616"/>
      <c r="D111" s="1044" t="s">
        <v>1494</v>
      </c>
      <c r="E111" s="1044"/>
      <c r="F111" s="1044"/>
      <c r="G111" s="1044"/>
      <c r="H111" s="1044"/>
      <c r="I111" s="1044"/>
      <c r="J111" s="1044"/>
      <c r="K111" s="1044"/>
      <c r="L111" s="1045"/>
    </row>
    <row r="112" spans="2:12" ht="30" customHeight="1" x14ac:dyDescent="0.25">
      <c r="B112" s="633">
        <v>8</v>
      </c>
      <c r="C112" s="616"/>
      <c r="D112" s="1044" t="s">
        <v>1488</v>
      </c>
      <c r="E112" s="1044"/>
      <c r="F112" s="1044"/>
      <c r="G112" s="1044"/>
      <c r="H112" s="1044"/>
      <c r="I112" s="1044"/>
      <c r="J112" s="1044"/>
      <c r="K112" s="1044"/>
      <c r="L112" s="1045"/>
    </row>
    <row r="113" spans="2:12" ht="15.75" thickBot="1" x14ac:dyDescent="0.3">
      <c r="B113" s="1046"/>
      <c r="C113" s="1047"/>
      <c r="D113" s="1047"/>
      <c r="E113" s="1047"/>
      <c r="F113" s="1047"/>
      <c r="G113" s="1047"/>
      <c r="H113" s="1047"/>
      <c r="I113" s="1047"/>
      <c r="J113" s="1047"/>
      <c r="K113" s="1047"/>
      <c r="L113" s="1048"/>
    </row>
    <row r="114" spans="2:12" ht="15.75" thickBot="1" x14ac:dyDescent="0.3">
      <c r="B114" s="1049" t="s">
        <v>1011</v>
      </c>
      <c r="C114" s="1050"/>
      <c r="D114" s="1050"/>
      <c r="E114" s="1050"/>
      <c r="F114" s="1050"/>
      <c r="G114" s="1050"/>
      <c r="H114" s="1050"/>
      <c r="I114" s="1050"/>
      <c r="J114" s="1050"/>
      <c r="K114" s="1050"/>
      <c r="L114" s="1051"/>
    </row>
    <row r="115" spans="2:12" ht="15.75" thickBot="1" x14ac:dyDescent="0.3">
      <c r="B115" s="629" t="s">
        <v>4</v>
      </c>
      <c r="C115" s="1041" t="s">
        <v>1012</v>
      </c>
      <c r="D115" s="1043"/>
      <c r="E115" s="1041" t="s">
        <v>1013</v>
      </c>
      <c r="F115" s="1043"/>
      <c r="G115" s="1041" t="s">
        <v>1014</v>
      </c>
      <c r="H115" s="1043"/>
      <c r="I115" s="1041" t="s">
        <v>1015</v>
      </c>
      <c r="J115" s="1042"/>
      <c r="K115" s="1042"/>
      <c r="L115" s="1043"/>
    </row>
    <row r="116" spans="2:12" ht="15.75" customHeight="1" thickBot="1" x14ac:dyDescent="0.3">
      <c r="B116" s="630">
        <v>1</v>
      </c>
      <c r="C116" s="1020" t="s">
        <v>1016</v>
      </c>
      <c r="D116" s="1022"/>
      <c r="E116" s="1020" t="s">
        <v>1017</v>
      </c>
      <c r="F116" s="1022"/>
      <c r="G116" s="1020" t="s">
        <v>1018</v>
      </c>
      <c r="H116" s="1022"/>
      <c r="I116" s="1020" t="s">
        <v>1019</v>
      </c>
      <c r="J116" s="1021"/>
      <c r="K116" s="1021"/>
      <c r="L116" s="1022"/>
    </row>
    <row r="117" spans="2:12" ht="15.75" customHeight="1" thickBot="1" x14ac:dyDescent="0.3">
      <c r="B117" s="630">
        <v>2</v>
      </c>
      <c r="C117" s="1020" t="s">
        <v>1020</v>
      </c>
      <c r="D117" s="1022"/>
      <c r="E117" s="1020" t="s">
        <v>1017</v>
      </c>
      <c r="F117" s="1022"/>
      <c r="G117" s="1020" t="s">
        <v>1021</v>
      </c>
      <c r="H117" s="1022"/>
      <c r="I117" s="1020" t="s">
        <v>1022</v>
      </c>
      <c r="J117" s="1021"/>
      <c r="K117" s="1021"/>
      <c r="L117" s="1022"/>
    </row>
    <row r="118" spans="2:12" ht="15.75" customHeight="1" thickBot="1" x14ac:dyDescent="0.3">
      <c r="B118" s="630">
        <v>3</v>
      </c>
      <c r="C118" s="1020" t="s">
        <v>1023</v>
      </c>
      <c r="D118" s="1022"/>
      <c r="E118" s="1020" t="s">
        <v>1426</v>
      </c>
      <c r="F118" s="1022"/>
      <c r="G118" s="1020" t="s">
        <v>1024</v>
      </c>
      <c r="H118" s="1022"/>
      <c r="I118" s="1020" t="s">
        <v>1025</v>
      </c>
      <c r="J118" s="1021"/>
      <c r="K118" s="1021"/>
      <c r="L118" s="1022"/>
    </row>
    <row r="119" spans="2:12" ht="15.75" customHeight="1" thickBot="1" x14ac:dyDescent="0.3">
      <c r="B119" s="1032" t="s">
        <v>1026</v>
      </c>
      <c r="C119" s="1033"/>
      <c r="D119" s="1033"/>
      <c r="E119" s="1033"/>
      <c r="F119" s="1033"/>
      <c r="G119" s="1033"/>
      <c r="H119" s="1033"/>
      <c r="I119" s="1033"/>
      <c r="J119" s="1033"/>
      <c r="K119" s="1033"/>
      <c r="L119" s="1034"/>
    </row>
    <row r="120" spans="2:12" ht="15.75" customHeight="1" thickBot="1" x14ac:dyDescent="0.3">
      <c r="B120" s="1035" t="s">
        <v>1027</v>
      </c>
      <c r="C120" s="1036"/>
      <c r="D120" s="1037"/>
      <c r="E120" s="1038" t="s">
        <v>1427</v>
      </c>
      <c r="F120" s="1039"/>
      <c r="G120" s="1039"/>
      <c r="H120" s="1039"/>
      <c r="I120" s="1039"/>
      <c r="J120" s="1039"/>
      <c r="K120" s="1039"/>
      <c r="L120" s="1040"/>
    </row>
    <row r="121" spans="2:12" ht="15.75" thickBot="1" x14ac:dyDescent="0.3">
      <c r="B121" s="1035" t="s">
        <v>1028</v>
      </c>
      <c r="C121" s="1036"/>
      <c r="D121" s="1037"/>
      <c r="E121" s="1038" t="s">
        <v>1497</v>
      </c>
      <c r="F121" s="1039"/>
      <c r="G121" s="1039"/>
      <c r="H121" s="1039"/>
      <c r="I121" s="1039"/>
      <c r="J121" s="1039"/>
      <c r="K121" s="1039"/>
      <c r="L121" s="1040"/>
    </row>
    <row r="122" spans="2:12" ht="15.75" thickBot="1" x14ac:dyDescent="0.3">
      <c r="B122" s="1032" t="s">
        <v>1029</v>
      </c>
      <c r="C122" s="1033"/>
      <c r="D122" s="1033"/>
      <c r="E122" s="1033"/>
      <c r="F122" s="1033"/>
      <c r="G122" s="1033"/>
      <c r="H122" s="1033"/>
      <c r="I122" s="1033"/>
      <c r="J122" s="1033"/>
      <c r="K122" s="1033"/>
      <c r="L122" s="1034"/>
    </row>
    <row r="123" spans="2:12" ht="15.75" customHeight="1" thickBot="1" x14ac:dyDescent="0.3">
      <c r="B123" s="629" t="s">
        <v>4</v>
      </c>
      <c r="C123" s="1041" t="s">
        <v>1012</v>
      </c>
      <c r="D123" s="1042"/>
      <c r="E123" s="1043"/>
      <c r="F123" s="1041" t="s">
        <v>1030</v>
      </c>
      <c r="G123" s="1042"/>
      <c r="H123" s="1042"/>
      <c r="I123" s="1042"/>
      <c r="J123" s="1042"/>
      <c r="K123" s="1042"/>
      <c r="L123" s="1043"/>
    </row>
    <row r="124" spans="2:12" ht="45" customHeight="1" thickBot="1" x14ac:dyDescent="0.3">
      <c r="B124" s="630">
        <v>1</v>
      </c>
      <c r="C124" s="1020" t="s">
        <v>1031</v>
      </c>
      <c r="D124" s="1021"/>
      <c r="E124" s="1022"/>
      <c r="F124" s="1020" t="s">
        <v>1032</v>
      </c>
      <c r="G124" s="1021"/>
      <c r="H124" s="1021"/>
      <c r="I124" s="1021"/>
      <c r="J124" s="1021"/>
      <c r="K124" s="1021"/>
      <c r="L124" s="1022"/>
    </row>
    <row r="125" spans="2:12" ht="48.75" customHeight="1" thickBot="1" x14ac:dyDescent="0.3">
      <c r="B125" s="630">
        <v>2</v>
      </c>
      <c r="C125" s="1020" t="s">
        <v>1033</v>
      </c>
      <c r="D125" s="1021"/>
      <c r="E125" s="1022"/>
      <c r="F125" s="1023" t="s">
        <v>1034</v>
      </c>
      <c r="G125" s="1024"/>
      <c r="H125" s="1024"/>
      <c r="I125" s="1024"/>
      <c r="J125" s="1024"/>
      <c r="K125" s="1024"/>
      <c r="L125" s="1025"/>
    </row>
    <row r="126" spans="2:12" ht="30" customHeight="1" thickBot="1" x14ac:dyDescent="0.3">
      <c r="B126" s="630">
        <v>3</v>
      </c>
      <c r="C126" s="1020" t="s">
        <v>1035</v>
      </c>
      <c r="D126" s="1021"/>
      <c r="E126" s="1022"/>
      <c r="F126" s="1023" t="s">
        <v>1036</v>
      </c>
      <c r="G126" s="1024"/>
      <c r="H126" s="1024"/>
      <c r="I126" s="1024"/>
      <c r="J126" s="1024"/>
      <c r="K126" s="1024"/>
      <c r="L126" s="1025"/>
    </row>
    <row r="127" spans="2:12" ht="30" customHeight="1" thickBot="1" x14ac:dyDescent="0.3">
      <c r="B127" s="1026"/>
      <c r="C127" s="1027"/>
      <c r="D127" s="1027"/>
      <c r="E127" s="1027"/>
      <c r="F127" s="1027"/>
      <c r="G127" s="1027"/>
      <c r="H127" s="1027"/>
      <c r="I127" s="1027"/>
      <c r="J127" s="1027"/>
      <c r="K127" s="1027"/>
      <c r="L127" s="1028"/>
    </row>
    <row r="128" spans="2:12" ht="30" customHeight="1" x14ac:dyDescent="0.25">
      <c r="B128" s="1029"/>
      <c r="C128" s="1030"/>
      <c r="D128" s="1030"/>
      <c r="E128" s="1030"/>
      <c r="F128" s="1030"/>
      <c r="G128" s="1030"/>
      <c r="H128" s="1030"/>
      <c r="I128" s="1030"/>
      <c r="J128" s="1030"/>
      <c r="K128" s="1030"/>
      <c r="L128" s="1031"/>
    </row>
    <row r="129" spans="2:15" ht="30" customHeight="1" x14ac:dyDescent="0.25">
      <c r="B129" s="1014" t="s">
        <v>1418</v>
      </c>
      <c r="C129" s="1015"/>
      <c r="D129" s="1015"/>
      <c r="E129" s="1015"/>
      <c r="F129" s="1015"/>
      <c r="G129" s="1015"/>
      <c r="H129" s="1015"/>
      <c r="I129" s="1015"/>
      <c r="J129" s="1015"/>
      <c r="K129" s="1015"/>
      <c r="L129" s="1016"/>
    </row>
    <row r="130" spans="2:15" ht="30" customHeight="1" x14ac:dyDescent="0.25">
      <c r="B130" s="1014" t="s">
        <v>1037</v>
      </c>
      <c r="C130" s="1015"/>
      <c r="D130" s="1015"/>
      <c r="E130" s="1015"/>
      <c r="F130" s="1015"/>
      <c r="G130" s="1015"/>
      <c r="H130" s="1015"/>
      <c r="I130" s="1015"/>
      <c r="J130" s="1015"/>
      <c r="K130" s="1015"/>
      <c r="L130" s="1016"/>
    </row>
    <row r="131" spans="2:15" ht="15" customHeight="1" x14ac:dyDescent="0.25">
      <c r="B131" s="1014" t="s">
        <v>1419</v>
      </c>
      <c r="C131" s="1015"/>
      <c r="D131" s="1015"/>
      <c r="E131" s="1015"/>
      <c r="F131" s="1015"/>
      <c r="G131" s="1015"/>
      <c r="H131" s="1015"/>
      <c r="I131" s="1015"/>
      <c r="J131" s="1015"/>
      <c r="K131" s="1015"/>
      <c r="L131" s="1016"/>
      <c r="O131" s="27"/>
    </row>
    <row r="132" spans="2:15" ht="15" customHeight="1" x14ac:dyDescent="0.25">
      <c r="B132" s="1014" t="s">
        <v>1499</v>
      </c>
      <c r="C132" s="1015"/>
      <c r="D132" s="1015"/>
      <c r="E132" s="1015"/>
      <c r="F132" s="1015"/>
      <c r="G132" s="1015"/>
      <c r="H132" s="1015"/>
      <c r="I132" s="1015"/>
      <c r="J132" s="1015"/>
      <c r="K132" s="1015"/>
      <c r="L132" s="1016"/>
      <c r="O132" s="27"/>
    </row>
    <row r="133" spans="2:15" ht="15" customHeight="1" x14ac:dyDescent="0.25">
      <c r="B133" s="1014" t="s">
        <v>1040</v>
      </c>
      <c r="C133" s="1015"/>
      <c r="D133" s="1015"/>
      <c r="E133" s="1015"/>
      <c r="F133" s="1015"/>
      <c r="G133" s="1015"/>
      <c r="H133" s="1015"/>
      <c r="I133" s="1015"/>
      <c r="J133" s="1015"/>
      <c r="K133" s="1015"/>
      <c r="L133" s="1016"/>
    </row>
    <row r="134" spans="2:15" ht="15" customHeight="1" x14ac:dyDescent="0.25">
      <c r="B134" s="1014"/>
      <c r="C134" s="1015"/>
      <c r="D134" s="1015"/>
      <c r="E134" s="1015"/>
      <c r="F134" s="1015"/>
      <c r="G134" s="1015"/>
      <c r="H134" s="1015"/>
      <c r="I134" s="1015"/>
      <c r="J134" s="1015"/>
      <c r="K134" s="1015"/>
      <c r="L134" s="1016"/>
    </row>
    <row r="135" spans="2:15" ht="15.75" customHeight="1" x14ac:dyDescent="0.25">
      <c r="B135" s="1014"/>
      <c r="C135" s="1015"/>
      <c r="D135" s="1015"/>
      <c r="E135" s="1015"/>
      <c r="F135" s="1015"/>
      <c r="G135" s="1015"/>
      <c r="H135" s="1015"/>
      <c r="I135" s="1015"/>
      <c r="J135" s="1015"/>
      <c r="K135" s="1015"/>
      <c r="L135" s="1016"/>
    </row>
    <row r="136" spans="2:15" ht="15" customHeight="1" x14ac:dyDescent="0.25">
      <c r="B136" s="1014" t="s">
        <v>1498</v>
      </c>
      <c r="C136" s="1015"/>
      <c r="D136" s="1015"/>
      <c r="E136" s="1015"/>
      <c r="F136" s="1015"/>
      <c r="G136" s="1015"/>
      <c r="H136" s="1015"/>
      <c r="I136" s="1015"/>
      <c r="J136" s="1015"/>
      <c r="K136" s="1015"/>
      <c r="L136" s="1016"/>
    </row>
    <row r="137" spans="2:15" ht="15" customHeight="1" x14ac:dyDescent="0.25">
      <c r="B137" s="1014" t="s">
        <v>1668</v>
      </c>
      <c r="C137" s="1015"/>
      <c r="D137" s="1015"/>
      <c r="E137" s="1015"/>
      <c r="F137" s="1015"/>
      <c r="G137" s="1015"/>
      <c r="H137" s="1015"/>
      <c r="I137" s="1015"/>
      <c r="J137" s="1015"/>
      <c r="K137" s="1015"/>
      <c r="L137" s="1016"/>
    </row>
    <row r="138" spans="2:15" ht="15" customHeight="1" x14ac:dyDescent="0.25">
      <c r="B138" s="1014"/>
      <c r="C138" s="1015"/>
      <c r="D138" s="1015"/>
      <c r="E138" s="1015"/>
      <c r="F138" s="1015"/>
      <c r="G138" s="1015"/>
      <c r="H138" s="1015"/>
      <c r="I138" s="1015"/>
      <c r="J138" s="1015"/>
      <c r="K138" s="1015"/>
      <c r="L138" s="1016"/>
    </row>
    <row r="139" spans="2:15" ht="15.75" customHeight="1" thickBot="1" x14ac:dyDescent="0.3">
      <c r="B139" s="1017"/>
      <c r="C139" s="1018"/>
      <c r="D139" s="1018"/>
      <c r="E139" s="1018"/>
      <c r="F139" s="1018"/>
      <c r="G139" s="1018"/>
      <c r="H139" s="1018"/>
      <c r="I139" s="1018"/>
      <c r="J139" s="1018"/>
      <c r="K139" s="1018"/>
      <c r="L139" s="1019"/>
    </row>
    <row r="140" spans="2:15" ht="15.75" customHeight="1" x14ac:dyDescent="0.25">
      <c r="B140" s="46"/>
      <c r="C140" s="46"/>
      <c r="D140" s="46"/>
      <c r="E140" s="46"/>
      <c r="F140" s="46"/>
      <c r="G140" s="46"/>
      <c r="H140" s="46"/>
      <c r="I140" s="46"/>
      <c r="J140" s="46"/>
      <c r="K140" s="46"/>
      <c r="L140" s="46"/>
    </row>
    <row r="141" spans="2:15" ht="15.75" customHeight="1" x14ac:dyDescent="0.25">
      <c r="B141" s="46"/>
      <c r="C141" s="46"/>
      <c r="D141" s="46"/>
      <c r="E141" s="46"/>
      <c r="F141" s="46"/>
      <c r="G141" s="46"/>
      <c r="H141" s="46"/>
      <c r="I141" s="46"/>
      <c r="J141" s="46"/>
      <c r="K141" s="46"/>
      <c r="L141" s="46"/>
    </row>
    <row r="142" spans="2:15" ht="15" customHeight="1" x14ac:dyDescent="0.25"/>
    <row r="143" spans="2:15" ht="15" customHeight="1" x14ac:dyDescent="0.25"/>
    <row r="144" spans="2:15" ht="15.75" customHeight="1" x14ac:dyDescent="0.3">
      <c r="B144" s="535"/>
      <c r="C144" s="535"/>
      <c r="D144" s="535"/>
      <c r="E144" s="535"/>
      <c r="F144" s="535"/>
      <c r="G144" s="536" t="s">
        <v>1561</v>
      </c>
      <c r="H144" s="535"/>
      <c r="I144" s="535"/>
      <c r="J144" s="535"/>
      <c r="K144" s="535"/>
      <c r="L144" s="535"/>
    </row>
    <row r="145" spans="2:12" ht="15.75" customHeight="1" x14ac:dyDescent="0.25">
      <c r="B145" s="1126" t="s">
        <v>976</v>
      </c>
      <c r="C145" s="1126"/>
      <c r="D145" s="1126"/>
      <c r="E145" s="1126"/>
      <c r="F145" s="1126"/>
      <c r="G145" s="1126"/>
      <c r="H145" s="1126"/>
      <c r="I145" s="1126"/>
      <c r="J145" s="1126"/>
      <c r="K145" s="1126"/>
      <c r="L145" s="1126"/>
    </row>
    <row r="146" spans="2:12" ht="15.75" customHeight="1" thickBot="1" x14ac:dyDescent="0.3">
      <c r="B146" s="376"/>
    </row>
    <row r="147" spans="2:12" ht="15.75" customHeight="1" thickBot="1" x14ac:dyDescent="0.3">
      <c r="B147" s="1032" t="s">
        <v>977</v>
      </c>
      <c r="C147" s="1033"/>
      <c r="D147" s="1033"/>
      <c r="E147" s="1033"/>
      <c r="F147" s="1033"/>
      <c r="G147" s="1033"/>
      <c r="H147" s="1033"/>
      <c r="I147" s="1033"/>
      <c r="J147" s="1033"/>
      <c r="K147" s="1033"/>
      <c r="L147" s="1034"/>
    </row>
    <row r="148" spans="2:12" ht="15.75" thickBot="1" x14ac:dyDescent="0.3">
      <c r="B148" s="1035" t="s">
        <v>313</v>
      </c>
      <c r="C148" s="1037"/>
      <c r="D148" s="1020" t="s">
        <v>871</v>
      </c>
      <c r="E148" s="1021"/>
      <c r="F148" s="1021"/>
      <c r="G148" s="1022"/>
      <c r="H148" s="1035" t="s">
        <v>978</v>
      </c>
      <c r="I148" s="1037"/>
      <c r="J148" s="1020" t="s">
        <v>979</v>
      </c>
      <c r="K148" s="1021"/>
      <c r="L148" s="1022"/>
    </row>
    <row r="149" spans="2:12" ht="15.75" customHeight="1" thickBot="1" x14ac:dyDescent="0.3">
      <c r="B149" s="1035" t="s">
        <v>980</v>
      </c>
      <c r="C149" s="1037"/>
      <c r="D149" s="1020" t="s">
        <v>981</v>
      </c>
      <c r="E149" s="1021"/>
      <c r="F149" s="1021"/>
      <c r="G149" s="1022"/>
      <c r="H149" s="1035" t="s">
        <v>982</v>
      </c>
      <c r="I149" s="1037"/>
      <c r="J149" s="1020" t="s">
        <v>983</v>
      </c>
      <c r="K149" s="1021"/>
      <c r="L149" s="1022"/>
    </row>
    <row r="150" spans="2:12" ht="15" customHeight="1" thickBot="1" x14ac:dyDescent="0.3">
      <c r="B150" s="1035" t="s">
        <v>984</v>
      </c>
      <c r="C150" s="1037"/>
      <c r="D150" s="1107" t="s">
        <v>1408</v>
      </c>
      <c r="E150" s="1122"/>
      <c r="F150" s="1122"/>
      <c r="G150" s="1123"/>
      <c r="H150" s="1035" t="s">
        <v>38</v>
      </c>
      <c r="I150" s="1037"/>
      <c r="J150" s="1020" t="s">
        <v>753</v>
      </c>
      <c r="K150" s="1021"/>
      <c r="L150" s="1022"/>
    </row>
    <row r="151" spans="2:12" ht="15" customHeight="1" thickBot="1" x14ac:dyDescent="0.3">
      <c r="B151" s="1035" t="s">
        <v>315</v>
      </c>
      <c r="C151" s="1037"/>
      <c r="D151" s="1020" t="s">
        <v>1501</v>
      </c>
      <c r="E151" s="1021"/>
      <c r="F151" s="1021"/>
      <c r="G151" s="1022"/>
      <c r="H151" s="1035" t="s">
        <v>985</v>
      </c>
      <c r="I151" s="1037"/>
      <c r="J151" s="1020" t="s">
        <v>1154</v>
      </c>
      <c r="K151" s="1021"/>
      <c r="L151" s="1022"/>
    </row>
    <row r="152" spans="2:12" ht="15" customHeight="1" thickBot="1" x14ac:dyDescent="0.3">
      <c r="B152" s="1035" t="s">
        <v>986</v>
      </c>
      <c r="C152" s="1037"/>
      <c r="D152" s="1020" t="s">
        <v>987</v>
      </c>
      <c r="E152" s="1021"/>
      <c r="F152" s="1021"/>
      <c r="G152" s="1022"/>
      <c r="H152" s="1035" t="s">
        <v>988</v>
      </c>
      <c r="I152" s="1037"/>
      <c r="J152" s="1020" t="s">
        <v>1154</v>
      </c>
      <c r="K152" s="1021"/>
      <c r="L152" s="1022"/>
    </row>
    <row r="153" spans="2:12" ht="15" customHeight="1" thickBot="1" x14ac:dyDescent="0.3">
      <c r="B153" s="1020"/>
      <c r="C153" s="1021"/>
      <c r="D153" s="1021"/>
      <c r="E153" s="1021"/>
      <c r="F153" s="1021"/>
      <c r="G153" s="1021"/>
      <c r="H153" s="1021"/>
      <c r="I153" s="1021"/>
      <c r="J153" s="1021"/>
      <c r="K153" s="1021"/>
      <c r="L153" s="1022"/>
    </row>
    <row r="154" spans="2:12" ht="15.75" customHeight="1" x14ac:dyDescent="0.25">
      <c r="B154" s="1100" t="s">
        <v>989</v>
      </c>
      <c r="C154" s="1101"/>
      <c r="D154" s="1102"/>
      <c r="E154" s="1094" t="s">
        <v>1541</v>
      </c>
      <c r="F154" s="1057"/>
      <c r="G154" s="1057"/>
      <c r="H154" s="1057"/>
      <c r="I154" s="1057"/>
      <c r="J154" s="1057"/>
      <c r="K154" s="1057"/>
      <c r="L154" s="1058"/>
    </row>
    <row r="155" spans="2:12" ht="15.75" customHeight="1" thickBot="1" x14ac:dyDescent="0.3">
      <c r="B155" s="1104" t="s">
        <v>990</v>
      </c>
      <c r="C155" s="1105"/>
      <c r="D155" s="1106"/>
      <c r="E155" s="1103"/>
      <c r="F155" s="1098"/>
      <c r="G155" s="1098"/>
      <c r="H155" s="1098"/>
      <c r="I155" s="1098"/>
      <c r="J155" s="1098"/>
      <c r="K155" s="1098"/>
      <c r="L155" s="1099"/>
    </row>
    <row r="156" spans="2:12" ht="15.75" customHeight="1" thickBot="1" x14ac:dyDescent="0.3">
      <c r="B156" s="1035" t="s">
        <v>991</v>
      </c>
      <c r="C156" s="1036"/>
      <c r="D156" s="1037"/>
      <c r="E156" s="1076" t="s">
        <v>1542</v>
      </c>
      <c r="F156" s="1077"/>
      <c r="G156" s="1077"/>
      <c r="H156" s="1077"/>
      <c r="I156" s="1077"/>
      <c r="J156" s="1077"/>
      <c r="K156" s="1077"/>
      <c r="L156" s="1078"/>
    </row>
    <row r="157" spans="2:12" ht="15.75" customHeight="1" x14ac:dyDescent="0.25">
      <c r="B157" s="1085" t="s">
        <v>992</v>
      </c>
      <c r="C157" s="1086"/>
      <c r="D157" s="1087"/>
      <c r="E157" s="1094" t="s">
        <v>993</v>
      </c>
      <c r="F157" s="1057"/>
      <c r="G157" s="1057"/>
      <c r="H157" s="1057"/>
      <c r="I157" s="1057"/>
      <c r="J157" s="1057"/>
      <c r="K157" s="1057"/>
      <c r="L157" s="1058"/>
    </row>
    <row r="158" spans="2:12" x14ac:dyDescent="0.25">
      <c r="B158" s="1088"/>
      <c r="C158" s="1089"/>
      <c r="D158" s="1090"/>
      <c r="E158" s="1097" t="s">
        <v>994</v>
      </c>
      <c r="F158" s="1044"/>
      <c r="G158" s="1044"/>
      <c r="H158" s="1044"/>
      <c r="I158" s="1044"/>
      <c r="J158" s="1044"/>
      <c r="K158" s="1044"/>
      <c r="L158" s="1045"/>
    </row>
    <row r="159" spans="2:12" ht="15.75" customHeight="1" thickBot="1" x14ac:dyDescent="0.3">
      <c r="B159" s="1091"/>
      <c r="C159" s="1092"/>
      <c r="D159" s="1093"/>
      <c r="E159" s="1103" t="s">
        <v>995</v>
      </c>
      <c r="F159" s="1098"/>
      <c r="G159" s="1098"/>
      <c r="H159" s="1098"/>
      <c r="I159" s="1098"/>
      <c r="J159" s="1098"/>
      <c r="K159" s="1098"/>
      <c r="L159" s="1099"/>
    </row>
    <row r="160" spans="2:12" ht="42" customHeight="1" x14ac:dyDescent="0.25">
      <c r="B160" s="1085" t="s">
        <v>996</v>
      </c>
      <c r="C160" s="1086"/>
      <c r="D160" s="1087"/>
      <c r="E160" s="1094" t="s">
        <v>997</v>
      </c>
      <c r="F160" s="1057"/>
      <c r="G160" s="1057"/>
      <c r="H160" s="1057"/>
      <c r="I160" s="1057"/>
      <c r="J160" s="1057"/>
      <c r="K160" s="1057"/>
      <c r="L160" s="1058"/>
    </row>
    <row r="161" spans="2:12" ht="15.75" customHeight="1" x14ac:dyDescent="0.25">
      <c r="B161" s="1088"/>
      <c r="C161" s="1089"/>
      <c r="D161" s="1090"/>
      <c r="E161" s="621">
        <v>1</v>
      </c>
      <c r="F161" s="1044" t="s">
        <v>1457</v>
      </c>
      <c r="G161" s="1044"/>
      <c r="H161" s="1044"/>
      <c r="I161" s="1044"/>
      <c r="J161" s="1044"/>
      <c r="K161" s="1044"/>
      <c r="L161" s="1045"/>
    </row>
    <row r="162" spans="2:12" ht="15.75" customHeight="1" x14ac:dyDescent="0.25">
      <c r="B162" s="1088"/>
      <c r="C162" s="1089"/>
      <c r="D162" s="1090"/>
      <c r="E162" s="621">
        <v>2</v>
      </c>
      <c r="F162" s="1044" t="s">
        <v>1458</v>
      </c>
      <c r="G162" s="1044"/>
      <c r="H162" s="1044"/>
      <c r="I162" s="1044"/>
      <c r="J162" s="1044"/>
      <c r="K162" s="1044"/>
      <c r="L162" s="1045"/>
    </row>
    <row r="163" spans="2:12" x14ac:dyDescent="0.25">
      <c r="B163" s="1088"/>
      <c r="C163" s="1089"/>
      <c r="D163" s="1090"/>
      <c r="E163" s="621">
        <v>3</v>
      </c>
      <c r="F163" s="1044" t="s">
        <v>1459</v>
      </c>
      <c r="G163" s="1044"/>
      <c r="H163" s="1044"/>
      <c r="I163" s="1044"/>
      <c r="J163" s="1044"/>
      <c r="K163" s="1044"/>
      <c r="L163" s="1045"/>
    </row>
    <row r="164" spans="2:12" ht="15.75" customHeight="1" x14ac:dyDescent="0.25">
      <c r="B164" s="1088"/>
      <c r="C164" s="1089"/>
      <c r="D164" s="1090"/>
      <c r="E164" s="621">
        <v>4</v>
      </c>
      <c r="F164" s="1044" t="s">
        <v>1039</v>
      </c>
      <c r="G164" s="1044"/>
      <c r="H164" s="1044"/>
      <c r="I164" s="1044"/>
      <c r="J164" s="1044"/>
      <c r="K164" s="1044"/>
      <c r="L164" s="1045"/>
    </row>
    <row r="165" spans="2:12" ht="15" customHeight="1" x14ac:dyDescent="0.25">
      <c r="B165" s="1088"/>
      <c r="C165" s="1089"/>
      <c r="D165" s="1090"/>
      <c r="E165" s="621">
        <v>5</v>
      </c>
      <c r="F165" s="1044" t="s">
        <v>1460</v>
      </c>
      <c r="G165" s="1044"/>
      <c r="H165" s="1044"/>
      <c r="I165" s="1044"/>
      <c r="J165" s="1044"/>
      <c r="K165" s="1044"/>
      <c r="L165" s="1045"/>
    </row>
    <row r="166" spans="2:12" ht="27.95" customHeight="1" x14ac:dyDescent="0.25">
      <c r="B166" s="1088"/>
      <c r="C166" s="1089"/>
      <c r="D166" s="1090"/>
      <c r="E166" s="621">
        <v>6</v>
      </c>
      <c r="F166" s="1044" t="s">
        <v>1461</v>
      </c>
      <c r="G166" s="1044"/>
      <c r="H166" s="1044"/>
      <c r="I166" s="1044"/>
      <c r="J166" s="1044"/>
      <c r="K166" s="1044"/>
      <c r="L166" s="1045"/>
    </row>
    <row r="167" spans="2:12" ht="15" customHeight="1" x14ac:dyDescent="0.25">
      <c r="B167" s="1088"/>
      <c r="C167" s="1089"/>
      <c r="D167" s="1090"/>
      <c r="E167" s="1097" t="s">
        <v>998</v>
      </c>
      <c r="F167" s="1044"/>
      <c r="G167" s="1044"/>
      <c r="H167" s="1044"/>
      <c r="I167" s="1044"/>
      <c r="J167" s="1044"/>
      <c r="K167" s="1044"/>
      <c r="L167" s="1045"/>
    </row>
    <row r="168" spans="2:12" ht="15" customHeight="1" thickBot="1" x14ac:dyDescent="0.3">
      <c r="B168" s="1091"/>
      <c r="C168" s="1092"/>
      <c r="D168" s="1093"/>
      <c r="E168" s="626">
        <v>1</v>
      </c>
      <c r="F168" s="1098" t="s">
        <v>1462</v>
      </c>
      <c r="G168" s="1098"/>
      <c r="H168" s="1098"/>
      <c r="I168" s="1098"/>
      <c r="J168" s="1098"/>
      <c r="K168" s="1098"/>
      <c r="L168" s="1099"/>
    </row>
    <row r="169" spans="2:12" ht="69.95" customHeight="1" thickBot="1" x14ac:dyDescent="0.3">
      <c r="B169" s="1035" t="s">
        <v>999</v>
      </c>
      <c r="C169" s="1036"/>
      <c r="D169" s="1037"/>
      <c r="E169" s="1076" t="s">
        <v>1410</v>
      </c>
      <c r="F169" s="1077"/>
      <c r="G169" s="1077"/>
      <c r="H169" s="1077"/>
      <c r="I169" s="1077"/>
      <c r="J169" s="1077"/>
      <c r="K169" s="1077"/>
      <c r="L169" s="1078"/>
    </row>
    <row r="170" spans="2:12" ht="15" customHeight="1" thickBot="1" x14ac:dyDescent="0.3">
      <c r="B170" s="1035" t="s">
        <v>629</v>
      </c>
      <c r="C170" s="1036"/>
      <c r="D170" s="1037"/>
      <c r="E170" s="1082" t="s">
        <v>1421</v>
      </c>
      <c r="F170" s="1083"/>
      <c r="G170" s="1083"/>
      <c r="H170" s="1083"/>
      <c r="I170" s="1083"/>
      <c r="J170" s="1083"/>
      <c r="K170" s="1083"/>
      <c r="L170" s="1084"/>
    </row>
    <row r="171" spans="2:12" ht="15.75" customHeight="1" thickBot="1" x14ac:dyDescent="0.3">
      <c r="B171" s="1035" t="s">
        <v>1000</v>
      </c>
      <c r="C171" s="1036"/>
      <c r="D171" s="1037"/>
      <c r="E171" s="1076" t="s">
        <v>1420</v>
      </c>
      <c r="F171" s="1077"/>
      <c r="G171" s="1077"/>
      <c r="H171" s="1077"/>
      <c r="I171" s="1077"/>
      <c r="J171" s="1077"/>
      <c r="K171" s="1077"/>
      <c r="L171" s="1078"/>
    </row>
    <row r="172" spans="2:12" ht="15.75" customHeight="1" thickBot="1" x14ac:dyDescent="0.3">
      <c r="B172" s="1020"/>
      <c r="C172" s="1021"/>
      <c r="D172" s="1021"/>
      <c r="E172" s="1021"/>
      <c r="F172" s="1021"/>
      <c r="G172" s="1021"/>
      <c r="H172" s="1021"/>
      <c r="I172" s="1021"/>
      <c r="J172" s="1021"/>
      <c r="K172" s="1021"/>
      <c r="L172" s="1022"/>
    </row>
    <row r="173" spans="2:12" ht="15" customHeight="1" thickBot="1" x14ac:dyDescent="0.3">
      <c r="B173" s="1032" t="s">
        <v>1001</v>
      </c>
      <c r="C173" s="1033"/>
      <c r="D173" s="1033"/>
      <c r="E173" s="1033"/>
      <c r="F173" s="1033"/>
      <c r="G173" s="1033"/>
      <c r="H173" s="1033"/>
      <c r="I173" s="1033"/>
      <c r="J173" s="1033"/>
      <c r="K173" s="1033"/>
      <c r="L173" s="1034"/>
    </row>
    <row r="174" spans="2:12" x14ac:dyDescent="0.25">
      <c r="B174" s="1085" t="s">
        <v>627</v>
      </c>
      <c r="C174" s="1086"/>
      <c r="D174" s="1087"/>
      <c r="E174" s="1094" t="s">
        <v>1463</v>
      </c>
      <c r="F174" s="1057"/>
      <c r="G174" s="1057"/>
      <c r="H174" s="1057"/>
      <c r="I174" s="1057"/>
      <c r="J174" s="1057"/>
      <c r="K174" s="1057"/>
      <c r="L174" s="1058"/>
    </row>
    <row r="175" spans="2:12" x14ac:dyDescent="0.25">
      <c r="B175" s="1088"/>
      <c r="C175" s="1089"/>
      <c r="D175" s="1090"/>
      <c r="E175" s="627">
        <v>1</v>
      </c>
      <c r="F175" s="1095" t="s">
        <v>1543</v>
      </c>
      <c r="G175" s="1095"/>
      <c r="H175" s="1095"/>
      <c r="I175" s="1095"/>
      <c r="J175" s="1095"/>
      <c r="K175" s="1095"/>
      <c r="L175" s="1096"/>
    </row>
    <row r="176" spans="2:12" ht="15" customHeight="1" x14ac:dyDescent="0.25">
      <c r="B176" s="1088"/>
      <c r="C176" s="1089"/>
      <c r="D176" s="1090"/>
      <c r="E176" s="627">
        <v>2</v>
      </c>
      <c r="F176" s="1095" t="s">
        <v>1544</v>
      </c>
      <c r="G176" s="1095"/>
      <c r="H176" s="1095"/>
      <c r="I176" s="1095"/>
      <c r="J176" s="1095"/>
      <c r="K176" s="1095"/>
      <c r="L176" s="1096"/>
    </row>
    <row r="177" spans="2:12" ht="15" customHeight="1" x14ac:dyDescent="0.25">
      <c r="B177" s="1088"/>
      <c r="C177" s="1089"/>
      <c r="D177" s="1090"/>
      <c r="E177" s="627">
        <v>3</v>
      </c>
      <c r="F177" s="1095" t="s">
        <v>1545</v>
      </c>
      <c r="G177" s="1095"/>
      <c r="H177" s="1095"/>
      <c r="I177" s="1095"/>
      <c r="J177" s="1095"/>
      <c r="K177" s="1095"/>
      <c r="L177" s="1096"/>
    </row>
    <row r="178" spans="2:12" ht="15" customHeight="1" thickBot="1" x14ac:dyDescent="0.3">
      <c r="B178" s="1091"/>
      <c r="C178" s="1092"/>
      <c r="D178" s="1093"/>
      <c r="E178" s="627">
        <v>4</v>
      </c>
      <c r="F178" s="1095" t="s">
        <v>1546</v>
      </c>
      <c r="G178" s="1095"/>
      <c r="H178" s="1095"/>
      <c r="I178" s="1095"/>
      <c r="J178" s="1095"/>
      <c r="K178" s="1095"/>
      <c r="L178" s="1096"/>
    </row>
    <row r="179" spans="2:12" ht="15" customHeight="1" thickBot="1" x14ac:dyDescent="0.3">
      <c r="B179" s="1035" t="s">
        <v>1002</v>
      </c>
      <c r="C179" s="1036"/>
      <c r="D179" s="1037"/>
      <c r="E179" s="1076" t="s">
        <v>1547</v>
      </c>
      <c r="F179" s="1077"/>
      <c r="G179" s="1077"/>
      <c r="H179" s="1077"/>
      <c r="I179" s="1077"/>
      <c r="J179" s="1077"/>
      <c r="K179" s="1077"/>
      <c r="L179" s="1078"/>
    </row>
    <row r="180" spans="2:12" ht="15" customHeight="1" thickBot="1" x14ac:dyDescent="0.3">
      <c r="B180" s="1035" t="s">
        <v>1003</v>
      </c>
      <c r="C180" s="1036"/>
      <c r="D180" s="1037"/>
      <c r="E180" s="1076" t="s">
        <v>1004</v>
      </c>
      <c r="F180" s="1077"/>
      <c r="G180" s="1077"/>
      <c r="H180" s="1077"/>
      <c r="I180" s="1077"/>
      <c r="J180" s="1077"/>
      <c r="K180" s="1077"/>
      <c r="L180" s="1078"/>
    </row>
    <row r="181" spans="2:12" ht="15" customHeight="1" thickBot="1" x14ac:dyDescent="0.3">
      <c r="B181" s="1035" t="s">
        <v>626</v>
      </c>
      <c r="C181" s="1036"/>
      <c r="D181" s="1037"/>
      <c r="E181" s="1079" t="s">
        <v>1548</v>
      </c>
      <c r="F181" s="1080"/>
      <c r="G181" s="1080"/>
      <c r="H181" s="1080"/>
      <c r="I181" s="1080"/>
      <c r="J181" s="1080"/>
      <c r="K181" s="1080"/>
      <c r="L181" s="1081"/>
    </row>
    <row r="182" spans="2:12" ht="15" customHeight="1" thickBot="1" x14ac:dyDescent="0.3">
      <c r="B182" s="1020"/>
      <c r="C182" s="1021"/>
      <c r="D182" s="1021"/>
      <c r="E182" s="1021"/>
      <c r="F182" s="1021"/>
      <c r="G182" s="1021"/>
      <c r="H182" s="1021"/>
      <c r="I182" s="1021"/>
      <c r="J182" s="1021"/>
      <c r="K182" s="1021"/>
      <c r="L182" s="1022"/>
    </row>
    <row r="183" spans="2:12" ht="15" customHeight="1" thickBot="1" x14ac:dyDescent="0.3">
      <c r="B183" s="1032" t="s">
        <v>1005</v>
      </c>
      <c r="C183" s="1033"/>
      <c r="D183" s="1033"/>
      <c r="E183" s="1033"/>
      <c r="F183" s="1033"/>
      <c r="G183" s="1033"/>
      <c r="H183" s="1033"/>
      <c r="I183" s="1033"/>
      <c r="J183" s="1033"/>
      <c r="K183" s="1033"/>
      <c r="L183" s="1034"/>
    </row>
    <row r="184" spans="2:12" ht="15" customHeight="1" thickBot="1" x14ac:dyDescent="0.3">
      <c r="B184" s="1035" t="s">
        <v>1414</v>
      </c>
      <c r="C184" s="1036"/>
      <c r="D184" s="1036"/>
      <c r="E184" s="1036"/>
      <c r="F184" s="1036"/>
      <c r="G184" s="1036"/>
      <c r="H184" s="1036"/>
      <c r="I184" s="1036"/>
      <c r="J184" s="1036"/>
      <c r="K184" s="1036"/>
      <c r="L184" s="1037"/>
    </row>
    <row r="185" spans="2:12" ht="15" customHeight="1" thickBot="1" x14ac:dyDescent="0.3">
      <c r="B185" s="1035" t="s">
        <v>1006</v>
      </c>
      <c r="C185" s="1036"/>
      <c r="D185" s="1037"/>
      <c r="E185" s="1020" t="s">
        <v>1412</v>
      </c>
      <c r="F185" s="1021"/>
      <c r="G185" s="1021"/>
      <c r="H185" s="1021"/>
      <c r="I185" s="1021"/>
      <c r="J185" s="1021"/>
      <c r="K185" s="1021"/>
      <c r="L185" s="1022"/>
    </row>
    <row r="186" spans="2:12" ht="26.1" customHeight="1" thickBot="1" x14ac:dyDescent="0.3">
      <c r="B186" s="1035" t="s">
        <v>1007</v>
      </c>
      <c r="C186" s="1036"/>
      <c r="D186" s="1037"/>
      <c r="E186" s="1070"/>
      <c r="F186" s="1071"/>
      <c r="G186" s="1071"/>
      <c r="H186" s="1071"/>
      <c r="I186" s="1071"/>
      <c r="J186" s="1072"/>
      <c r="K186" s="378" t="s">
        <v>1008</v>
      </c>
      <c r="L186" s="631" t="s">
        <v>1417</v>
      </c>
    </row>
    <row r="187" spans="2:12" ht="15" customHeight="1" x14ac:dyDescent="0.25">
      <c r="B187" s="1073"/>
      <c r="C187" s="1074"/>
      <c r="D187" s="1074"/>
      <c r="E187" s="1074"/>
      <c r="F187" s="1074"/>
      <c r="G187" s="1074"/>
      <c r="H187" s="1074"/>
      <c r="I187" s="1074"/>
      <c r="J187" s="1074"/>
      <c r="K187" s="1074"/>
      <c r="L187" s="1075"/>
    </row>
    <row r="188" spans="2:12" ht="15" customHeight="1" x14ac:dyDescent="0.25">
      <c r="B188" s="632">
        <v>1</v>
      </c>
      <c r="C188" s="624"/>
      <c r="D188" s="1044" t="s">
        <v>1441</v>
      </c>
      <c r="E188" s="1044"/>
      <c r="F188" s="1044"/>
      <c r="G188" s="1044"/>
      <c r="H188" s="1044"/>
      <c r="I188" s="1044"/>
      <c r="J188" s="1044"/>
      <c r="K188" s="1044"/>
      <c r="L188" s="1045"/>
    </row>
    <row r="189" spans="2:12" ht="15" customHeight="1" x14ac:dyDescent="0.25">
      <c r="B189" s="628">
        <v>2</v>
      </c>
      <c r="C189" s="624"/>
      <c r="D189" s="1044" t="s">
        <v>1432</v>
      </c>
      <c r="E189" s="1044"/>
      <c r="F189" s="1044"/>
      <c r="G189" s="1044"/>
      <c r="H189" s="1044"/>
      <c r="I189" s="1044"/>
      <c r="J189" s="1044"/>
      <c r="K189" s="1044"/>
      <c r="L189" s="1045"/>
    </row>
    <row r="190" spans="2:12" ht="15" customHeight="1" x14ac:dyDescent="0.25">
      <c r="B190" s="628">
        <v>3</v>
      </c>
      <c r="C190" s="624"/>
      <c r="D190" s="1044" t="s">
        <v>1438</v>
      </c>
      <c r="E190" s="1044"/>
      <c r="F190" s="1044"/>
      <c r="G190" s="1044"/>
      <c r="H190" s="1044"/>
      <c r="I190" s="1044"/>
      <c r="J190" s="1044"/>
      <c r="K190" s="1044"/>
      <c r="L190" s="1045"/>
    </row>
    <row r="191" spans="2:12" x14ac:dyDescent="0.25">
      <c r="B191" s="628">
        <v>4</v>
      </c>
      <c r="C191" s="624"/>
      <c r="D191" s="1044" t="s">
        <v>1433</v>
      </c>
      <c r="E191" s="1044"/>
      <c r="F191" s="1044"/>
      <c r="G191" s="1044"/>
      <c r="H191" s="1044"/>
      <c r="I191" s="1044"/>
      <c r="J191" s="1044"/>
      <c r="K191" s="1044"/>
      <c r="L191" s="1045"/>
    </row>
    <row r="192" spans="2:12" ht="15" customHeight="1" x14ac:dyDescent="0.25">
      <c r="B192" s="628">
        <v>5</v>
      </c>
      <c r="C192" s="150"/>
      <c r="D192" s="1044" t="s">
        <v>1439</v>
      </c>
      <c r="E192" s="1044"/>
      <c r="F192" s="1044"/>
      <c r="G192" s="1044"/>
      <c r="H192" s="1044"/>
      <c r="I192" s="1044"/>
      <c r="J192" s="1044"/>
      <c r="K192" s="1044"/>
      <c r="L192" s="1045"/>
    </row>
    <row r="193" spans="2:12" ht="15" customHeight="1" x14ac:dyDescent="0.25">
      <c r="B193" s="628">
        <v>6</v>
      </c>
      <c r="C193" s="624"/>
      <c r="D193" s="1044" t="s">
        <v>1442</v>
      </c>
      <c r="E193" s="1044"/>
      <c r="F193" s="1044"/>
      <c r="G193" s="1044"/>
      <c r="H193" s="1044"/>
      <c r="I193" s="1044"/>
      <c r="J193" s="1044"/>
      <c r="K193" s="1044"/>
      <c r="L193" s="1045"/>
    </row>
    <row r="194" spans="2:12" ht="15" customHeight="1" x14ac:dyDescent="0.25">
      <c r="B194" s="628">
        <v>7</v>
      </c>
      <c r="C194" s="624"/>
      <c r="D194" s="1044" t="s">
        <v>1443</v>
      </c>
      <c r="E194" s="1044"/>
      <c r="F194" s="1044"/>
      <c r="G194" s="1044"/>
      <c r="H194" s="1044"/>
      <c r="I194" s="1044"/>
      <c r="J194" s="1044"/>
      <c r="K194" s="1044"/>
      <c r="L194" s="1045"/>
    </row>
    <row r="195" spans="2:12" ht="15" customHeight="1" x14ac:dyDescent="0.25">
      <c r="B195" s="628">
        <v>8</v>
      </c>
      <c r="C195" s="624"/>
      <c r="D195" s="1044" t="s">
        <v>1434</v>
      </c>
      <c r="E195" s="1044"/>
      <c r="F195" s="1044"/>
      <c r="G195" s="1044"/>
      <c r="H195" s="1044"/>
      <c r="I195" s="1044"/>
      <c r="J195" s="1044"/>
      <c r="K195" s="1044"/>
      <c r="L195" s="1045"/>
    </row>
    <row r="196" spans="2:12" ht="27.95" customHeight="1" x14ac:dyDescent="0.25">
      <c r="B196" s="628" t="s">
        <v>1435</v>
      </c>
      <c r="C196" s="624" t="s">
        <v>1437</v>
      </c>
      <c r="D196" s="1044" t="s">
        <v>1549</v>
      </c>
      <c r="E196" s="1044"/>
      <c r="F196" s="1044"/>
      <c r="G196" s="1044"/>
      <c r="H196" s="1044"/>
      <c r="I196" s="1044"/>
      <c r="J196" s="1044"/>
      <c r="K196" s="1044"/>
      <c r="L196" s="1045"/>
    </row>
    <row r="197" spans="2:12" ht="15" customHeight="1" x14ac:dyDescent="0.25">
      <c r="B197" s="628">
        <v>9</v>
      </c>
      <c r="C197" s="242"/>
      <c r="D197" s="1044" t="s">
        <v>1440</v>
      </c>
      <c r="E197" s="1044"/>
      <c r="F197" s="1044"/>
      <c r="G197" s="1044"/>
      <c r="H197" s="1044"/>
      <c r="I197" s="1044"/>
      <c r="J197" s="1044"/>
      <c r="K197" s="1044"/>
      <c r="L197" s="1045"/>
    </row>
    <row r="198" spans="2:12" ht="27.95" customHeight="1" x14ac:dyDescent="0.25">
      <c r="B198" s="1067"/>
      <c r="C198" s="1068"/>
      <c r="D198" s="1068"/>
      <c r="E198" s="1068"/>
      <c r="F198" s="1068"/>
      <c r="G198" s="1068"/>
      <c r="H198" s="1068"/>
      <c r="I198" s="1068"/>
      <c r="J198" s="1068"/>
      <c r="K198" s="1068"/>
      <c r="L198" s="1069"/>
    </row>
    <row r="199" spans="2:12" ht="15" customHeight="1" thickBot="1" x14ac:dyDescent="0.3">
      <c r="B199" s="1046"/>
      <c r="C199" s="1047"/>
      <c r="D199" s="1047"/>
      <c r="E199" s="1047"/>
      <c r="F199" s="1047"/>
      <c r="G199" s="1047"/>
      <c r="H199" s="1047"/>
      <c r="I199" s="1047"/>
      <c r="J199" s="1047"/>
      <c r="K199" s="1047"/>
      <c r="L199" s="1048"/>
    </row>
    <row r="200" spans="2:12" ht="15" customHeight="1" thickBot="1" x14ac:dyDescent="0.3">
      <c r="B200" s="1054" t="s">
        <v>1009</v>
      </c>
      <c r="C200" s="1055"/>
      <c r="D200" s="1056"/>
      <c r="E200" s="1020"/>
      <c r="F200" s="1021"/>
      <c r="G200" s="1021"/>
      <c r="H200" s="1021"/>
      <c r="I200" s="1021"/>
      <c r="J200" s="1022"/>
      <c r="K200" s="378" t="s">
        <v>1008</v>
      </c>
      <c r="L200" s="631" t="s">
        <v>1415</v>
      </c>
    </row>
    <row r="201" spans="2:12" ht="15" customHeight="1" x14ac:dyDescent="0.25">
      <c r="B201" s="1064"/>
      <c r="C201" s="1065"/>
      <c r="D201" s="1065"/>
      <c r="E201" s="1065"/>
      <c r="F201" s="1065"/>
      <c r="G201" s="1065"/>
      <c r="H201" s="1065"/>
      <c r="I201" s="1065"/>
      <c r="J201" s="1065"/>
      <c r="K201" s="1065"/>
      <c r="L201" s="1066"/>
    </row>
    <row r="202" spans="2:12" ht="15" customHeight="1" x14ac:dyDescent="0.25">
      <c r="B202" s="620" t="s">
        <v>1</v>
      </c>
      <c r="C202" s="1059" t="s">
        <v>1444</v>
      </c>
      <c r="D202" s="1059"/>
      <c r="E202" s="1059"/>
      <c r="F202" s="1059"/>
      <c r="G202" s="1059"/>
      <c r="H202" s="1059"/>
      <c r="I202" s="1059"/>
      <c r="J202" s="1059"/>
      <c r="K202" s="1059"/>
      <c r="L202" s="1060"/>
    </row>
    <row r="203" spans="2:12" ht="15" customHeight="1" x14ac:dyDescent="0.25">
      <c r="B203" s="615"/>
      <c r="C203" s="624">
        <v>1</v>
      </c>
      <c r="D203" s="1044" t="s">
        <v>1550</v>
      </c>
      <c r="E203" s="1044"/>
      <c r="F203" s="1044"/>
      <c r="G203" s="1044"/>
      <c r="H203" s="1044"/>
      <c r="I203" s="1044"/>
      <c r="J203" s="1044"/>
      <c r="K203" s="1044"/>
      <c r="L203" s="1045"/>
    </row>
    <row r="204" spans="2:12" ht="15" customHeight="1" x14ac:dyDescent="0.25">
      <c r="B204" s="615"/>
      <c r="C204" s="150"/>
      <c r="D204" s="142" t="s">
        <v>1437</v>
      </c>
      <c r="E204" s="1044" t="s">
        <v>1446</v>
      </c>
      <c r="F204" s="1044"/>
      <c r="G204" s="1044"/>
      <c r="H204" s="1044"/>
      <c r="I204" s="1044"/>
      <c r="J204" s="1044"/>
      <c r="K204" s="1044"/>
      <c r="L204" s="1045"/>
    </row>
    <row r="205" spans="2:12" ht="15" customHeight="1" x14ac:dyDescent="0.25">
      <c r="B205" s="615"/>
      <c r="C205" s="150"/>
      <c r="D205" s="625" t="s">
        <v>1466</v>
      </c>
      <c r="E205" s="1044" t="s">
        <v>1447</v>
      </c>
      <c r="F205" s="1044"/>
      <c r="G205" s="1044"/>
      <c r="H205" s="1044"/>
      <c r="I205" s="1044"/>
      <c r="J205" s="1044"/>
      <c r="K205" s="1044"/>
      <c r="L205" s="1045"/>
    </row>
    <row r="206" spans="2:12" ht="15" customHeight="1" x14ac:dyDescent="0.25">
      <c r="B206" s="615"/>
      <c r="C206" s="150"/>
      <c r="D206" s="625" t="s">
        <v>1464</v>
      </c>
      <c r="E206" s="1044" t="s">
        <v>1448</v>
      </c>
      <c r="F206" s="1044"/>
      <c r="G206" s="1044"/>
      <c r="H206" s="1044"/>
      <c r="I206" s="1044"/>
      <c r="J206" s="1044"/>
      <c r="K206" s="1044"/>
      <c r="L206" s="1045"/>
    </row>
    <row r="207" spans="2:12" ht="15" customHeight="1" x14ac:dyDescent="0.25">
      <c r="B207" s="615"/>
      <c r="C207" s="624">
        <v>2</v>
      </c>
      <c r="D207" s="1044" t="s">
        <v>1449</v>
      </c>
      <c r="E207" s="1044"/>
      <c r="F207" s="1044"/>
      <c r="G207" s="1044"/>
      <c r="H207" s="1044"/>
      <c r="I207" s="1044"/>
      <c r="J207" s="1044"/>
      <c r="K207" s="1044"/>
      <c r="L207" s="1045"/>
    </row>
    <row r="208" spans="2:12" ht="27.95" customHeight="1" x14ac:dyDescent="0.25">
      <c r="B208" s="615"/>
      <c r="C208" s="150">
        <v>3</v>
      </c>
      <c r="D208" s="1044" t="s">
        <v>1450</v>
      </c>
      <c r="E208" s="1044"/>
      <c r="F208" s="1044"/>
      <c r="G208" s="1044"/>
      <c r="H208" s="1044"/>
      <c r="I208" s="1044"/>
      <c r="J208" s="1044"/>
      <c r="K208" s="1044"/>
      <c r="L208" s="1045"/>
    </row>
    <row r="209" spans="2:12" ht="15" customHeight="1" x14ac:dyDescent="0.25">
      <c r="B209" s="615"/>
      <c r="C209" s="150"/>
      <c r="D209" s="625" t="s">
        <v>1437</v>
      </c>
      <c r="E209" s="1044" t="s">
        <v>1451</v>
      </c>
      <c r="F209" s="1044"/>
      <c r="G209" s="1044"/>
      <c r="H209" s="1044"/>
      <c r="I209" s="1044"/>
      <c r="J209" s="1044"/>
      <c r="K209" s="1044"/>
      <c r="L209" s="1045"/>
    </row>
    <row r="210" spans="2:12" ht="15" customHeight="1" x14ac:dyDescent="0.25">
      <c r="B210" s="615"/>
      <c r="C210" s="150"/>
      <c r="D210" s="625" t="s">
        <v>1466</v>
      </c>
      <c r="E210" s="1044" t="s">
        <v>1452</v>
      </c>
      <c r="F210" s="1044"/>
      <c r="G210" s="1044"/>
      <c r="H210" s="1044"/>
      <c r="I210" s="1044"/>
      <c r="J210" s="1044"/>
      <c r="K210" s="1044"/>
      <c r="L210" s="1045"/>
    </row>
    <row r="211" spans="2:12" ht="15" customHeight="1" x14ac:dyDescent="0.25">
      <c r="B211" s="615"/>
      <c r="C211" s="150"/>
      <c r="D211" s="142" t="s">
        <v>1464</v>
      </c>
      <c r="E211" s="1044" t="s">
        <v>1453</v>
      </c>
      <c r="F211" s="1044"/>
      <c r="G211" s="1044"/>
      <c r="H211" s="1044"/>
      <c r="I211" s="1044"/>
      <c r="J211" s="1044"/>
      <c r="K211" s="1044"/>
      <c r="L211" s="1045"/>
    </row>
    <row r="212" spans="2:12" ht="15" customHeight="1" x14ac:dyDescent="0.25">
      <c r="B212" s="615"/>
      <c r="C212" s="150"/>
      <c r="D212" s="142" t="s">
        <v>1465</v>
      </c>
      <c r="E212" s="1044" t="s">
        <v>1454</v>
      </c>
      <c r="F212" s="1044"/>
      <c r="G212" s="1044"/>
      <c r="H212" s="1044"/>
      <c r="I212" s="1044"/>
      <c r="J212" s="1044"/>
      <c r="K212" s="1044"/>
      <c r="L212" s="1045"/>
    </row>
    <row r="213" spans="2:12" ht="15" customHeight="1" x14ac:dyDescent="0.25">
      <c r="B213" s="615"/>
      <c r="C213" s="624">
        <v>4</v>
      </c>
      <c r="D213" s="1044" t="s">
        <v>1551</v>
      </c>
      <c r="E213" s="1044"/>
      <c r="F213" s="1044"/>
      <c r="G213" s="1044"/>
      <c r="H213" s="1044"/>
      <c r="I213" s="1044"/>
      <c r="J213" s="1044"/>
      <c r="K213" s="1044"/>
      <c r="L213" s="1045"/>
    </row>
    <row r="214" spans="2:12" ht="27.95" customHeight="1" x14ac:dyDescent="0.25">
      <c r="B214" s="615"/>
      <c r="C214" s="150"/>
      <c r="D214" s="142" t="s">
        <v>1437</v>
      </c>
      <c r="E214" s="1044" t="s">
        <v>1456</v>
      </c>
      <c r="F214" s="1044"/>
      <c r="G214" s="1044"/>
      <c r="H214" s="1044"/>
      <c r="I214" s="1044"/>
      <c r="J214" s="1044"/>
      <c r="K214" s="1044"/>
      <c r="L214" s="1045"/>
    </row>
    <row r="215" spans="2:12" ht="15" customHeight="1" x14ac:dyDescent="0.25">
      <c r="B215" s="1063"/>
      <c r="C215" s="1059"/>
      <c r="D215" s="1059"/>
      <c r="E215" s="1059"/>
      <c r="F215" s="1059"/>
      <c r="G215" s="1059"/>
      <c r="H215" s="1059"/>
      <c r="I215" s="1059"/>
      <c r="J215" s="1059"/>
      <c r="K215" s="1059"/>
      <c r="L215" s="1060"/>
    </row>
    <row r="216" spans="2:12" ht="15" customHeight="1" x14ac:dyDescent="0.25">
      <c r="B216" s="620" t="s">
        <v>2</v>
      </c>
      <c r="C216" s="1059" t="s">
        <v>1467</v>
      </c>
      <c r="D216" s="1059"/>
      <c r="E216" s="1059"/>
      <c r="F216" s="1059"/>
      <c r="G216" s="1059"/>
      <c r="H216" s="1059"/>
      <c r="I216" s="1059"/>
      <c r="J216" s="1059"/>
      <c r="K216" s="1059"/>
      <c r="L216" s="1060"/>
    </row>
    <row r="217" spans="2:12" ht="15" customHeight="1" x14ac:dyDescent="0.25">
      <c r="B217" s="615"/>
      <c r="C217" s="624">
        <v>1</v>
      </c>
      <c r="D217" s="1052" t="s">
        <v>1552</v>
      </c>
      <c r="E217" s="1052"/>
      <c r="F217" s="1052"/>
      <c r="G217" s="1052"/>
      <c r="H217" s="1052"/>
      <c r="I217" s="1052"/>
      <c r="J217" s="1052"/>
      <c r="K217" s="1052"/>
      <c r="L217" s="1053"/>
    </row>
    <row r="218" spans="2:12" ht="15" customHeight="1" x14ac:dyDescent="0.25">
      <c r="B218" s="615"/>
      <c r="C218" s="150">
        <v>2</v>
      </c>
      <c r="D218" s="1052" t="s">
        <v>1468</v>
      </c>
      <c r="E218" s="1052"/>
      <c r="F218" s="1052"/>
      <c r="G218" s="1052"/>
      <c r="H218" s="1052"/>
      <c r="I218" s="1052"/>
      <c r="J218" s="1052"/>
      <c r="K218" s="1052"/>
      <c r="L218" s="1053"/>
    </row>
    <row r="219" spans="2:12" ht="27.95" customHeight="1" x14ac:dyDescent="0.25">
      <c r="B219" s="615"/>
      <c r="C219" s="150">
        <v>3</v>
      </c>
      <c r="D219" s="1052" t="s">
        <v>1469</v>
      </c>
      <c r="E219" s="1052"/>
      <c r="F219" s="1052"/>
      <c r="G219" s="1052"/>
      <c r="H219" s="1052"/>
      <c r="I219" s="1052"/>
      <c r="J219" s="1052"/>
      <c r="K219" s="1052"/>
      <c r="L219" s="1053"/>
    </row>
    <row r="220" spans="2:12" ht="15" customHeight="1" x14ac:dyDescent="0.25">
      <c r="B220" s="615"/>
      <c r="C220" s="150">
        <v>4</v>
      </c>
      <c r="D220" s="1052" t="s">
        <v>1470</v>
      </c>
      <c r="E220" s="1052"/>
      <c r="F220" s="1052"/>
      <c r="G220" s="1052"/>
      <c r="H220" s="1052"/>
      <c r="I220" s="1052"/>
      <c r="J220" s="1052"/>
      <c r="K220" s="1052"/>
      <c r="L220" s="1053"/>
    </row>
    <row r="221" spans="2:12" x14ac:dyDescent="0.25">
      <c r="B221" s="615"/>
      <c r="C221" s="1061"/>
      <c r="D221" s="1061"/>
      <c r="E221" s="1061"/>
      <c r="F221" s="1061"/>
      <c r="G221" s="1061"/>
      <c r="H221" s="1061"/>
      <c r="I221" s="1061"/>
      <c r="J221" s="1061"/>
      <c r="K221" s="1061"/>
      <c r="L221" s="1062"/>
    </row>
    <row r="222" spans="2:12" ht="15" customHeight="1" x14ac:dyDescent="0.25">
      <c r="B222" s="620" t="s">
        <v>3</v>
      </c>
      <c r="C222" s="1059" t="s">
        <v>1471</v>
      </c>
      <c r="D222" s="1059"/>
      <c r="E222" s="1059"/>
      <c r="F222" s="1059"/>
      <c r="G222" s="1059"/>
      <c r="H222" s="1059"/>
      <c r="I222" s="1059"/>
      <c r="J222" s="1059"/>
      <c r="K222" s="1059"/>
      <c r="L222" s="1060"/>
    </row>
    <row r="223" spans="2:12" ht="15" customHeight="1" x14ac:dyDescent="0.25">
      <c r="B223" s="615"/>
      <c r="C223" s="150">
        <v>1</v>
      </c>
      <c r="D223" s="1044" t="s">
        <v>1472</v>
      </c>
      <c r="E223" s="1044"/>
      <c r="F223" s="1044"/>
      <c r="G223" s="1044"/>
      <c r="H223" s="1044"/>
      <c r="I223" s="1044"/>
      <c r="J223" s="1044"/>
      <c r="K223" s="1044"/>
      <c r="L223" s="1045"/>
    </row>
    <row r="224" spans="2:12" ht="27.95" customHeight="1" x14ac:dyDescent="0.25">
      <c r="B224" s="615"/>
      <c r="C224" s="624">
        <v>2</v>
      </c>
      <c r="D224" s="1044" t="s">
        <v>1473</v>
      </c>
      <c r="E224" s="1044"/>
      <c r="F224" s="1044"/>
      <c r="G224" s="1044"/>
      <c r="H224" s="1044"/>
      <c r="I224" s="1044"/>
      <c r="J224" s="1044"/>
      <c r="K224" s="1044"/>
      <c r="L224" s="1045"/>
    </row>
    <row r="225" spans="2:12" ht="15" customHeight="1" x14ac:dyDescent="0.25">
      <c r="B225" s="615"/>
      <c r="C225" s="624">
        <v>3</v>
      </c>
      <c r="D225" s="1044" t="s">
        <v>1553</v>
      </c>
      <c r="E225" s="1044"/>
      <c r="F225" s="1044"/>
      <c r="G225" s="1044"/>
      <c r="H225" s="1044"/>
      <c r="I225" s="1044"/>
      <c r="J225" s="1044"/>
      <c r="K225" s="1044"/>
      <c r="L225" s="1045"/>
    </row>
    <row r="226" spans="2:12" ht="15" customHeight="1" x14ac:dyDescent="0.25">
      <c r="B226" s="615"/>
      <c r="C226" s="150">
        <v>4</v>
      </c>
      <c r="D226" s="1044" t="s">
        <v>1475</v>
      </c>
      <c r="E226" s="1044"/>
      <c r="F226" s="1044"/>
      <c r="G226" s="1044"/>
      <c r="H226" s="1044"/>
      <c r="I226" s="1044"/>
      <c r="J226" s="1044"/>
      <c r="K226" s="1044"/>
      <c r="L226" s="1045"/>
    </row>
    <row r="227" spans="2:12" ht="15" customHeight="1" x14ac:dyDescent="0.25">
      <c r="B227" s="615"/>
      <c r="C227" s="616"/>
      <c r="D227" s="616"/>
      <c r="E227" s="616"/>
      <c r="F227" s="616"/>
      <c r="G227" s="616"/>
      <c r="H227" s="616"/>
      <c r="I227" s="616"/>
      <c r="J227" s="616"/>
      <c r="K227" s="616"/>
      <c r="L227" s="617"/>
    </row>
    <row r="228" spans="2:12" ht="27.95" customHeight="1" x14ac:dyDescent="0.25">
      <c r="B228" s="620" t="s">
        <v>67</v>
      </c>
      <c r="C228" s="1059" t="s">
        <v>1476</v>
      </c>
      <c r="D228" s="1059"/>
      <c r="E228" s="1059"/>
      <c r="F228" s="1059"/>
      <c r="G228" s="1059"/>
      <c r="H228" s="1059"/>
      <c r="I228" s="1059"/>
      <c r="J228" s="1059"/>
      <c r="K228" s="1059"/>
      <c r="L228" s="1060"/>
    </row>
    <row r="229" spans="2:12" ht="15" customHeight="1" x14ac:dyDescent="0.25">
      <c r="B229" s="615"/>
      <c r="C229" s="624">
        <v>1</v>
      </c>
      <c r="D229" s="1044" t="s">
        <v>1554</v>
      </c>
      <c r="E229" s="1044"/>
      <c r="F229" s="1044"/>
      <c r="G229" s="1044"/>
      <c r="H229" s="1044"/>
      <c r="I229" s="1044"/>
      <c r="J229" s="1044"/>
      <c r="K229" s="1044"/>
      <c r="L229" s="1045"/>
    </row>
    <row r="230" spans="2:12" ht="15" customHeight="1" x14ac:dyDescent="0.25">
      <c r="B230" s="615"/>
      <c r="C230" s="624">
        <v>2</v>
      </c>
      <c r="D230" s="1044" t="s">
        <v>1555</v>
      </c>
      <c r="E230" s="1044"/>
      <c r="F230" s="1044"/>
      <c r="G230" s="1044"/>
      <c r="H230" s="1044"/>
      <c r="I230" s="1044"/>
      <c r="J230" s="1044"/>
      <c r="K230" s="1044"/>
      <c r="L230" s="1045"/>
    </row>
    <row r="231" spans="2:12" ht="15.75" customHeight="1" x14ac:dyDescent="0.25">
      <c r="B231" s="615"/>
      <c r="C231" s="150">
        <v>3</v>
      </c>
      <c r="D231" s="1044" t="s">
        <v>1478</v>
      </c>
      <c r="E231" s="1044"/>
      <c r="F231" s="1044"/>
      <c r="G231" s="1044"/>
      <c r="H231" s="1044"/>
      <c r="I231" s="1044"/>
      <c r="J231" s="1044"/>
      <c r="K231" s="1044"/>
      <c r="L231" s="1045"/>
    </row>
    <row r="232" spans="2:12" x14ac:dyDescent="0.25">
      <c r="B232" s="615"/>
      <c r="C232" s="150"/>
      <c r="D232" s="622"/>
      <c r="E232" s="622"/>
      <c r="F232" s="622"/>
      <c r="G232" s="622"/>
      <c r="H232" s="622"/>
      <c r="I232" s="622"/>
      <c r="J232" s="622"/>
      <c r="K232" s="622"/>
      <c r="L232" s="623"/>
    </row>
    <row r="233" spans="2:12" ht="15.75" customHeight="1" x14ac:dyDescent="0.25">
      <c r="B233" s="620" t="s">
        <v>1479</v>
      </c>
      <c r="C233" s="1059" t="s">
        <v>1480</v>
      </c>
      <c r="D233" s="1059"/>
      <c r="E233" s="1059"/>
      <c r="F233" s="1059"/>
      <c r="G233" s="1059"/>
      <c r="H233" s="1059"/>
      <c r="I233" s="1059"/>
      <c r="J233" s="1059"/>
      <c r="K233" s="1059"/>
      <c r="L233" s="1060"/>
    </row>
    <row r="234" spans="2:12" ht="15" customHeight="1" x14ac:dyDescent="0.25">
      <c r="B234" s="615"/>
      <c r="C234" s="150">
        <v>1</v>
      </c>
      <c r="D234" s="1044" t="s">
        <v>1423</v>
      </c>
      <c r="E234" s="1044"/>
      <c r="F234" s="1044"/>
      <c r="G234" s="1044"/>
      <c r="H234" s="1044"/>
      <c r="I234" s="1044"/>
      <c r="J234" s="1044"/>
      <c r="K234" s="1044"/>
      <c r="L234" s="1045"/>
    </row>
    <row r="235" spans="2:12" ht="15" customHeight="1" x14ac:dyDescent="0.25">
      <c r="B235" s="615"/>
      <c r="C235" s="150">
        <v>2</v>
      </c>
      <c r="D235" s="1095" t="s">
        <v>1556</v>
      </c>
      <c r="E235" s="1095"/>
      <c r="F235" s="1095"/>
      <c r="G235" s="1095"/>
      <c r="H235" s="1095"/>
      <c r="I235" s="1095"/>
      <c r="J235" s="1095"/>
      <c r="K235" s="1095"/>
      <c r="L235" s="1096"/>
    </row>
    <row r="236" spans="2:12" ht="15" customHeight="1" x14ac:dyDescent="0.25">
      <c r="B236" s="615"/>
      <c r="C236" s="150">
        <v>3</v>
      </c>
      <c r="D236" s="1044" t="s">
        <v>1424</v>
      </c>
      <c r="E236" s="1044"/>
      <c r="F236" s="1044"/>
      <c r="G236" s="1044"/>
      <c r="H236" s="1044"/>
      <c r="I236" s="1044"/>
      <c r="J236" s="1044"/>
      <c r="K236" s="1044"/>
      <c r="L236" s="1045"/>
    </row>
    <row r="237" spans="2:12" ht="15.75" customHeight="1" x14ac:dyDescent="0.25">
      <c r="B237" s="615"/>
      <c r="C237" s="150">
        <v>4</v>
      </c>
      <c r="D237" s="1044" t="s">
        <v>1485</v>
      </c>
      <c r="E237" s="1044"/>
      <c r="F237" s="1044"/>
      <c r="G237" s="1044"/>
      <c r="H237" s="1044"/>
      <c r="I237" s="1044"/>
      <c r="J237" s="1044"/>
      <c r="K237" s="1044"/>
      <c r="L237" s="1045"/>
    </row>
    <row r="238" spans="2:12" ht="15.75" customHeight="1" x14ac:dyDescent="0.25">
      <c r="B238" s="615"/>
      <c r="C238" s="150">
        <v>5</v>
      </c>
      <c r="D238" s="1044" t="s">
        <v>1486</v>
      </c>
      <c r="E238" s="1044"/>
      <c r="F238" s="1044"/>
      <c r="G238" s="1044"/>
      <c r="H238" s="1044"/>
      <c r="I238" s="1044"/>
      <c r="J238" s="1044"/>
      <c r="K238" s="1044"/>
      <c r="L238" s="1045"/>
    </row>
    <row r="239" spans="2:12" ht="15.75" customHeight="1" x14ac:dyDescent="0.25">
      <c r="B239" s="615"/>
      <c r="C239" s="616"/>
      <c r="D239" s="616"/>
      <c r="E239" s="616"/>
      <c r="F239" s="616"/>
      <c r="G239" s="616"/>
      <c r="H239" s="616"/>
      <c r="I239" s="616"/>
      <c r="J239" s="616"/>
      <c r="K239" s="616"/>
      <c r="L239" s="617"/>
    </row>
    <row r="240" spans="2:12" ht="15.75" customHeight="1" x14ac:dyDescent="0.25">
      <c r="B240" s="620" t="s">
        <v>1481</v>
      </c>
      <c r="C240" s="1059" t="s">
        <v>1482</v>
      </c>
      <c r="D240" s="1059"/>
      <c r="E240" s="1059"/>
      <c r="F240" s="1059"/>
      <c r="G240" s="1059"/>
      <c r="H240" s="1059"/>
      <c r="I240" s="1059"/>
      <c r="J240" s="1059"/>
      <c r="K240" s="1059"/>
      <c r="L240" s="1060"/>
    </row>
    <row r="241" spans="2:12" ht="15.75" customHeight="1" x14ac:dyDescent="0.25">
      <c r="B241" s="619"/>
      <c r="C241" s="634">
        <v>1</v>
      </c>
      <c r="D241" s="1044" t="s">
        <v>1483</v>
      </c>
      <c r="E241" s="1044"/>
      <c r="F241" s="1044"/>
      <c r="G241" s="1044"/>
      <c r="H241" s="1044"/>
      <c r="I241" s="1044"/>
      <c r="J241" s="1044"/>
      <c r="K241" s="1044"/>
      <c r="L241" s="1045"/>
    </row>
    <row r="242" spans="2:12" ht="15.75" customHeight="1" x14ac:dyDescent="0.25">
      <c r="B242" s="615"/>
      <c r="C242" s="150">
        <v>2</v>
      </c>
      <c r="D242" s="1044" t="s">
        <v>1484</v>
      </c>
      <c r="E242" s="1044"/>
      <c r="F242" s="1044"/>
      <c r="G242" s="1044"/>
      <c r="H242" s="1044"/>
      <c r="I242" s="1044"/>
      <c r="J242" s="1044"/>
      <c r="K242" s="1044"/>
      <c r="L242" s="1045"/>
    </row>
    <row r="243" spans="2:12" ht="15" customHeight="1" x14ac:dyDescent="0.25">
      <c r="B243" s="615"/>
      <c r="C243" s="616"/>
      <c r="D243" s="142" t="s">
        <v>1437</v>
      </c>
      <c r="E243" s="1052" t="s">
        <v>1557</v>
      </c>
      <c r="F243" s="1052"/>
      <c r="G243" s="1052"/>
      <c r="H243" s="1052"/>
      <c r="I243" s="1052"/>
      <c r="J243" s="1052"/>
      <c r="K243" s="1052"/>
      <c r="L243" s="1053"/>
    </row>
    <row r="244" spans="2:12" ht="24.95" customHeight="1" x14ac:dyDescent="0.25">
      <c r="B244" s="615"/>
      <c r="C244" s="150">
        <v>3</v>
      </c>
      <c r="D244" s="1052" t="s">
        <v>1487</v>
      </c>
      <c r="E244" s="1052"/>
      <c r="F244" s="1052"/>
      <c r="G244" s="1052"/>
      <c r="H244" s="1052"/>
      <c r="I244" s="1052"/>
      <c r="J244" s="1052"/>
      <c r="K244" s="1052"/>
      <c r="L244" s="1053"/>
    </row>
    <row r="245" spans="2:12" ht="37.5" customHeight="1" thickBot="1" x14ac:dyDescent="0.3">
      <c r="B245" s="607"/>
      <c r="C245" s="608"/>
      <c r="D245" s="608"/>
      <c r="E245" s="608"/>
      <c r="F245" s="608"/>
      <c r="G245" s="608"/>
      <c r="H245" s="608"/>
      <c r="I245" s="608"/>
      <c r="J245" s="608"/>
      <c r="K245" s="608"/>
      <c r="L245" s="377"/>
    </row>
    <row r="246" spans="2:12" ht="15.75" customHeight="1" thickBot="1" x14ac:dyDescent="0.3">
      <c r="B246" s="1054" t="s">
        <v>1010</v>
      </c>
      <c r="C246" s="1055"/>
      <c r="D246" s="1056"/>
      <c r="E246" s="1020"/>
      <c r="F246" s="1021"/>
      <c r="G246" s="1021"/>
      <c r="H246" s="1021"/>
      <c r="I246" s="1021"/>
      <c r="J246" s="1022"/>
      <c r="K246" s="378" t="s">
        <v>1008</v>
      </c>
      <c r="L246" s="631" t="s">
        <v>1416</v>
      </c>
    </row>
    <row r="247" spans="2:12" ht="15" customHeight="1" x14ac:dyDescent="0.25">
      <c r="B247" s="615">
        <v>1</v>
      </c>
      <c r="C247" s="616"/>
      <c r="D247" s="1057" t="s">
        <v>1558</v>
      </c>
      <c r="E247" s="1057"/>
      <c r="F247" s="1057"/>
      <c r="G247" s="1057"/>
      <c r="H247" s="1057"/>
      <c r="I247" s="1057"/>
      <c r="J247" s="1057"/>
      <c r="K247" s="1057"/>
      <c r="L247" s="1058"/>
    </row>
    <row r="248" spans="2:12" ht="15.75" customHeight="1" x14ac:dyDescent="0.25">
      <c r="B248" s="615">
        <v>2</v>
      </c>
      <c r="C248" s="616"/>
      <c r="D248" s="1044" t="s">
        <v>1030</v>
      </c>
      <c r="E248" s="1044"/>
      <c r="F248" s="1044"/>
      <c r="G248" s="1044"/>
      <c r="H248" s="1044"/>
      <c r="I248" s="1044"/>
      <c r="J248" s="1044"/>
      <c r="K248" s="1044"/>
      <c r="L248" s="1045"/>
    </row>
    <row r="249" spans="2:12" ht="15.75" customHeight="1" x14ac:dyDescent="0.25">
      <c r="B249" s="633">
        <v>3</v>
      </c>
      <c r="C249" s="616"/>
      <c r="D249" s="1044" t="s">
        <v>1490</v>
      </c>
      <c r="E249" s="1044"/>
      <c r="F249" s="1044"/>
      <c r="G249" s="1044"/>
      <c r="H249" s="1044"/>
      <c r="I249" s="1044"/>
      <c r="J249" s="1044"/>
      <c r="K249" s="1044"/>
      <c r="L249" s="1045"/>
    </row>
    <row r="250" spans="2:12" ht="26.1" customHeight="1" x14ac:dyDescent="0.25">
      <c r="B250" s="633">
        <v>4</v>
      </c>
      <c r="C250" s="616"/>
      <c r="D250" s="1044" t="s">
        <v>1491</v>
      </c>
      <c r="E250" s="1044"/>
      <c r="F250" s="1044"/>
      <c r="G250" s="1044"/>
      <c r="H250" s="1044"/>
      <c r="I250" s="1044"/>
      <c r="J250" s="1044"/>
      <c r="K250" s="1044"/>
      <c r="L250" s="1045"/>
    </row>
    <row r="251" spans="2:12" x14ac:dyDescent="0.25">
      <c r="B251" s="615">
        <v>5</v>
      </c>
      <c r="C251" s="616"/>
      <c r="D251" s="1044" t="s">
        <v>1492</v>
      </c>
      <c r="E251" s="1044"/>
      <c r="F251" s="1044"/>
      <c r="G251" s="1044"/>
      <c r="H251" s="1044"/>
      <c r="I251" s="1044"/>
      <c r="J251" s="1044"/>
      <c r="K251" s="1044"/>
      <c r="L251" s="1045"/>
    </row>
    <row r="252" spans="2:12" x14ac:dyDescent="0.25">
      <c r="B252" s="615">
        <v>6</v>
      </c>
      <c r="C252" s="616"/>
      <c r="D252" s="1044" t="s">
        <v>1493</v>
      </c>
      <c r="E252" s="1044"/>
      <c r="F252" s="1044"/>
      <c r="G252" s="1044"/>
      <c r="H252" s="1044"/>
      <c r="I252" s="1044"/>
      <c r="J252" s="1044"/>
      <c r="K252" s="1044"/>
      <c r="L252" s="1045"/>
    </row>
    <row r="253" spans="2:12" ht="15" customHeight="1" x14ac:dyDescent="0.25">
      <c r="B253" s="615">
        <v>7</v>
      </c>
      <c r="C253" s="616"/>
      <c r="D253" s="1044" t="s">
        <v>1494</v>
      </c>
      <c r="E253" s="1044"/>
      <c r="F253" s="1044"/>
      <c r="G253" s="1044"/>
      <c r="H253" s="1044"/>
      <c r="I253" s="1044"/>
      <c r="J253" s="1044"/>
      <c r="K253" s="1044"/>
      <c r="L253" s="1045"/>
    </row>
    <row r="254" spans="2:12" ht="15" customHeight="1" x14ac:dyDescent="0.25">
      <c r="B254" s="633">
        <v>8</v>
      </c>
      <c r="C254" s="616"/>
      <c r="D254" s="1044" t="s">
        <v>1488</v>
      </c>
      <c r="E254" s="1044"/>
      <c r="F254" s="1044"/>
      <c r="G254" s="1044"/>
      <c r="H254" s="1044"/>
      <c r="I254" s="1044"/>
      <c r="J254" s="1044"/>
      <c r="K254" s="1044"/>
      <c r="L254" s="1045"/>
    </row>
    <row r="255" spans="2:12" ht="15" customHeight="1" thickBot="1" x14ac:dyDescent="0.3">
      <c r="B255" s="1046"/>
      <c r="C255" s="1047"/>
      <c r="D255" s="1047"/>
      <c r="E255" s="1047"/>
      <c r="F255" s="1047"/>
      <c r="G255" s="1047"/>
      <c r="H255" s="1047"/>
      <c r="I255" s="1047"/>
      <c r="J255" s="1047"/>
      <c r="K255" s="1047"/>
      <c r="L255" s="1048"/>
    </row>
    <row r="256" spans="2:12" ht="15" customHeight="1" thickBot="1" x14ac:dyDescent="0.3">
      <c r="B256" s="1049" t="s">
        <v>1011</v>
      </c>
      <c r="C256" s="1050"/>
      <c r="D256" s="1050"/>
      <c r="E256" s="1050"/>
      <c r="F256" s="1050"/>
      <c r="G256" s="1050"/>
      <c r="H256" s="1050"/>
      <c r="I256" s="1050"/>
      <c r="J256" s="1050"/>
      <c r="K256" s="1050"/>
      <c r="L256" s="1051"/>
    </row>
    <row r="257" spans="2:12" ht="15.75" thickBot="1" x14ac:dyDescent="0.3">
      <c r="B257" s="629" t="s">
        <v>4</v>
      </c>
      <c r="C257" s="1041" t="s">
        <v>1012</v>
      </c>
      <c r="D257" s="1043"/>
      <c r="E257" s="1041" t="s">
        <v>1013</v>
      </c>
      <c r="F257" s="1043"/>
      <c r="G257" s="1041" t="s">
        <v>1014</v>
      </c>
      <c r="H257" s="1043"/>
      <c r="I257" s="1041" t="s">
        <v>1015</v>
      </c>
      <c r="J257" s="1042"/>
      <c r="K257" s="1042"/>
      <c r="L257" s="1043"/>
    </row>
    <row r="258" spans="2:12" ht="15.75" thickBot="1" x14ac:dyDescent="0.3">
      <c r="B258" s="630">
        <v>1</v>
      </c>
      <c r="C258" s="1020" t="s">
        <v>1016</v>
      </c>
      <c r="D258" s="1022"/>
      <c r="E258" s="1020" t="s">
        <v>1017</v>
      </c>
      <c r="F258" s="1022"/>
      <c r="G258" s="1020" t="s">
        <v>1018</v>
      </c>
      <c r="H258" s="1022"/>
      <c r="I258" s="1020" t="s">
        <v>1019</v>
      </c>
      <c r="J258" s="1021"/>
      <c r="K258" s="1021"/>
      <c r="L258" s="1022"/>
    </row>
    <row r="259" spans="2:12" ht="15.75" thickBot="1" x14ac:dyDescent="0.3">
      <c r="B259" s="630">
        <v>2</v>
      </c>
      <c r="C259" s="1020" t="s">
        <v>1020</v>
      </c>
      <c r="D259" s="1022"/>
      <c r="E259" s="1020" t="s">
        <v>1017</v>
      </c>
      <c r="F259" s="1022"/>
      <c r="G259" s="1020" t="s">
        <v>1021</v>
      </c>
      <c r="H259" s="1022"/>
      <c r="I259" s="1020" t="s">
        <v>1022</v>
      </c>
      <c r="J259" s="1021"/>
      <c r="K259" s="1021"/>
      <c r="L259" s="1022"/>
    </row>
    <row r="260" spans="2:12" ht="15" customHeight="1" thickBot="1" x14ac:dyDescent="0.3">
      <c r="B260" s="630">
        <v>3</v>
      </c>
      <c r="C260" s="1020" t="s">
        <v>1023</v>
      </c>
      <c r="D260" s="1022"/>
      <c r="E260" s="1020" t="s">
        <v>1426</v>
      </c>
      <c r="F260" s="1022"/>
      <c r="G260" s="1020" t="s">
        <v>1024</v>
      </c>
      <c r="H260" s="1022"/>
      <c r="I260" s="1020" t="s">
        <v>1025</v>
      </c>
      <c r="J260" s="1021"/>
      <c r="K260" s="1021"/>
      <c r="L260" s="1022"/>
    </row>
    <row r="261" spans="2:12" ht="15" customHeight="1" thickBot="1" x14ac:dyDescent="0.3">
      <c r="B261" s="1032" t="s">
        <v>1026</v>
      </c>
      <c r="C261" s="1033"/>
      <c r="D261" s="1033"/>
      <c r="E261" s="1033"/>
      <c r="F261" s="1033"/>
      <c r="G261" s="1033"/>
      <c r="H261" s="1033"/>
      <c r="I261" s="1033"/>
      <c r="J261" s="1033"/>
      <c r="K261" s="1033"/>
      <c r="L261" s="1034"/>
    </row>
    <row r="262" spans="2:12" ht="15.75" thickBot="1" x14ac:dyDescent="0.3">
      <c r="B262" s="1035" t="s">
        <v>1027</v>
      </c>
      <c r="C262" s="1036"/>
      <c r="D262" s="1037"/>
      <c r="E262" s="1110" t="s">
        <v>1559</v>
      </c>
      <c r="F262" s="1111"/>
      <c r="G262" s="1111"/>
      <c r="H262" s="1111"/>
      <c r="I262" s="1111"/>
      <c r="J262" s="1111"/>
      <c r="K262" s="1111"/>
      <c r="L262" s="1112"/>
    </row>
    <row r="263" spans="2:12" ht="15.75" thickBot="1" x14ac:dyDescent="0.3">
      <c r="B263" s="1035" t="s">
        <v>1028</v>
      </c>
      <c r="C263" s="1036"/>
      <c r="D263" s="1037"/>
      <c r="E263" s="1110" t="s">
        <v>1560</v>
      </c>
      <c r="F263" s="1111"/>
      <c r="G263" s="1111"/>
      <c r="H263" s="1111"/>
      <c r="I263" s="1111"/>
      <c r="J263" s="1111"/>
      <c r="K263" s="1111"/>
      <c r="L263" s="1112"/>
    </row>
    <row r="264" spans="2:12" ht="15.75" thickBot="1" x14ac:dyDescent="0.3">
      <c r="B264" s="1032" t="s">
        <v>1029</v>
      </c>
      <c r="C264" s="1033"/>
      <c r="D264" s="1033"/>
      <c r="E264" s="1033"/>
      <c r="F264" s="1033"/>
      <c r="G264" s="1033"/>
      <c r="H264" s="1033"/>
      <c r="I264" s="1033"/>
      <c r="J264" s="1033"/>
      <c r="K264" s="1033"/>
      <c r="L264" s="1034"/>
    </row>
    <row r="265" spans="2:12" ht="15.75" thickBot="1" x14ac:dyDescent="0.3">
      <c r="B265" s="629" t="s">
        <v>4</v>
      </c>
      <c r="C265" s="1041" t="s">
        <v>1012</v>
      </c>
      <c r="D265" s="1042"/>
      <c r="E265" s="1043"/>
      <c r="F265" s="1041" t="s">
        <v>1030</v>
      </c>
      <c r="G265" s="1042"/>
      <c r="H265" s="1042"/>
      <c r="I265" s="1042"/>
      <c r="J265" s="1042"/>
      <c r="K265" s="1042"/>
      <c r="L265" s="1043"/>
    </row>
    <row r="266" spans="2:12" ht="15.75" thickBot="1" x14ac:dyDescent="0.3">
      <c r="B266" s="630">
        <v>1</v>
      </c>
      <c r="C266" s="1020" t="s">
        <v>1031</v>
      </c>
      <c r="D266" s="1021"/>
      <c r="E266" s="1022"/>
      <c r="F266" s="1020" t="s">
        <v>1032</v>
      </c>
      <c r="G266" s="1021"/>
      <c r="H266" s="1021"/>
      <c r="I266" s="1021"/>
      <c r="J266" s="1021"/>
      <c r="K266" s="1021"/>
      <c r="L266" s="1022"/>
    </row>
    <row r="267" spans="2:12" ht="15.75" thickBot="1" x14ac:dyDescent="0.3">
      <c r="B267" s="630">
        <v>2</v>
      </c>
      <c r="C267" s="1020" t="s">
        <v>1033</v>
      </c>
      <c r="D267" s="1021"/>
      <c r="E267" s="1022"/>
      <c r="F267" s="1023" t="s">
        <v>1034</v>
      </c>
      <c r="G267" s="1024"/>
      <c r="H267" s="1024"/>
      <c r="I267" s="1024"/>
      <c r="J267" s="1024"/>
      <c r="K267" s="1024"/>
      <c r="L267" s="1025"/>
    </row>
    <row r="268" spans="2:12" ht="15.75" thickBot="1" x14ac:dyDescent="0.3">
      <c r="B268" s="630">
        <v>3</v>
      </c>
      <c r="C268" s="1020" t="s">
        <v>1035</v>
      </c>
      <c r="D268" s="1021"/>
      <c r="E268" s="1022"/>
      <c r="F268" s="1023" t="s">
        <v>1036</v>
      </c>
      <c r="G268" s="1024"/>
      <c r="H268" s="1024"/>
      <c r="I268" s="1024"/>
      <c r="J268" s="1024"/>
      <c r="K268" s="1024"/>
      <c r="L268" s="1025"/>
    </row>
    <row r="269" spans="2:12" ht="15.75" thickBot="1" x14ac:dyDescent="0.3">
      <c r="B269" s="1026"/>
      <c r="C269" s="1027"/>
      <c r="D269" s="1027"/>
      <c r="E269" s="1027"/>
      <c r="F269" s="1027"/>
      <c r="G269" s="1027"/>
      <c r="H269" s="1027"/>
      <c r="I269" s="1027"/>
      <c r="J269" s="1027"/>
      <c r="K269" s="1027"/>
      <c r="L269" s="1028"/>
    </row>
    <row r="270" spans="2:12" x14ac:dyDescent="0.25">
      <c r="B270" s="1029"/>
      <c r="C270" s="1030"/>
      <c r="D270" s="1030"/>
      <c r="E270" s="1030"/>
      <c r="F270" s="1030"/>
      <c r="G270" s="1030"/>
      <c r="H270" s="1030"/>
      <c r="I270" s="1030"/>
      <c r="J270" s="1030"/>
      <c r="K270" s="1030"/>
      <c r="L270" s="1031"/>
    </row>
    <row r="271" spans="2:12" x14ac:dyDescent="0.25">
      <c r="B271" s="1014" t="s">
        <v>1418</v>
      </c>
      <c r="C271" s="1015"/>
      <c r="D271" s="1015"/>
      <c r="E271" s="1015"/>
      <c r="F271" s="1015"/>
      <c r="G271" s="1015"/>
      <c r="H271" s="1015"/>
      <c r="I271" s="1015"/>
      <c r="J271" s="1015"/>
      <c r="K271" s="1015"/>
      <c r="L271" s="1016"/>
    </row>
    <row r="272" spans="2:12" x14ac:dyDescent="0.25">
      <c r="B272" s="1014" t="s">
        <v>1037</v>
      </c>
      <c r="C272" s="1015"/>
      <c r="D272" s="1015"/>
      <c r="E272" s="1015"/>
      <c r="F272" s="1015"/>
      <c r="G272" s="1015"/>
      <c r="H272" s="1015"/>
      <c r="I272" s="1015"/>
      <c r="J272" s="1015"/>
      <c r="K272" s="1015"/>
      <c r="L272" s="1016"/>
    </row>
    <row r="273" spans="2:12" x14ac:dyDescent="0.25">
      <c r="B273" s="1014" t="s">
        <v>1419</v>
      </c>
      <c r="C273" s="1015"/>
      <c r="D273" s="1015"/>
      <c r="E273" s="1015"/>
      <c r="F273" s="1015"/>
      <c r="G273" s="1015"/>
      <c r="H273" s="1015"/>
      <c r="I273" s="1015"/>
      <c r="J273" s="1015"/>
      <c r="K273" s="1015"/>
      <c r="L273" s="1016"/>
    </row>
    <row r="274" spans="2:12" x14ac:dyDescent="0.25">
      <c r="B274" s="1014" t="s">
        <v>1499</v>
      </c>
      <c r="C274" s="1015"/>
      <c r="D274" s="1015"/>
      <c r="E274" s="1015"/>
      <c r="F274" s="1015"/>
      <c r="G274" s="1015"/>
      <c r="H274" s="1015"/>
      <c r="I274" s="1015"/>
      <c r="J274" s="1015"/>
      <c r="K274" s="1015"/>
      <c r="L274" s="1016"/>
    </row>
    <row r="275" spans="2:12" x14ac:dyDescent="0.25">
      <c r="B275" s="1014" t="s">
        <v>1040</v>
      </c>
      <c r="C275" s="1015"/>
      <c r="D275" s="1015"/>
      <c r="E275" s="1015"/>
      <c r="F275" s="1015"/>
      <c r="G275" s="1015"/>
      <c r="H275" s="1015"/>
      <c r="I275" s="1015"/>
      <c r="J275" s="1015"/>
      <c r="K275" s="1015"/>
      <c r="L275" s="1016"/>
    </row>
    <row r="276" spans="2:12" x14ac:dyDescent="0.25">
      <c r="B276" s="1014"/>
      <c r="C276" s="1015"/>
      <c r="D276" s="1015"/>
      <c r="E276" s="1015"/>
      <c r="F276" s="1015"/>
      <c r="G276" s="1015"/>
      <c r="H276" s="1015"/>
      <c r="I276" s="1015"/>
      <c r="J276" s="1015"/>
      <c r="K276" s="1015"/>
      <c r="L276" s="1016"/>
    </row>
    <row r="277" spans="2:12" x14ac:dyDescent="0.25">
      <c r="B277" s="1014"/>
      <c r="C277" s="1015"/>
      <c r="D277" s="1015"/>
      <c r="E277" s="1015"/>
      <c r="F277" s="1015"/>
      <c r="G277" s="1015"/>
      <c r="H277" s="1015"/>
      <c r="I277" s="1015"/>
      <c r="J277" s="1015"/>
      <c r="K277" s="1015"/>
      <c r="L277" s="1016"/>
    </row>
    <row r="278" spans="2:12" x14ac:dyDescent="0.25">
      <c r="B278" s="1014" t="s">
        <v>1498</v>
      </c>
      <c r="C278" s="1015"/>
      <c r="D278" s="1015"/>
      <c r="E278" s="1015"/>
      <c r="F278" s="1015"/>
      <c r="G278" s="1015"/>
      <c r="H278" s="1015"/>
      <c r="I278" s="1015"/>
      <c r="J278" s="1015"/>
      <c r="K278" s="1015"/>
      <c r="L278" s="1016"/>
    </row>
    <row r="279" spans="2:12" x14ac:dyDescent="0.25">
      <c r="B279" s="1014" t="s">
        <v>1500</v>
      </c>
      <c r="C279" s="1015"/>
      <c r="D279" s="1015"/>
      <c r="E279" s="1015"/>
      <c r="F279" s="1015"/>
      <c r="G279" s="1015"/>
      <c r="H279" s="1015"/>
      <c r="I279" s="1015"/>
      <c r="J279" s="1015"/>
      <c r="K279" s="1015"/>
      <c r="L279" s="1016"/>
    </row>
    <row r="280" spans="2:12" x14ac:dyDescent="0.25">
      <c r="B280" s="1014"/>
      <c r="C280" s="1015"/>
      <c r="D280" s="1015"/>
      <c r="E280" s="1015"/>
      <c r="F280" s="1015"/>
      <c r="G280" s="1015"/>
      <c r="H280" s="1015"/>
      <c r="I280" s="1015"/>
      <c r="J280" s="1015"/>
      <c r="K280" s="1015"/>
      <c r="L280" s="1016"/>
    </row>
    <row r="281" spans="2:12" ht="15.75" thickBot="1" x14ac:dyDescent="0.3">
      <c r="B281" s="1017"/>
      <c r="C281" s="1018"/>
      <c r="D281" s="1018"/>
      <c r="E281" s="1018"/>
      <c r="F281" s="1018"/>
      <c r="G281" s="1018"/>
      <c r="H281" s="1018"/>
      <c r="I281" s="1018"/>
      <c r="J281" s="1018"/>
      <c r="K281" s="1018"/>
      <c r="L281" s="1019"/>
    </row>
    <row r="284" spans="2:12" ht="20.25" x14ac:dyDescent="0.3">
      <c r="B284" s="535"/>
      <c r="C284" s="535"/>
      <c r="D284" s="535"/>
      <c r="E284" s="535"/>
      <c r="F284" s="535"/>
      <c r="G284" s="536" t="s">
        <v>1584</v>
      </c>
      <c r="H284" s="535"/>
      <c r="I284" s="535"/>
      <c r="J284" s="535"/>
      <c r="K284" s="535"/>
      <c r="L284" s="535"/>
    </row>
    <row r="285" spans="2:12" ht="20.25" x14ac:dyDescent="0.3">
      <c r="B285" s="535"/>
      <c r="C285" s="535"/>
      <c r="D285" s="535"/>
      <c r="E285" s="535"/>
      <c r="F285" s="535"/>
      <c r="G285" s="537" t="s">
        <v>976</v>
      </c>
      <c r="H285" s="535"/>
      <c r="I285" s="535"/>
      <c r="J285" s="535"/>
      <c r="K285" s="535"/>
      <c r="L285" s="535"/>
    </row>
    <row r="286" spans="2:12" ht="15.75" thickBot="1" x14ac:dyDescent="0.3">
      <c r="B286" s="376"/>
    </row>
    <row r="287" spans="2:12" ht="15.75" thickBot="1" x14ac:dyDescent="0.3">
      <c r="B287" s="1032" t="s">
        <v>977</v>
      </c>
      <c r="C287" s="1033"/>
      <c r="D287" s="1033"/>
      <c r="E287" s="1033"/>
      <c r="F287" s="1033"/>
      <c r="G287" s="1033"/>
      <c r="H287" s="1033"/>
      <c r="I287" s="1033"/>
      <c r="J287" s="1033"/>
      <c r="K287" s="1033"/>
      <c r="L287" s="1034"/>
    </row>
    <row r="288" spans="2:12" ht="15.75" thickBot="1" x14ac:dyDescent="0.3">
      <c r="B288" s="1035" t="s">
        <v>313</v>
      </c>
      <c r="C288" s="1037"/>
      <c r="D288" s="1020" t="s">
        <v>871</v>
      </c>
      <c r="E288" s="1021"/>
      <c r="F288" s="1021"/>
      <c r="G288" s="1022"/>
      <c r="H288" s="1035" t="s">
        <v>978</v>
      </c>
      <c r="I288" s="1037"/>
      <c r="J288" s="1020" t="s">
        <v>979</v>
      </c>
      <c r="K288" s="1021"/>
      <c r="L288" s="1022"/>
    </row>
    <row r="289" spans="2:12" ht="15.75" thickBot="1" x14ac:dyDescent="0.3">
      <c r="B289" s="1035" t="s">
        <v>980</v>
      </c>
      <c r="C289" s="1037"/>
      <c r="D289" s="1020" t="s">
        <v>981</v>
      </c>
      <c r="E289" s="1021"/>
      <c r="F289" s="1021"/>
      <c r="G289" s="1022"/>
      <c r="H289" s="1035" t="s">
        <v>982</v>
      </c>
      <c r="I289" s="1037"/>
      <c r="J289" s="1020" t="s">
        <v>983</v>
      </c>
      <c r="K289" s="1021"/>
      <c r="L289" s="1022"/>
    </row>
    <row r="290" spans="2:12" ht="15.75" thickBot="1" x14ac:dyDescent="0.3">
      <c r="B290" s="1035" t="s">
        <v>984</v>
      </c>
      <c r="C290" s="1037"/>
      <c r="D290" s="1107" t="s">
        <v>1408</v>
      </c>
      <c r="E290" s="1108"/>
      <c r="F290" s="1108"/>
      <c r="G290" s="1109"/>
      <c r="H290" s="1035" t="s">
        <v>38</v>
      </c>
      <c r="I290" s="1037"/>
      <c r="J290" s="1020" t="s">
        <v>753</v>
      </c>
      <c r="K290" s="1021"/>
      <c r="L290" s="1022"/>
    </row>
    <row r="291" spans="2:12" ht="15.75" thickBot="1" x14ac:dyDescent="0.3">
      <c r="B291" s="1035" t="s">
        <v>315</v>
      </c>
      <c r="C291" s="1037"/>
      <c r="D291" s="1020" t="s">
        <v>1501</v>
      </c>
      <c r="E291" s="1021"/>
      <c r="F291" s="1021"/>
      <c r="G291" s="1022"/>
      <c r="H291" s="1035" t="s">
        <v>985</v>
      </c>
      <c r="I291" s="1037"/>
      <c r="J291" s="1020" t="s">
        <v>1154</v>
      </c>
      <c r="K291" s="1021"/>
      <c r="L291" s="1022"/>
    </row>
    <row r="292" spans="2:12" ht="15.75" thickBot="1" x14ac:dyDescent="0.3">
      <c r="B292" s="1035" t="s">
        <v>986</v>
      </c>
      <c r="C292" s="1037"/>
      <c r="D292" s="1020" t="s">
        <v>987</v>
      </c>
      <c r="E292" s="1021"/>
      <c r="F292" s="1021"/>
      <c r="G292" s="1022"/>
      <c r="H292" s="1035" t="s">
        <v>988</v>
      </c>
      <c r="I292" s="1037"/>
      <c r="J292" s="1020" t="s">
        <v>1154</v>
      </c>
      <c r="K292" s="1021"/>
      <c r="L292" s="1022"/>
    </row>
    <row r="293" spans="2:12" ht="15.75" thickBot="1" x14ac:dyDescent="0.3">
      <c r="B293" s="1020"/>
      <c r="C293" s="1021"/>
      <c r="D293" s="1021"/>
      <c r="E293" s="1021"/>
      <c r="F293" s="1021"/>
      <c r="G293" s="1021"/>
      <c r="H293" s="1021"/>
      <c r="I293" s="1021"/>
      <c r="J293" s="1021"/>
      <c r="K293" s="1021"/>
      <c r="L293" s="1022"/>
    </row>
    <row r="294" spans="2:12" x14ac:dyDescent="0.25">
      <c r="B294" s="1100" t="s">
        <v>989</v>
      </c>
      <c r="C294" s="1101"/>
      <c r="D294" s="1102"/>
      <c r="E294" s="1094" t="s">
        <v>1563</v>
      </c>
      <c r="F294" s="1057"/>
      <c r="G294" s="1057"/>
      <c r="H294" s="1057"/>
      <c r="I294" s="1057"/>
      <c r="J294" s="1057"/>
      <c r="K294" s="1057"/>
      <c r="L294" s="1058"/>
    </row>
    <row r="295" spans="2:12" ht="15.75" thickBot="1" x14ac:dyDescent="0.3">
      <c r="B295" s="1104" t="s">
        <v>990</v>
      </c>
      <c r="C295" s="1105"/>
      <c r="D295" s="1106"/>
      <c r="E295" s="1103"/>
      <c r="F295" s="1098"/>
      <c r="G295" s="1098"/>
      <c r="H295" s="1098"/>
      <c r="I295" s="1098"/>
      <c r="J295" s="1098"/>
      <c r="K295" s="1098"/>
      <c r="L295" s="1099"/>
    </row>
    <row r="296" spans="2:12" ht="15.75" thickBot="1" x14ac:dyDescent="0.3">
      <c r="B296" s="1035" t="s">
        <v>991</v>
      </c>
      <c r="C296" s="1036"/>
      <c r="D296" s="1037"/>
      <c r="E296" s="1076" t="s">
        <v>1564</v>
      </c>
      <c r="F296" s="1077"/>
      <c r="G296" s="1077"/>
      <c r="H296" s="1077"/>
      <c r="I296" s="1077"/>
      <c r="J296" s="1077"/>
      <c r="K296" s="1077"/>
      <c r="L296" s="1078"/>
    </row>
    <row r="297" spans="2:12" x14ac:dyDescent="0.25">
      <c r="B297" s="1085" t="s">
        <v>992</v>
      </c>
      <c r="C297" s="1086"/>
      <c r="D297" s="1087"/>
      <c r="E297" s="1094" t="s">
        <v>993</v>
      </c>
      <c r="F297" s="1057"/>
      <c r="G297" s="1057"/>
      <c r="H297" s="1057"/>
      <c r="I297" s="1057"/>
      <c r="J297" s="1057"/>
      <c r="K297" s="1057"/>
      <c r="L297" s="1058"/>
    </row>
    <row r="298" spans="2:12" x14ac:dyDescent="0.25">
      <c r="B298" s="1088"/>
      <c r="C298" s="1089"/>
      <c r="D298" s="1090"/>
      <c r="E298" s="1097" t="s">
        <v>994</v>
      </c>
      <c r="F298" s="1044"/>
      <c r="G298" s="1044"/>
      <c r="H298" s="1044"/>
      <c r="I298" s="1044"/>
      <c r="J298" s="1044"/>
      <c r="K298" s="1044"/>
      <c r="L298" s="1045"/>
    </row>
    <row r="299" spans="2:12" ht="15.75" thickBot="1" x14ac:dyDescent="0.3">
      <c r="B299" s="1091"/>
      <c r="C299" s="1092"/>
      <c r="D299" s="1093"/>
      <c r="E299" s="1097" t="s">
        <v>995</v>
      </c>
      <c r="F299" s="1044"/>
      <c r="G299" s="1044"/>
      <c r="H299" s="1044"/>
      <c r="I299" s="1044"/>
      <c r="J299" s="1044"/>
      <c r="K299" s="1044"/>
      <c r="L299" s="1045"/>
    </row>
    <row r="300" spans="2:12" x14ac:dyDescent="0.25">
      <c r="B300" s="1085" t="s">
        <v>996</v>
      </c>
      <c r="C300" s="1086"/>
      <c r="D300" s="1087"/>
      <c r="E300" s="1094" t="s">
        <v>997</v>
      </c>
      <c r="F300" s="1057"/>
      <c r="G300" s="1057"/>
      <c r="H300" s="1057"/>
      <c r="I300" s="1057"/>
      <c r="J300" s="1057"/>
      <c r="K300" s="1057"/>
      <c r="L300" s="1058"/>
    </row>
    <row r="301" spans="2:12" x14ac:dyDescent="0.25">
      <c r="B301" s="1088"/>
      <c r="C301" s="1089"/>
      <c r="D301" s="1090"/>
      <c r="E301" s="621">
        <v>1</v>
      </c>
      <c r="F301" s="1044" t="s">
        <v>1457</v>
      </c>
      <c r="G301" s="1044"/>
      <c r="H301" s="1044"/>
      <c r="I301" s="1044"/>
      <c r="J301" s="1044"/>
      <c r="K301" s="1044"/>
      <c r="L301" s="1045"/>
    </row>
    <row r="302" spans="2:12" x14ac:dyDescent="0.25">
      <c r="B302" s="1088"/>
      <c r="C302" s="1089"/>
      <c r="D302" s="1090"/>
      <c r="E302" s="621">
        <v>2</v>
      </c>
      <c r="F302" s="1044" t="s">
        <v>1458</v>
      </c>
      <c r="G302" s="1044"/>
      <c r="H302" s="1044"/>
      <c r="I302" s="1044"/>
      <c r="J302" s="1044"/>
      <c r="K302" s="1044"/>
      <c r="L302" s="1045"/>
    </row>
    <row r="303" spans="2:12" x14ac:dyDescent="0.25">
      <c r="B303" s="1088"/>
      <c r="C303" s="1089"/>
      <c r="D303" s="1090"/>
      <c r="E303" s="621">
        <v>3</v>
      </c>
      <c r="F303" s="1044" t="s">
        <v>1459</v>
      </c>
      <c r="G303" s="1044"/>
      <c r="H303" s="1044"/>
      <c r="I303" s="1044"/>
      <c r="J303" s="1044"/>
      <c r="K303" s="1044"/>
      <c r="L303" s="1045"/>
    </row>
    <row r="304" spans="2:12" x14ac:dyDescent="0.25">
      <c r="B304" s="1088"/>
      <c r="C304" s="1089"/>
      <c r="D304" s="1090"/>
      <c r="E304" s="621">
        <v>4</v>
      </c>
      <c r="F304" s="1044" t="s">
        <v>1039</v>
      </c>
      <c r="G304" s="1044"/>
      <c r="H304" s="1044"/>
      <c r="I304" s="1044"/>
      <c r="J304" s="1044"/>
      <c r="K304" s="1044"/>
      <c r="L304" s="1045"/>
    </row>
    <row r="305" spans="2:12" x14ac:dyDescent="0.25">
      <c r="B305" s="1088"/>
      <c r="C305" s="1089"/>
      <c r="D305" s="1090"/>
      <c r="E305" s="621">
        <v>5</v>
      </c>
      <c r="F305" s="1044" t="s">
        <v>1460</v>
      </c>
      <c r="G305" s="1044"/>
      <c r="H305" s="1044"/>
      <c r="I305" s="1044"/>
      <c r="J305" s="1044"/>
      <c r="K305" s="1044"/>
      <c r="L305" s="1045"/>
    </row>
    <row r="306" spans="2:12" x14ac:dyDescent="0.25">
      <c r="B306" s="1088"/>
      <c r="C306" s="1089"/>
      <c r="D306" s="1090"/>
      <c r="E306" s="621">
        <v>6</v>
      </c>
      <c r="F306" s="1044" t="s">
        <v>1461</v>
      </c>
      <c r="G306" s="1044"/>
      <c r="H306" s="1044"/>
      <c r="I306" s="1044"/>
      <c r="J306" s="1044"/>
      <c r="K306" s="1044"/>
      <c r="L306" s="1045"/>
    </row>
    <row r="307" spans="2:12" x14ac:dyDescent="0.25">
      <c r="B307" s="1088"/>
      <c r="C307" s="1089"/>
      <c r="D307" s="1090"/>
      <c r="E307" s="1097" t="s">
        <v>998</v>
      </c>
      <c r="F307" s="1044"/>
      <c r="G307" s="1044"/>
      <c r="H307" s="1044"/>
      <c r="I307" s="1044"/>
      <c r="J307" s="1044"/>
      <c r="K307" s="1044"/>
      <c r="L307" s="1045"/>
    </row>
    <row r="308" spans="2:12" ht="15.75" thickBot="1" x14ac:dyDescent="0.3">
      <c r="B308" s="1091"/>
      <c r="C308" s="1092"/>
      <c r="D308" s="1093"/>
      <c r="E308" s="626">
        <v>1</v>
      </c>
      <c r="F308" s="1098" t="s">
        <v>1462</v>
      </c>
      <c r="G308" s="1098"/>
      <c r="H308" s="1098"/>
      <c r="I308" s="1098"/>
      <c r="J308" s="1098"/>
      <c r="K308" s="1098"/>
      <c r="L308" s="1099"/>
    </row>
    <row r="309" spans="2:12" ht="15.75" thickBot="1" x14ac:dyDescent="0.3">
      <c r="B309" s="1035" t="s">
        <v>999</v>
      </c>
      <c r="C309" s="1036"/>
      <c r="D309" s="1037"/>
      <c r="E309" s="1076" t="s">
        <v>1410</v>
      </c>
      <c r="F309" s="1077"/>
      <c r="G309" s="1077"/>
      <c r="H309" s="1077"/>
      <c r="I309" s="1077"/>
      <c r="J309" s="1077"/>
      <c r="K309" s="1077"/>
      <c r="L309" s="1078"/>
    </row>
    <row r="310" spans="2:12" ht="15.75" thickBot="1" x14ac:dyDescent="0.3">
      <c r="B310" s="1035" t="s">
        <v>629</v>
      </c>
      <c r="C310" s="1036"/>
      <c r="D310" s="1037"/>
      <c r="E310" s="1082" t="s">
        <v>1421</v>
      </c>
      <c r="F310" s="1083"/>
      <c r="G310" s="1083"/>
      <c r="H310" s="1083"/>
      <c r="I310" s="1083"/>
      <c r="J310" s="1083"/>
      <c r="K310" s="1083"/>
      <c r="L310" s="1084"/>
    </row>
    <row r="311" spans="2:12" ht="15.75" thickBot="1" x14ac:dyDescent="0.3">
      <c r="B311" s="1035" t="s">
        <v>1000</v>
      </c>
      <c r="C311" s="1036"/>
      <c r="D311" s="1037"/>
      <c r="E311" s="1076" t="s">
        <v>1420</v>
      </c>
      <c r="F311" s="1077"/>
      <c r="G311" s="1077"/>
      <c r="H311" s="1077"/>
      <c r="I311" s="1077"/>
      <c r="J311" s="1077"/>
      <c r="K311" s="1077"/>
      <c r="L311" s="1078"/>
    </row>
    <row r="312" spans="2:12" ht="15.75" thickBot="1" x14ac:dyDescent="0.3">
      <c r="B312" s="1020"/>
      <c r="C312" s="1021"/>
      <c r="D312" s="1021"/>
      <c r="E312" s="1021"/>
      <c r="F312" s="1021"/>
      <c r="G312" s="1021"/>
      <c r="H312" s="1021"/>
      <c r="I312" s="1021"/>
      <c r="J312" s="1021"/>
      <c r="K312" s="1021"/>
      <c r="L312" s="1022"/>
    </row>
    <row r="313" spans="2:12" ht="15.75" thickBot="1" x14ac:dyDescent="0.3">
      <c r="B313" s="1032" t="s">
        <v>1001</v>
      </c>
      <c r="C313" s="1033"/>
      <c r="D313" s="1033"/>
      <c r="E313" s="1033"/>
      <c r="F313" s="1033"/>
      <c r="G313" s="1033"/>
      <c r="H313" s="1033"/>
      <c r="I313" s="1033"/>
      <c r="J313" s="1033"/>
      <c r="K313" s="1033"/>
      <c r="L313" s="1034"/>
    </row>
    <row r="314" spans="2:12" x14ac:dyDescent="0.25">
      <c r="B314" s="1085" t="s">
        <v>627</v>
      </c>
      <c r="C314" s="1086"/>
      <c r="D314" s="1087"/>
      <c r="E314" s="1094" t="s">
        <v>1463</v>
      </c>
      <c r="F314" s="1057"/>
      <c r="G314" s="1057"/>
      <c r="H314" s="1057"/>
      <c r="I314" s="1057"/>
      <c r="J314" s="1057"/>
      <c r="K314" s="1057"/>
      <c r="L314" s="1058"/>
    </row>
    <row r="315" spans="2:12" x14ac:dyDescent="0.25">
      <c r="B315" s="1088"/>
      <c r="C315" s="1089"/>
      <c r="D315" s="1090"/>
      <c r="E315" s="627">
        <v>1</v>
      </c>
      <c r="F315" s="1095" t="s">
        <v>1565</v>
      </c>
      <c r="G315" s="1095"/>
      <c r="H315" s="1095"/>
      <c r="I315" s="1095"/>
      <c r="J315" s="1095"/>
      <c r="K315" s="1095"/>
      <c r="L315" s="1096"/>
    </row>
    <row r="316" spans="2:12" x14ac:dyDescent="0.25">
      <c r="B316" s="1088"/>
      <c r="C316" s="1089"/>
      <c r="D316" s="1090"/>
      <c r="E316" s="627">
        <v>2</v>
      </c>
      <c r="F316" s="1095" t="s">
        <v>1566</v>
      </c>
      <c r="G316" s="1095"/>
      <c r="H316" s="1095"/>
      <c r="I316" s="1095"/>
      <c r="J316" s="1095"/>
      <c r="K316" s="1095"/>
      <c r="L316" s="1096"/>
    </row>
    <row r="317" spans="2:12" x14ac:dyDescent="0.25">
      <c r="B317" s="1088"/>
      <c r="C317" s="1089"/>
      <c r="D317" s="1090"/>
      <c r="E317" s="627">
        <v>3</v>
      </c>
      <c r="F317" s="1095" t="s">
        <v>1567</v>
      </c>
      <c r="G317" s="1095"/>
      <c r="H317" s="1095"/>
      <c r="I317" s="1095"/>
      <c r="J317" s="1095"/>
      <c r="K317" s="1095"/>
      <c r="L317" s="1096"/>
    </row>
    <row r="318" spans="2:12" ht="15.75" thickBot="1" x14ac:dyDescent="0.3">
      <c r="B318" s="1091"/>
      <c r="C318" s="1092"/>
      <c r="D318" s="1093"/>
      <c r="E318" s="627">
        <v>4</v>
      </c>
      <c r="F318" s="1095" t="s">
        <v>1568</v>
      </c>
      <c r="G318" s="1095"/>
      <c r="H318" s="1095"/>
      <c r="I318" s="1095"/>
      <c r="J318" s="1095"/>
      <c r="K318" s="1095"/>
      <c r="L318" s="1096"/>
    </row>
    <row r="319" spans="2:12" ht="15.75" thickBot="1" x14ac:dyDescent="0.3">
      <c r="B319" s="1035" t="s">
        <v>1002</v>
      </c>
      <c r="C319" s="1036"/>
      <c r="D319" s="1037"/>
      <c r="E319" s="1076" t="s">
        <v>1569</v>
      </c>
      <c r="F319" s="1077"/>
      <c r="G319" s="1077"/>
      <c r="H319" s="1077"/>
      <c r="I319" s="1077"/>
      <c r="J319" s="1077"/>
      <c r="K319" s="1077"/>
      <c r="L319" s="1078"/>
    </row>
    <row r="320" spans="2:12" ht="15.75" thickBot="1" x14ac:dyDescent="0.3">
      <c r="B320" s="1035" t="s">
        <v>1003</v>
      </c>
      <c r="C320" s="1036"/>
      <c r="D320" s="1037"/>
      <c r="E320" s="1076" t="s">
        <v>1004</v>
      </c>
      <c r="F320" s="1077"/>
      <c r="G320" s="1077"/>
      <c r="H320" s="1077"/>
      <c r="I320" s="1077"/>
      <c r="J320" s="1077"/>
      <c r="K320" s="1077"/>
      <c r="L320" s="1078"/>
    </row>
    <row r="321" spans="2:12" ht="15.75" thickBot="1" x14ac:dyDescent="0.3">
      <c r="B321" s="1035" t="s">
        <v>626</v>
      </c>
      <c r="C321" s="1036"/>
      <c r="D321" s="1037"/>
      <c r="E321" s="1079" t="s">
        <v>1570</v>
      </c>
      <c r="F321" s="1080"/>
      <c r="G321" s="1080"/>
      <c r="H321" s="1080"/>
      <c r="I321" s="1080"/>
      <c r="J321" s="1080"/>
      <c r="K321" s="1080"/>
      <c r="L321" s="1081"/>
    </row>
    <row r="322" spans="2:12" ht="15.75" thickBot="1" x14ac:dyDescent="0.3">
      <c r="B322" s="1020"/>
      <c r="C322" s="1021"/>
      <c r="D322" s="1021"/>
      <c r="E322" s="1021"/>
      <c r="F322" s="1021"/>
      <c r="G322" s="1021"/>
      <c r="H322" s="1021"/>
      <c r="I322" s="1021"/>
      <c r="J322" s="1021"/>
      <c r="K322" s="1021"/>
      <c r="L322" s="1022"/>
    </row>
    <row r="323" spans="2:12" ht="15.75" thickBot="1" x14ac:dyDescent="0.3">
      <c r="B323" s="1032" t="s">
        <v>1005</v>
      </c>
      <c r="C323" s="1033"/>
      <c r="D323" s="1033"/>
      <c r="E323" s="1033"/>
      <c r="F323" s="1033"/>
      <c r="G323" s="1033"/>
      <c r="H323" s="1033"/>
      <c r="I323" s="1033"/>
      <c r="J323" s="1033"/>
      <c r="K323" s="1033"/>
      <c r="L323" s="1034"/>
    </row>
    <row r="324" spans="2:12" ht="15.75" thickBot="1" x14ac:dyDescent="0.3">
      <c r="B324" s="1035" t="s">
        <v>1414</v>
      </c>
      <c r="C324" s="1036"/>
      <c r="D324" s="1036"/>
      <c r="E324" s="1036"/>
      <c r="F324" s="1036"/>
      <c r="G324" s="1036"/>
      <c r="H324" s="1036"/>
      <c r="I324" s="1036"/>
      <c r="J324" s="1036"/>
      <c r="K324" s="1036"/>
      <c r="L324" s="1037"/>
    </row>
    <row r="325" spans="2:12" ht="15.75" thickBot="1" x14ac:dyDescent="0.3">
      <c r="B325" s="1035" t="s">
        <v>1006</v>
      </c>
      <c r="C325" s="1036"/>
      <c r="D325" s="1037"/>
      <c r="E325" s="1020" t="s">
        <v>1571</v>
      </c>
      <c r="F325" s="1021"/>
      <c r="G325" s="1021"/>
      <c r="H325" s="1021"/>
      <c r="I325" s="1021"/>
      <c r="J325" s="1021"/>
      <c r="K325" s="1021"/>
      <c r="L325" s="1022"/>
    </row>
    <row r="326" spans="2:12" ht="15.75" thickBot="1" x14ac:dyDescent="0.3">
      <c r="B326" s="1035" t="s">
        <v>1007</v>
      </c>
      <c r="C326" s="1036"/>
      <c r="D326" s="1037"/>
      <c r="E326" s="1070"/>
      <c r="F326" s="1071"/>
      <c r="G326" s="1071"/>
      <c r="H326" s="1071"/>
      <c r="I326" s="1071"/>
      <c r="J326" s="1072"/>
      <c r="K326" s="378" t="s">
        <v>1008</v>
      </c>
      <c r="L326" s="631" t="s">
        <v>1417</v>
      </c>
    </row>
    <row r="327" spans="2:12" x14ac:dyDescent="0.25">
      <c r="B327" s="1073"/>
      <c r="C327" s="1074"/>
      <c r="D327" s="1074"/>
      <c r="E327" s="1074"/>
      <c r="F327" s="1074"/>
      <c r="G327" s="1074"/>
      <c r="H327" s="1074"/>
      <c r="I327" s="1074"/>
      <c r="J327" s="1074"/>
      <c r="K327" s="1074"/>
      <c r="L327" s="1075"/>
    </row>
    <row r="328" spans="2:12" x14ac:dyDescent="0.25">
      <c r="B328" s="632">
        <v>1</v>
      </c>
      <c r="C328" s="624"/>
      <c r="D328" s="1044" t="s">
        <v>1441</v>
      </c>
      <c r="E328" s="1044"/>
      <c r="F328" s="1044"/>
      <c r="G328" s="1044"/>
      <c r="H328" s="1044"/>
      <c r="I328" s="1044"/>
      <c r="J328" s="1044"/>
      <c r="K328" s="1044"/>
      <c r="L328" s="1045"/>
    </row>
    <row r="329" spans="2:12" x14ac:dyDescent="0.25">
      <c r="B329" s="628">
        <v>2</v>
      </c>
      <c r="C329" s="624"/>
      <c r="D329" s="1044" t="s">
        <v>1432</v>
      </c>
      <c r="E329" s="1044"/>
      <c r="F329" s="1044"/>
      <c r="G329" s="1044"/>
      <c r="H329" s="1044"/>
      <c r="I329" s="1044"/>
      <c r="J329" s="1044"/>
      <c r="K329" s="1044"/>
      <c r="L329" s="1045"/>
    </row>
    <row r="330" spans="2:12" x14ac:dyDescent="0.25">
      <c r="B330" s="628">
        <v>3</v>
      </c>
      <c r="C330" s="624"/>
      <c r="D330" s="1044" t="s">
        <v>1438</v>
      </c>
      <c r="E330" s="1044"/>
      <c r="F330" s="1044"/>
      <c r="G330" s="1044"/>
      <c r="H330" s="1044"/>
      <c r="I330" s="1044"/>
      <c r="J330" s="1044"/>
      <c r="K330" s="1044"/>
      <c r="L330" s="1045"/>
    </row>
    <row r="331" spans="2:12" x14ac:dyDescent="0.25">
      <c r="B331" s="628">
        <v>4</v>
      </c>
      <c r="C331" s="624"/>
      <c r="D331" s="1044" t="s">
        <v>1433</v>
      </c>
      <c r="E331" s="1044"/>
      <c r="F331" s="1044"/>
      <c r="G331" s="1044"/>
      <c r="H331" s="1044"/>
      <c r="I331" s="1044"/>
      <c r="J331" s="1044"/>
      <c r="K331" s="1044"/>
      <c r="L331" s="1045"/>
    </row>
    <row r="332" spans="2:12" x14ac:dyDescent="0.25">
      <c r="B332" s="628">
        <v>5</v>
      </c>
      <c r="C332" s="150"/>
      <c r="D332" s="1044" t="s">
        <v>1439</v>
      </c>
      <c r="E332" s="1044"/>
      <c r="F332" s="1044"/>
      <c r="G332" s="1044"/>
      <c r="H332" s="1044"/>
      <c r="I332" s="1044"/>
      <c r="J332" s="1044"/>
      <c r="K332" s="1044"/>
      <c r="L332" s="1045"/>
    </row>
    <row r="333" spans="2:12" x14ac:dyDescent="0.25">
      <c r="B333" s="628">
        <v>6</v>
      </c>
      <c r="C333" s="624"/>
      <c r="D333" s="1044" t="s">
        <v>1442</v>
      </c>
      <c r="E333" s="1044"/>
      <c r="F333" s="1044"/>
      <c r="G333" s="1044"/>
      <c r="H333" s="1044"/>
      <c r="I333" s="1044"/>
      <c r="J333" s="1044"/>
      <c r="K333" s="1044"/>
      <c r="L333" s="1045"/>
    </row>
    <row r="334" spans="2:12" x14ac:dyDescent="0.25">
      <c r="B334" s="628">
        <v>7</v>
      </c>
      <c r="C334" s="624"/>
      <c r="D334" s="1044" t="s">
        <v>1443</v>
      </c>
      <c r="E334" s="1044"/>
      <c r="F334" s="1044"/>
      <c r="G334" s="1044"/>
      <c r="H334" s="1044"/>
      <c r="I334" s="1044"/>
      <c r="J334" s="1044"/>
      <c r="K334" s="1044"/>
      <c r="L334" s="1045"/>
    </row>
    <row r="335" spans="2:12" x14ac:dyDescent="0.25">
      <c r="B335" s="628">
        <v>8</v>
      </c>
      <c r="C335" s="624"/>
      <c r="D335" s="1044" t="s">
        <v>1434</v>
      </c>
      <c r="E335" s="1044"/>
      <c r="F335" s="1044"/>
      <c r="G335" s="1044"/>
      <c r="H335" s="1044"/>
      <c r="I335" s="1044"/>
      <c r="J335" s="1044"/>
      <c r="K335" s="1044"/>
      <c r="L335" s="1045"/>
    </row>
    <row r="336" spans="2:12" x14ac:dyDescent="0.25">
      <c r="B336" s="628" t="s">
        <v>1435</v>
      </c>
      <c r="C336" s="624" t="s">
        <v>1437</v>
      </c>
      <c r="D336" s="1044" t="s">
        <v>1571</v>
      </c>
      <c r="E336" s="1044"/>
      <c r="F336" s="1044"/>
      <c r="G336" s="1044"/>
      <c r="H336" s="1044"/>
      <c r="I336" s="1044"/>
      <c r="J336" s="1044"/>
      <c r="K336" s="1044"/>
      <c r="L336" s="1045"/>
    </row>
    <row r="337" spans="2:12" x14ac:dyDescent="0.25">
      <c r="B337" s="628">
        <v>9</v>
      </c>
      <c r="C337" s="242"/>
      <c r="D337" s="1044" t="s">
        <v>1440</v>
      </c>
      <c r="E337" s="1044"/>
      <c r="F337" s="1044"/>
      <c r="G337" s="1044"/>
      <c r="H337" s="1044"/>
      <c r="I337" s="1044"/>
      <c r="J337" s="1044"/>
      <c r="K337" s="1044"/>
      <c r="L337" s="1045"/>
    </row>
    <row r="338" spans="2:12" x14ac:dyDescent="0.25">
      <c r="B338" s="1067"/>
      <c r="C338" s="1068"/>
      <c r="D338" s="1068"/>
      <c r="E338" s="1068"/>
      <c r="F338" s="1068"/>
      <c r="G338" s="1068"/>
      <c r="H338" s="1068"/>
      <c r="I338" s="1068"/>
      <c r="J338" s="1068"/>
      <c r="K338" s="1068"/>
      <c r="L338" s="1069"/>
    </row>
    <row r="339" spans="2:12" ht="15.75" thickBot="1" x14ac:dyDescent="0.3">
      <c r="B339" s="1046"/>
      <c r="C339" s="1047"/>
      <c r="D339" s="1047"/>
      <c r="E339" s="1047"/>
      <c r="F339" s="1047"/>
      <c r="G339" s="1047"/>
      <c r="H339" s="1047"/>
      <c r="I339" s="1047"/>
      <c r="J339" s="1047"/>
      <c r="K339" s="1047"/>
      <c r="L339" s="1048"/>
    </row>
    <row r="340" spans="2:12" ht="15.75" thickBot="1" x14ac:dyDescent="0.3">
      <c r="B340" s="1054" t="s">
        <v>1009</v>
      </c>
      <c r="C340" s="1055"/>
      <c r="D340" s="1056"/>
      <c r="E340" s="1020"/>
      <c r="F340" s="1021"/>
      <c r="G340" s="1021"/>
      <c r="H340" s="1021"/>
      <c r="I340" s="1021"/>
      <c r="J340" s="1022"/>
      <c r="K340" s="378" t="s">
        <v>1008</v>
      </c>
      <c r="L340" s="631" t="s">
        <v>1415</v>
      </c>
    </row>
    <row r="341" spans="2:12" x14ac:dyDescent="0.25">
      <c r="B341" s="1064"/>
      <c r="C341" s="1065"/>
      <c r="D341" s="1065"/>
      <c r="E341" s="1065"/>
      <c r="F341" s="1065"/>
      <c r="G341" s="1065"/>
      <c r="H341" s="1065"/>
      <c r="I341" s="1065"/>
      <c r="J341" s="1065"/>
      <c r="K341" s="1065"/>
      <c r="L341" s="1066"/>
    </row>
    <row r="342" spans="2:12" x14ac:dyDescent="0.25">
      <c r="B342" s="620" t="s">
        <v>1</v>
      </c>
      <c r="C342" s="1059" t="s">
        <v>1444</v>
      </c>
      <c r="D342" s="1059"/>
      <c r="E342" s="1059"/>
      <c r="F342" s="1059"/>
      <c r="G342" s="1059"/>
      <c r="H342" s="1059"/>
      <c r="I342" s="1059"/>
      <c r="J342" s="1059"/>
      <c r="K342" s="1059"/>
      <c r="L342" s="1060"/>
    </row>
    <row r="343" spans="2:12" x14ac:dyDescent="0.25">
      <c r="B343" s="615"/>
      <c r="C343" s="624">
        <v>1</v>
      </c>
      <c r="D343" s="1044" t="s">
        <v>1572</v>
      </c>
      <c r="E343" s="1044"/>
      <c r="F343" s="1044"/>
      <c r="G343" s="1044"/>
      <c r="H343" s="1044"/>
      <c r="I343" s="1044"/>
      <c r="J343" s="1044"/>
      <c r="K343" s="1044"/>
      <c r="L343" s="1045"/>
    </row>
    <row r="344" spans="2:12" x14ac:dyDescent="0.25">
      <c r="B344" s="615"/>
      <c r="C344" s="150"/>
      <c r="D344" s="142" t="s">
        <v>1437</v>
      </c>
      <c r="E344" s="1044" t="s">
        <v>1446</v>
      </c>
      <c r="F344" s="1044"/>
      <c r="G344" s="1044"/>
      <c r="H344" s="1044"/>
      <c r="I344" s="1044"/>
      <c r="J344" s="1044"/>
      <c r="K344" s="1044"/>
      <c r="L344" s="1045"/>
    </row>
    <row r="345" spans="2:12" x14ac:dyDescent="0.25">
      <c r="B345" s="615"/>
      <c r="C345" s="150"/>
      <c r="D345" s="625" t="s">
        <v>1466</v>
      </c>
      <c r="E345" s="1044" t="s">
        <v>1447</v>
      </c>
      <c r="F345" s="1044"/>
      <c r="G345" s="1044"/>
      <c r="H345" s="1044"/>
      <c r="I345" s="1044"/>
      <c r="J345" s="1044"/>
      <c r="K345" s="1044"/>
      <c r="L345" s="1045"/>
    </row>
    <row r="346" spans="2:12" x14ac:dyDescent="0.25">
      <c r="B346" s="615"/>
      <c r="C346" s="150"/>
      <c r="D346" s="625" t="s">
        <v>1464</v>
      </c>
      <c r="E346" s="1044" t="s">
        <v>1448</v>
      </c>
      <c r="F346" s="1044"/>
      <c r="G346" s="1044"/>
      <c r="H346" s="1044"/>
      <c r="I346" s="1044"/>
      <c r="J346" s="1044"/>
      <c r="K346" s="1044"/>
      <c r="L346" s="1045"/>
    </row>
    <row r="347" spans="2:12" x14ac:dyDescent="0.25">
      <c r="B347" s="615"/>
      <c r="C347" s="624">
        <v>2</v>
      </c>
      <c r="D347" s="1044" t="s">
        <v>1573</v>
      </c>
      <c r="E347" s="1044"/>
      <c r="F347" s="1044"/>
      <c r="G347" s="1044"/>
      <c r="H347" s="1044"/>
      <c r="I347" s="1044"/>
      <c r="J347" s="1044"/>
      <c r="K347" s="1044"/>
      <c r="L347" s="1045"/>
    </row>
    <row r="348" spans="2:12" x14ac:dyDescent="0.25">
      <c r="B348" s="615"/>
      <c r="C348" s="150">
        <v>3</v>
      </c>
      <c r="D348" s="1044" t="s">
        <v>1450</v>
      </c>
      <c r="E348" s="1044"/>
      <c r="F348" s="1044"/>
      <c r="G348" s="1044"/>
      <c r="H348" s="1044"/>
      <c r="I348" s="1044"/>
      <c r="J348" s="1044"/>
      <c r="K348" s="1044"/>
      <c r="L348" s="1045"/>
    </row>
    <row r="349" spans="2:12" x14ac:dyDescent="0.25">
      <c r="B349" s="615"/>
      <c r="C349" s="150"/>
      <c r="D349" s="625" t="s">
        <v>1437</v>
      </c>
      <c r="E349" s="1044" t="s">
        <v>1451</v>
      </c>
      <c r="F349" s="1044"/>
      <c r="G349" s="1044"/>
      <c r="H349" s="1044"/>
      <c r="I349" s="1044"/>
      <c r="J349" s="1044"/>
      <c r="K349" s="1044"/>
      <c r="L349" s="1045"/>
    </row>
    <row r="350" spans="2:12" x14ac:dyDescent="0.25">
      <c r="B350" s="615"/>
      <c r="C350" s="150"/>
      <c r="D350" s="625" t="s">
        <v>1466</v>
      </c>
      <c r="E350" s="1044" t="s">
        <v>1452</v>
      </c>
      <c r="F350" s="1044"/>
      <c r="G350" s="1044"/>
      <c r="H350" s="1044"/>
      <c r="I350" s="1044"/>
      <c r="J350" s="1044"/>
      <c r="K350" s="1044"/>
      <c r="L350" s="1045"/>
    </row>
    <row r="351" spans="2:12" x14ac:dyDescent="0.25">
      <c r="B351" s="615"/>
      <c r="C351" s="150"/>
      <c r="D351" s="142" t="s">
        <v>1464</v>
      </c>
      <c r="E351" s="1044" t="s">
        <v>1453</v>
      </c>
      <c r="F351" s="1044"/>
      <c r="G351" s="1044"/>
      <c r="H351" s="1044"/>
      <c r="I351" s="1044"/>
      <c r="J351" s="1044"/>
      <c r="K351" s="1044"/>
      <c r="L351" s="1045"/>
    </row>
    <row r="352" spans="2:12" x14ac:dyDescent="0.25">
      <c r="B352" s="615"/>
      <c r="C352" s="150"/>
      <c r="D352" s="142" t="s">
        <v>1465</v>
      </c>
      <c r="E352" s="1044" t="s">
        <v>1454</v>
      </c>
      <c r="F352" s="1044"/>
      <c r="G352" s="1044"/>
      <c r="H352" s="1044"/>
      <c r="I352" s="1044"/>
      <c r="J352" s="1044"/>
      <c r="K352" s="1044"/>
      <c r="L352" s="1045"/>
    </row>
    <row r="353" spans="2:12" x14ac:dyDescent="0.25">
      <c r="B353" s="615"/>
      <c r="C353" s="624">
        <v>4</v>
      </c>
      <c r="D353" s="1044" t="s">
        <v>1551</v>
      </c>
      <c r="E353" s="1044"/>
      <c r="F353" s="1044"/>
      <c r="G353" s="1044"/>
      <c r="H353" s="1044"/>
      <c r="I353" s="1044"/>
      <c r="J353" s="1044"/>
      <c r="K353" s="1044"/>
      <c r="L353" s="1045"/>
    </row>
    <row r="354" spans="2:12" x14ac:dyDescent="0.25">
      <c r="B354" s="615"/>
      <c r="C354" s="150"/>
      <c r="D354" s="142" t="s">
        <v>1437</v>
      </c>
      <c r="E354" s="1044" t="s">
        <v>1456</v>
      </c>
      <c r="F354" s="1044"/>
      <c r="G354" s="1044"/>
      <c r="H354" s="1044"/>
      <c r="I354" s="1044"/>
      <c r="J354" s="1044"/>
      <c r="K354" s="1044"/>
      <c r="L354" s="1045"/>
    </row>
    <row r="355" spans="2:12" x14ac:dyDescent="0.25">
      <c r="B355" s="1063"/>
      <c r="C355" s="1059"/>
      <c r="D355" s="1059"/>
      <c r="E355" s="1059"/>
      <c r="F355" s="1059"/>
      <c r="G355" s="1059"/>
      <c r="H355" s="1059"/>
      <c r="I355" s="1059"/>
      <c r="J355" s="1059"/>
      <c r="K355" s="1059"/>
      <c r="L355" s="1060"/>
    </row>
    <row r="356" spans="2:12" x14ac:dyDescent="0.25">
      <c r="B356" s="620" t="s">
        <v>2</v>
      </c>
      <c r="C356" s="1059" t="s">
        <v>1467</v>
      </c>
      <c r="D356" s="1059"/>
      <c r="E356" s="1059"/>
      <c r="F356" s="1059"/>
      <c r="G356" s="1059"/>
      <c r="H356" s="1059"/>
      <c r="I356" s="1059"/>
      <c r="J356" s="1059"/>
      <c r="K356" s="1059"/>
      <c r="L356" s="1060"/>
    </row>
    <row r="357" spans="2:12" x14ac:dyDescent="0.25">
      <c r="B357" s="615"/>
      <c r="C357" s="624">
        <v>1</v>
      </c>
      <c r="D357" s="1052" t="s">
        <v>1552</v>
      </c>
      <c r="E357" s="1052"/>
      <c r="F357" s="1052"/>
      <c r="G357" s="1052"/>
      <c r="H357" s="1052"/>
      <c r="I357" s="1052"/>
      <c r="J357" s="1052"/>
      <c r="K357" s="1052"/>
      <c r="L357" s="1053"/>
    </row>
    <row r="358" spans="2:12" x14ac:dyDescent="0.25">
      <c r="B358" s="615"/>
      <c r="C358" s="150">
        <v>2</v>
      </c>
      <c r="D358" s="1052" t="s">
        <v>1468</v>
      </c>
      <c r="E358" s="1052"/>
      <c r="F358" s="1052"/>
      <c r="G358" s="1052"/>
      <c r="H358" s="1052"/>
      <c r="I358" s="1052"/>
      <c r="J358" s="1052"/>
      <c r="K358" s="1052"/>
      <c r="L358" s="1053"/>
    </row>
    <row r="359" spans="2:12" x14ac:dyDescent="0.25">
      <c r="B359" s="615"/>
      <c r="C359" s="150">
        <v>3</v>
      </c>
      <c r="D359" s="1052" t="s">
        <v>1469</v>
      </c>
      <c r="E359" s="1052"/>
      <c r="F359" s="1052"/>
      <c r="G359" s="1052"/>
      <c r="H359" s="1052"/>
      <c r="I359" s="1052"/>
      <c r="J359" s="1052"/>
      <c r="K359" s="1052"/>
      <c r="L359" s="1053"/>
    </row>
    <row r="360" spans="2:12" x14ac:dyDescent="0.25">
      <c r="B360" s="615"/>
      <c r="C360" s="150">
        <v>4</v>
      </c>
      <c r="D360" s="1052" t="s">
        <v>1470</v>
      </c>
      <c r="E360" s="1052"/>
      <c r="F360" s="1052"/>
      <c r="G360" s="1052"/>
      <c r="H360" s="1052"/>
      <c r="I360" s="1052"/>
      <c r="J360" s="1052"/>
      <c r="K360" s="1052"/>
      <c r="L360" s="1053"/>
    </row>
    <row r="361" spans="2:12" x14ac:dyDescent="0.25">
      <c r="B361" s="615"/>
      <c r="C361" s="1061"/>
      <c r="D361" s="1061"/>
      <c r="E361" s="1061"/>
      <c r="F361" s="1061"/>
      <c r="G361" s="1061"/>
      <c r="H361" s="1061"/>
      <c r="I361" s="1061"/>
      <c r="J361" s="1061"/>
      <c r="K361" s="1061"/>
      <c r="L361" s="1062"/>
    </row>
    <row r="362" spans="2:12" x14ac:dyDescent="0.25">
      <c r="B362" s="620" t="s">
        <v>3</v>
      </c>
      <c r="C362" s="1059" t="s">
        <v>1471</v>
      </c>
      <c r="D362" s="1059"/>
      <c r="E362" s="1059"/>
      <c r="F362" s="1059"/>
      <c r="G362" s="1059"/>
      <c r="H362" s="1059"/>
      <c r="I362" s="1059"/>
      <c r="J362" s="1059"/>
      <c r="K362" s="1059"/>
      <c r="L362" s="1060"/>
    </row>
    <row r="363" spans="2:12" x14ac:dyDescent="0.25">
      <c r="B363" s="615"/>
      <c r="C363" s="150">
        <v>1</v>
      </c>
      <c r="D363" s="1044" t="s">
        <v>1472</v>
      </c>
      <c r="E363" s="1044"/>
      <c r="F363" s="1044"/>
      <c r="G363" s="1044"/>
      <c r="H363" s="1044"/>
      <c r="I363" s="1044"/>
      <c r="J363" s="1044"/>
      <c r="K363" s="1044"/>
      <c r="L363" s="1045"/>
    </row>
    <row r="364" spans="2:12" x14ac:dyDescent="0.25">
      <c r="B364" s="615"/>
      <c r="C364" s="624">
        <v>2</v>
      </c>
      <c r="D364" s="1044" t="s">
        <v>1473</v>
      </c>
      <c r="E364" s="1044"/>
      <c r="F364" s="1044"/>
      <c r="G364" s="1044"/>
      <c r="H364" s="1044"/>
      <c r="I364" s="1044"/>
      <c r="J364" s="1044"/>
      <c r="K364" s="1044"/>
      <c r="L364" s="1045"/>
    </row>
    <row r="365" spans="2:12" x14ac:dyDescent="0.25">
      <c r="B365" s="615"/>
      <c r="C365" s="624">
        <v>3</v>
      </c>
      <c r="D365" s="1044" t="s">
        <v>1574</v>
      </c>
      <c r="E365" s="1044"/>
      <c r="F365" s="1044"/>
      <c r="G365" s="1044"/>
      <c r="H365" s="1044"/>
      <c r="I365" s="1044"/>
      <c r="J365" s="1044"/>
      <c r="K365" s="1044"/>
      <c r="L365" s="1045"/>
    </row>
    <row r="366" spans="2:12" x14ac:dyDescent="0.25">
      <c r="B366" s="615"/>
      <c r="C366" s="150">
        <v>4</v>
      </c>
      <c r="D366" s="1044" t="s">
        <v>1575</v>
      </c>
      <c r="E366" s="1044"/>
      <c r="F366" s="1044"/>
      <c r="G366" s="1044"/>
      <c r="H366" s="1044"/>
      <c r="I366" s="1044"/>
      <c r="J366" s="1044"/>
      <c r="K366" s="1044"/>
      <c r="L366" s="1045"/>
    </row>
    <row r="367" spans="2:12" x14ac:dyDescent="0.25">
      <c r="B367" s="615"/>
      <c r="C367" s="616"/>
      <c r="D367" s="616"/>
      <c r="E367" s="616"/>
      <c r="F367" s="616"/>
      <c r="G367" s="616"/>
      <c r="H367" s="616"/>
      <c r="I367" s="616"/>
      <c r="J367" s="616"/>
      <c r="K367" s="616"/>
      <c r="L367" s="617"/>
    </row>
    <row r="368" spans="2:12" x14ac:dyDescent="0.25">
      <c r="B368" s="620" t="s">
        <v>67</v>
      </c>
      <c r="C368" s="1059" t="s">
        <v>1476</v>
      </c>
      <c r="D368" s="1059"/>
      <c r="E368" s="1059"/>
      <c r="F368" s="1059"/>
      <c r="G368" s="1059"/>
      <c r="H368" s="1059"/>
      <c r="I368" s="1059"/>
      <c r="J368" s="1059"/>
      <c r="K368" s="1059"/>
      <c r="L368" s="1060"/>
    </row>
    <row r="369" spans="2:12" x14ac:dyDescent="0.25">
      <c r="B369" s="615"/>
      <c r="C369" s="624">
        <v>1</v>
      </c>
      <c r="D369" s="1044" t="s">
        <v>1576</v>
      </c>
      <c r="E369" s="1044"/>
      <c r="F369" s="1044"/>
      <c r="G369" s="1044"/>
      <c r="H369" s="1044"/>
      <c r="I369" s="1044"/>
      <c r="J369" s="1044"/>
      <c r="K369" s="1044"/>
      <c r="L369" s="1045"/>
    </row>
    <row r="370" spans="2:12" x14ac:dyDescent="0.25">
      <c r="B370" s="615"/>
      <c r="C370" s="624">
        <v>2</v>
      </c>
      <c r="D370" s="1044" t="s">
        <v>1577</v>
      </c>
      <c r="E370" s="1044"/>
      <c r="F370" s="1044"/>
      <c r="G370" s="1044"/>
      <c r="H370" s="1044"/>
      <c r="I370" s="1044"/>
      <c r="J370" s="1044"/>
      <c r="K370" s="1044"/>
      <c r="L370" s="1045"/>
    </row>
    <row r="371" spans="2:12" x14ac:dyDescent="0.25">
      <c r="B371" s="615"/>
      <c r="C371" s="150">
        <v>3</v>
      </c>
      <c r="D371" s="1044" t="s">
        <v>1478</v>
      </c>
      <c r="E371" s="1044"/>
      <c r="F371" s="1044"/>
      <c r="G371" s="1044"/>
      <c r="H371" s="1044"/>
      <c r="I371" s="1044"/>
      <c r="J371" s="1044"/>
      <c r="K371" s="1044"/>
      <c r="L371" s="1045"/>
    </row>
    <row r="372" spans="2:12" x14ac:dyDescent="0.25">
      <c r="B372" s="615"/>
      <c r="C372" s="150"/>
      <c r="D372" s="622"/>
      <c r="E372" s="622"/>
      <c r="F372" s="622"/>
      <c r="G372" s="622"/>
      <c r="H372" s="622"/>
      <c r="I372" s="622"/>
      <c r="J372" s="622"/>
      <c r="K372" s="622"/>
      <c r="L372" s="623"/>
    </row>
    <row r="373" spans="2:12" x14ac:dyDescent="0.25">
      <c r="B373" s="620" t="s">
        <v>1479</v>
      </c>
      <c r="C373" s="1059" t="s">
        <v>1480</v>
      </c>
      <c r="D373" s="1059"/>
      <c r="E373" s="1059"/>
      <c r="F373" s="1059"/>
      <c r="G373" s="1059"/>
      <c r="H373" s="1059"/>
      <c r="I373" s="1059"/>
      <c r="J373" s="1059"/>
      <c r="K373" s="1059"/>
      <c r="L373" s="1060"/>
    </row>
    <row r="374" spans="2:12" x14ac:dyDescent="0.25">
      <c r="B374" s="615"/>
      <c r="C374" s="150">
        <v>1</v>
      </c>
      <c r="D374" s="1044" t="s">
        <v>1423</v>
      </c>
      <c r="E374" s="1044"/>
      <c r="F374" s="1044"/>
      <c r="G374" s="1044"/>
      <c r="H374" s="1044"/>
      <c r="I374" s="1044"/>
      <c r="J374" s="1044"/>
      <c r="K374" s="1044"/>
      <c r="L374" s="1045"/>
    </row>
    <row r="375" spans="2:12" x14ac:dyDescent="0.25">
      <c r="B375" s="615"/>
      <c r="C375" s="150">
        <v>2</v>
      </c>
      <c r="D375" s="1095" t="s">
        <v>1578</v>
      </c>
      <c r="E375" s="1095"/>
      <c r="F375" s="1095"/>
      <c r="G375" s="1095"/>
      <c r="H375" s="1095"/>
      <c r="I375" s="1095"/>
      <c r="J375" s="1095"/>
      <c r="K375" s="1095"/>
      <c r="L375" s="1096"/>
    </row>
    <row r="376" spans="2:12" x14ac:dyDescent="0.25">
      <c r="B376" s="615"/>
      <c r="C376" s="150">
        <v>3</v>
      </c>
      <c r="D376" s="1044" t="s">
        <v>1424</v>
      </c>
      <c r="E376" s="1044"/>
      <c r="F376" s="1044"/>
      <c r="G376" s="1044"/>
      <c r="H376" s="1044"/>
      <c r="I376" s="1044"/>
      <c r="J376" s="1044"/>
      <c r="K376" s="1044"/>
      <c r="L376" s="1045"/>
    </row>
    <row r="377" spans="2:12" x14ac:dyDescent="0.25">
      <c r="B377" s="615"/>
      <c r="C377" s="624">
        <v>4</v>
      </c>
      <c r="D377" s="1044" t="s">
        <v>1485</v>
      </c>
      <c r="E377" s="1044"/>
      <c r="F377" s="1044"/>
      <c r="G377" s="1044"/>
      <c r="H377" s="1044"/>
      <c r="I377" s="1044"/>
      <c r="J377" s="1044"/>
      <c r="K377" s="1044"/>
      <c r="L377" s="1045"/>
    </row>
    <row r="378" spans="2:12" x14ac:dyDescent="0.25">
      <c r="B378" s="615"/>
      <c r="C378" s="150">
        <v>5</v>
      </c>
      <c r="D378" s="1044" t="s">
        <v>1579</v>
      </c>
      <c r="E378" s="1044"/>
      <c r="F378" s="1044"/>
      <c r="G378" s="1044"/>
      <c r="H378" s="1044"/>
      <c r="I378" s="1044"/>
      <c r="J378" s="1044"/>
      <c r="K378" s="1044"/>
      <c r="L378" s="1045"/>
    </row>
    <row r="379" spans="2:12" x14ac:dyDescent="0.25">
      <c r="B379" s="615"/>
      <c r="C379" s="616"/>
      <c r="D379" s="616"/>
      <c r="E379" s="616"/>
      <c r="F379" s="616"/>
      <c r="G379" s="616"/>
      <c r="H379" s="616"/>
      <c r="I379" s="616"/>
      <c r="J379" s="616"/>
      <c r="K379" s="616"/>
      <c r="L379" s="617"/>
    </row>
    <row r="380" spans="2:12" x14ac:dyDescent="0.25">
      <c r="B380" s="620" t="s">
        <v>1481</v>
      </c>
      <c r="C380" s="1059" t="s">
        <v>1482</v>
      </c>
      <c r="D380" s="1059"/>
      <c r="E380" s="1059"/>
      <c r="F380" s="1059"/>
      <c r="G380" s="1059"/>
      <c r="H380" s="1059"/>
      <c r="I380" s="1059"/>
      <c r="J380" s="1059"/>
      <c r="K380" s="1059"/>
      <c r="L380" s="1060"/>
    </row>
    <row r="381" spans="2:12" x14ac:dyDescent="0.25">
      <c r="B381" s="619"/>
      <c r="C381" s="634">
        <v>1</v>
      </c>
      <c r="D381" s="1044" t="s">
        <v>1483</v>
      </c>
      <c r="E381" s="1044"/>
      <c r="F381" s="1044"/>
      <c r="G381" s="1044"/>
      <c r="H381" s="1044"/>
      <c r="I381" s="1044"/>
      <c r="J381" s="1044"/>
      <c r="K381" s="1044"/>
      <c r="L381" s="1045"/>
    </row>
    <row r="382" spans="2:12" x14ac:dyDescent="0.25">
      <c r="B382" s="615"/>
      <c r="C382" s="150">
        <v>2</v>
      </c>
      <c r="D382" s="1044" t="s">
        <v>1484</v>
      </c>
      <c r="E382" s="1044"/>
      <c r="F382" s="1044"/>
      <c r="G382" s="1044"/>
      <c r="H382" s="1044"/>
      <c r="I382" s="1044"/>
      <c r="J382" s="1044"/>
      <c r="K382" s="1044"/>
      <c r="L382" s="1045"/>
    </row>
    <row r="383" spans="2:12" x14ac:dyDescent="0.25">
      <c r="B383" s="615"/>
      <c r="C383" s="616"/>
      <c r="D383" s="142" t="s">
        <v>1437</v>
      </c>
      <c r="E383" s="1052" t="s">
        <v>1580</v>
      </c>
      <c r="F383" s="1052"/>
      <c r="G383" s="1052"/>
      <c r="H383" s="1052"/>
      <c r="I383" s="1052"/>
      <c r="J383" s="1052"/>
      <c r="K383" s="1052"/>
      <c r="L383" s="1053"/>
    </row>
    <row r="384" spans="2:12" x14ac:dyDescent="0.25">
      <c r="B384" s="615"/>
      <c r="C384" s="150">
        <v>3</v>
      </c>
      <c r="D384" s="1052" t="s">
        <v>1487</v>
      </c>
      <c r="E384" s="1052"/>
      <c r="F384" s="1052"/>
      <c r="G384" s="1052"/>
      <c r="H384" s="1052"/>
      <c r="I384" s="1052"/>
      <c r="J384" s="1052"/>
      <c r="K384" s="1052"/>
      <c r="L384" s="1053"/>
    </row>
    <row r="385" spans="2:12" ht="15.75" thickBot="1" x14ac:dyDescent="0.3">
      <c r="B385" s="607"/>
      <c r="C385" s="608"/>
      <c r="D385" s="608"/>
      <c r="E385" s="608"/>
      <c r="F385" s="608"/>
      <c r="G385" s="608"/>
      <c r="H385" s="608"/>
      <c r="I385" s="608"/>
      <c r="J385" s="608"/>
      <c r="K385" s="608"/>
      <c r="L385" s="377"/>
    </row>
    <row r="386" spans="2:12" ht="15.75" thickBot="1" x14ac:dyDescent="0.3">
      <c r="B386" s="1054" t="s">
        <v>1010</v>
      </c>
      <c r="C386" s="1055"/>
      <c r="D386" s="1056"/>
      <c r="E386" s="1020"/>
      <c r="F386" s="1021"/>
      <c r="G386" s="1021"/>
      <c r="H386" s="1021"/>
      <c r="I386" s="1021"/>
      <c r="J386" s="1022"/>
      <c r="K386" s="378" t="s">
        <v>1008</v>
      </c>
      <c r="L386" s="631" t="s">
        <v>1416</v>
      </c>
    </row>
    <row r="387" spans="2:12" x14ac:dyDescent="0.25">
      <c r="B387" s="615">
        <v>1</v>
      </c>
      <c r="C387" s="616"/>
      <c r="D387" s="1057" t="s">
        <v>1581</v>
      </c>
      <c r="E387" s="1057"/>
      <c r="F387" s="1057"/>
      <c r="G387" s="1057"/>
      <c r="H387" s="1057"/>
      <c r="I387" s="1057"/>
      <c r="J387" s="1057"/>
      <c r="K387" s="1057"/>
      <c r="L387" s="1058"/>
    </row>
    <row r="388" spans="2:12" x14ac:dyDescent="0.25">
      <c r="B388" s="615">
        <v>2</v>
      </c>
      <c r="C388" s="616"/>
      <c r="D388" s="1044" t="s">
        <v>1030</v>
      </c>
      <c r="E388" s="1044"/>
      <c r="F388" s="1044"/>
      <c r="G388" s="1044"/>
      <c r="H388" s="1044"/>
      <c r="I388" s="1044"/>
      <c r="J388" s="1044"/>
      <c r="K388" s="1044"/>
      <c r="L388" s="1045"/>
    </row>
    <row r="389" spans="2:12" x14ac:dyDescent="0.25">
      <c r="B389" s="633">
        <v>3</v>
      </c>
      <c r="C389" s="616"/>
      <c r="D389" s="1044" t="s">
        <v>1490</v>
      </c>
      <c r="E389" s="1044"/>
      <c r="F389" s="1044"/>
      <c r="G389" s="1044"/>
      <c r="H389" s="1044"/>
      <c r="I389" s="1044"/>
      <c r="J389" s="1044"/>
      <c r="K389" s="1044"/>
      <c r="L389" s="1045"/>
    </row>
    <row r="390" spans="2:12" x14ac:dyDescent="0.25">
      <c r="B390" s="633">
        <v>4</v>
      </c>
      <c r="C390" s="616"/>
      <c r="D390" s="1044" t="s">
        <v>1491</v>
      </c>
      <c r="E390" s="1044"/>
      <c r="F390" s="1044"/>
      <c r="G390" s="1044"/>
      <c r="H390" s="1044"/>
      <c r="I390" s="1044"/>
      <c r="J390" s="1044"/>
      <c r="K390" s="1044"/>
      <c r="L390" s="1045"/>
    </row>
    <row r="391" spans="2:12" x14ac:dyDescent="0.25">
      <c r="B391" s="615">
        <v>5</v>
      </c>
      <c r="C391" s="616"/>
      <c r="D391" s="1044" t="s">
        <v>1492</v>
      </c>
      <c r="E391" s="1044"/>
      <c r="F391" s="1044"/>
      <c r="G391" s="1044"/>
      <c r="H391" s="1044"/>
      <c r="I391" s="1044"/>
      <c r="J391" s="1044"/>
      <c r="K391" s="1044"/>
      <c r="L391" s="1045"/>
    </row>
    <row r="392" spans="2:12" x14ac:dyDescent="0.25">
      <c r="B392" s="615">
        <v>6</v>
      </c>
      <c r="C392" s="616"/>
      <c r="D392" s="1044" t="s">
        <v>1493</v>
      </c>
      <c r="E392" s="1044"/>
      <c r="F392" s="1044"/>
      <c r="G392" s="1044"/>
      <c r="H392" s="1044"/>
      <c r="I392" s="1044"/>
      <c r="J392" s="1044"/>
      <c r="K392" s="1044"/>
      <c r="L392" s="1045"/>
    </row>
    <row r="393" spans="2:12" x14ac:dyDescent="0.25">
      <c r="B393" s="615">
        <v>7</v>
      </c>
      <c r="C393" s="616"/>
      <c r="D393" s="1044" t="s">
        <v>1494</v>
      </c>
      <c r="E393" s="1044"/>
      <c r="F393" s="1044"/>
      <c r="G393" s="1044"/>
      <c r="H393" s="1044"/>
      <c r="I393" s="1044"/>
      <c r="J393" s="1044"/>
      <c r="K393" s="1044"/>
      <c r="L393" s="1045"/>
    </row>
    <row r="394" spans="2:12" x14ac:dyDescent="0.25">
      <c r="B394" s="633">
        <v>8</v>
      </c>
      <c r="C394" s="616"/>
      <c r="D394" s="1044" t="s">
        <v>1488</v>
      </c>
      <c r="E394" s="1044"/>
      <c r="F394" s="1044"/>
      <c r="G394" s="1044"/>
      <c r="H394" s="1044"/>
      <c r="I394" s="1044"/>
      <c r="J394" s="1044"/>
      <c r="K394" s="1044"/>
      <c r="L394" s="1045"/>
    </row>
    <row r="395" spans="2:12" ht="15.75" thickBot="1" x14ac:dyDescent="0.3">
      <c r="B395" s="1046"/>
      <c r="C395" s="1047"/>
      <c r="D395" s="1047"/>
      <c r="E395" s="1047"/>
      <c r="F395" s="1047"/>
      <c r="G395" s="1047"/>
      <c r="H395" s="1047"/>
      <c r="I395" s="1047"/>
      <c r="J395" s="1047"/>
      <c r="K395" s="1047"/>
      <c r="L395" s="1048"/>
    </row>
    <row r="396" spans="2:12" ht="15.75" thickBot="1" x14ac:dyDescent="0.3">
      <c r="B396" s="1049" t="s">
        <v>1011</v>
      </c>
      <c r="C396" s="1050"/>
      <c r="D396" s="1050"/>
      <c r="E396" s="1050"/>
      <c r="F396" s="1050"/>
      <c r="G396" s="1050"/>
      <c r="H396" s="1050"/>
      <c r="I396" s="1050"/>
      <c r="J396" s="1050"/>
      <c r="K396" s="1050"/>
      <c r="L396" s="1051"/>
    </row>
    <row r="397" spans="2:12" ht="15.75" thickBot="1" x14ac:dyDescent="0.3">
      <c r="B397" s="629" t="s">
        <v>4</v>
      </c>
      <c r="C397" s="1041" t="s">
        <v>1012</v>
      </c>
      <c r="D397" s="1043"/>
      <c r="E397" s="1041" t="s">
        <v>1013</v>
      </c>
      <c r="F397" s="1043"/>
      <c r="G397" s="1041" t="s">
        <v>1014</v>
      </c>
      <c r="H397" s="1043"/>
      <c r="I397" s="1041" t="s">
        <v>1015</v>
      </c>
      <c r="J397" s="1042"/>
      <c r="K397" s="1042"/>
      <c r="L397" s="1043"/>
    </row>
    <row r="398" spans="2:12" ht="15.75" thickBot="1" x14ac:dyDescent="0.3">
      <c r="B398" s="630">
        <v>1</v>
      </c>
      <c r="C398" s="1020" t="s">
        <v>1016</v>
      </c>
      <c r="D398" s="1022"/>
      <c r="E398" s="1020" t="s">
        <v>1017</v>
      </c>
      <c r="F398" s="1022"/>
      <c r="G398" s="1020" t="s">
        <v>1018</v>
      </c>
      <c r="H398" s="1022"/>
      <c r="I398" s="1020" t="s">
        <v>1019</v>
      </c>
      <c r="J398" s="1021"/>
      <c r="K398" s="1021"/>
      <c r="L398" s="1022"/>
    </row>
    <row r="399" spans="2:12" ht="15.75" thickBot="1" x14ac:dyDescent="0.3">
      <c r="B399" s="630">
        <v>2</v>
      </c>
      <c r="C399" s="1020" t="s">
        <v>1020</v>
      </c>
      <c r="D399" s="1022"/>
      <c r="E399" s="1020" t="s">
        <v>1017</v>
      </c>
      <c r="F399" s="1022"/>
      <c r="G399" s="1020" t="s">
        <v>1021</v>
      </c>
      <c r="H399" s="1022"/>
      <c r="I399" s="1020" t="s">
        <v>1022</v>
      </c>
      <c r="J399" s="1021"/>
      <c r="K399" s="1021"/>
      <c r="L399" s="1022"/>
    </row>
    <row r="400" spans="2:12" ht="15.75" thickBot="1" x14ac:dyDescent="0.3">
      <c r="B400" s="630">
        <v>3</v>
      </c>
      <c r="C400" s="1020" t="s">
        <v>1023</v>
      </c>
      <c r="D400" s="1022"/>
      <c r="E400" s="1020" t="s">
        <v>1426</v>
      </c>
      <c r="F400" s="1022"/>
      <c r="G400" s="1020" t="s">
        <v>1024</v>
      </c>
      <c r="H400" s="1022"/>
      <c r="I400" s="1020" t="s">
        <v>1025</v>
      </c>
      <c r="J400" s="1021"/>
      <c r="K400" s="1021"/>
      <c r="L400" s="1022"/>
    </row>
    <row r="401" spans="2:12" ht="15.75" thickBot="1" x14ac:dyDescent="0.3">
      <c r="B401" s="1032" t="s">
        <v>1026</v>
      </c>
      <c r="C401" s="1033"/>
      <c r="D401" s="1033"/>
      <c r="E401" s="1033"/>
      <c r="F401" s="1033"/>
      <c r="G401" s="1033"/>
      <c r="H401" s="1033"/>
      <c r="I401" s="1033"/>
      <c r="J401" s="1033"/>
      <c r="K401" s="1033"/>
      <c r="L401" s="1034"/>
    </row>
    <row r="402" spans="2:12" ht="15.75" thickBot="1" x14ac:dyDescent="0.3">
      <c r="B402" s="1035" t="s">
        <v>1027</v>
      </c>
      <c r="C402" s="1036"/>
      <c r="D402" s="1037"/>
      <c r="E402" s="1110" t="s">
        <v>1582</v>
      </c>
      <c r="F402" s="1111"/>
      <c r="G402" s="1111"/>
      <c r="H402" s="1111"/>
      <c r="I402" s="1111"/>
      <c r="J402" s="1111"/>
      <c r="K402" s="1111"/>
      <c r="L402" s="1112"/>
    </row>
    <row r="403" spans="2:12" ht="15.75" thickBot="1" x14ac:dyDescent="0.3">
      <c r="B403" s="1035" t="s">
        <v>1028</v>
      </c>
      <c r="C403" s="1036"/>
      <c r="D403" s="1037"/>
      <c r="E403" s="1110" t="s">
        <v>1583</v>
      </c>
      <c r="F403" s="1111"/>
      <c r="G403" s="1111"/>
      <c r="H403" s="1111"/>
      <c r="I403" s="1111"/>
      <c r="J403" s="1111"/>
      <c r="K403" s="1111"/>
      <c r="L403" s="1112"/>
    </row>
    <row r="404" spans="2:12" ht="15.75" thickBot="1" x14ac:dyDescent="0.3">
      <c r="B404" s="1032" t="s">
        <v>1029</v>
      </c>
      <c r="C404" s="1033"/>
      <c r="D404" s="1033"/>
      <c r="E404" s="1033"/>
      <c r="F404" s="1033"/>
      <c r="G404" s="1033"/>
      <c r="H404" s="1033"/>
      <c r="I404" s="1033"/>
      <c r="J404" s="1033"/>
      <c r="K404" s="1033"/>
      <c r="L404" s="1034"/>
    </row>
    <row r="405" spans="2:12" ht="15.75" thickBot="1" x14ac:dyDescent="0.3">
      <c r="B405" s="629" t="s">
        <v>4</v>
      </c>
      <c r="C405" s="1041" t="s">
        <v>1012</v>
      </c>
      <c r="D405" s="1042"/>
      <c r="E405" s="1043"/>
      <c r="F405" s="1041" t="s">
        <v>1030</v>
      </c>
      <c r="G405" s="1042"/>
      <c r="H405" s="1042"/>
      <c r="I405" s="1042"/>
      <c r="J405" s="1042"/>
      <c r="K405" s="1042"/>
      <c r="L405" s="1043"/>
    </row>
    <row r="406" spans="2:12" ht="15.75" thickBot="1" x14ac:dyDescent="0.3">
      <c r="B406" s="630">
        <v>1</v>
      </c>
      <c r="C406" s="1020" t="s">
        <v>1031</v>
      </c>
      <c r="D406" s="1021"/>
      <c r="E406" s="1022"/>
      <c r="F406" s="1020" t="s">
        <v>1032</v>
      </c>
      <c r="G406" s="1021"/>
      <c r="H406" s="1021"/>
      <c r="I406" s="1021"/>
      <c r="J406" s="1021"/>
      <c r="K406" s="1021"/>
      <c r="L406" s="1022"/>
    </row>
    <row r="407" spans="2:12" ht="15.75" thickBot="1" x14ac:dyDescent="0.3">
      <c r="B407" s="630">
        <v>2</v>
      </c>
      <c r="C407" s="1020" t="s">
        <v>1033</v>
      </c>
      <c r="D407" s="1021"/>
      <c r="E407" s="1022"/>
      <c r="F407" s="1023" t="s">
        <v>1034</v>
      </c>
      <c r="G407" s="1024"/>
      <c r="H407" s="1024"/>
      <c r="I407" s="1024"/>
      <c r="J407" s="1024"/>
      <c r="K407" s="1024"/>
      <c r="L407" s="1025"/>
    </row>
    <row r="408" spans="2:12" ht="15.75" thickBot="1" x14ac:dyDescent="0.3">
      <c r="B408" s="630">
        <v>3</v>
      </c>
      <c r="C408" s="1020" t="s">
        <v>1035</v>
      </c>
      <c r="D408" s="1021"/>
      <c r="E408" s="1022"/>
      <c r="F408" s="1023" t="s">
        <v>1036</v>
      </c>
      <c r="G408" s="1024"/>
      <c r="H408" s="1024"/>
      <c r="I408" s="1024"/>
      <c r="J408" s="1024"/>
      <c r="K408" s="1024"/>
      <c r="L408" s="1025"/>
    </row>
    <row r="409" spans="2:12" ht="15.75" thickBot="1" x14ac:dyDescent="0.3">
      <c r="B409" s="1026"/>
      <c r="C409" s="1027"/>
      <c r="D409" s="1027"/>
      <c r="E409" s="1027"/>
      <c r="F409" s="1027"/>
      <c r="G409" s="1027"/>
      <c r="H409" s="1027"/>
      <c r="I409" s="1027"/>
      <c r="J409" s="1027"/>
      <c r="K409" s="1027"/>
      <c r="L409" s="1028"/>
    </row>
    <row r="410" spans="2:12" x14ac:dyDescent="0.25">
      <c r="B410" s="1029"/>
      <c r="C410" s="1030"/>
      <c r="D410" s="1030"/>
      <c r="E410" s="1030"/>
      <c r="F410" s="1030"/>
      <c r="G410" s="1030"/>
      <c r="H410" s="1030"/>
      <c r="I410" s="1030"/>
      <c r="J410" s="1030"/>
      <c r="K410" s="1030"/>
      <c r="L410" s="1031"/>
    </row>
    <row r="411" spans="2:12" x14ac:dyDescent="0.25">
      <c r="B411" s="1014" t="s">
        <v>1418</v>
      </c>
      <c r="C411" s="1015"/>
      <c r="D411" s="1015"/>
      <c r="E411" s="1015"/>
      <c r="F411" s="1015"/>
      <c r="G411" s="1015"/>
      <c r="H411" s="1015"/>
      <c r="I411" s="1015"/>
      <c r="J411" s="1015"/>
      <c r="K411" s="1015"/>
      <c r="L411" s="1016"/>
    </row>
    <row r="412" spans="2:12" x14ac:dyDescent="0.25">
      <c r="B412" s="1014" t="s">
        <v>1037</v>
      </c>
      <c r="C412" s="1015"/>
      <c r="D412" s="1015"/>
      <c r="E412" s="1015"/>
      <c r="F412" s="1015"/>
      <c r="G412" s="1015"/>
      <c r="H412" s="1015"/>
      <c r="I412" s="1015"/>
      <c r="J412" s="1015"/>
      <c r="K412" s="1015"/>
      <c r="L412" s="1016"/>
    </row>
    <row r="413" spans="2:12" x14ac:dyDescent="0.25">
      <c r="B413" s="1014" t="s">
        <v>1419</v>
      </c>
      <c r="C413" s="1015"/>
      <c r="D413" s="1015"/>
      <c r="E413" s="1015"/>
      <c r="F413" s="1015"/>
      <c r="G413" s="1015"/>
      <c r="H413" s="1015"/>
      <c r="I413" s="1015"/>
      <c r="J413" s="1015"/>
      <c r="K413" s="1015"/>
      <c r="L413" s="1016"/>
    </row>
    <row r="414" spans="2:12" x14ac:dyDescent="0.25">
      <c r="B414" s="1014" t="s">
        <v>1499</v>
      </c>
      <c r="C414" s="1015"/>
      <c r="D414" s="1015"/>
      <c r="E414" s="1015"/>
      <c r="F414" s="1015"/>
      <c r="G414" s="1015"/>
      <c r="H414" s="1015"/>
      <c r="I414" s="1015"/>
      <c r="J414" s="1015"/>
      <c r="K414" s="1015"/>
      <c r="L414" s="1016"/>
    </row>
    <row r="415" spans="2:12" x14ac:dyDescent="0.25">
      <c r="B415" s="1014" t="s">
        <v>1040</v>
      </c>
      <c r="C415" s="1015"/>
      <c r="D415" s="1015"/>
      <c r="E415" s="1015"/>
      <c r="F415" s="1015"/>
      <c r="G415" s="1015"/>
      <c r="H415" s="1015"/>
      <c r="I415" s="1015"/>
      <c r="J415" s="1015"/>
      <c r="K415" s="1015"/>
      <c r="L415" s="1016"/>
    </row>
    <row r="416" spans="2:12" x14ac:dyDescent="0.25">
      <c r="B416" s="1014"/>
      <c r="C416" s="1015"/>
      <c r="D416" s="1015"/>
      <c r="E416" s="1015"/>
      <c r="F416" s="1015"/>
      <c r="G416" s="1015"/>
      <c r="H416" s="1015"/>
      <c r="I416" s="1015"/>
      <c r="J416" s="1015"/>
      <c r="K416" s="1015"/>
      <c r="L416" s="1016"/>
    </row>
    <row r="417" spans="2:12" x14ac:dyDescent="0.25">
      <c r="B417" s="1014"/>
      <c r="C417" s="1015"/>
      <c r="D417" s="1015"/>
      <c r="E417" s="1015"/>
      <c r="F417" s="1015"/>
      <c r="G417" s="1015"/>
      <c r="H417" s="1015"/>
      <c r="I417" s="1015"/>
      <c r="J417" s="1015"/>
      <c r="K417" s="1015"/>
      <c r="L417" s="1016"/>
    </row>
    <row r="418" spans="2:12" x14ac:dyDescent="0.25">
      <c r="B418" s="1014" t="s">
        <v>1498</v>
      </c>
      <c r="C418" s="1015"/>
      <c r="D418" s="1015"/>
      <c r="E418" s="1015"/>
      <c r="F418" s="1015"/>
      <c r="G418" s="1015"/>
      <c r="H418" s="1015"/>
      <c r="I418" s="1015"/>
      <c r="J418" s="1015"/>
      <c r="K418" s="1015"/>
      <c r="L418" s="1016"/>
    </row>
    <row r="419" spans="2:12" x14ac:dyDescent="0.25">
      <c r="B419" s="1014" t="s">
        <v>1500</v>
      </c>
      <c r="C419" s="1015"/>
      <c r="D419" s="1015"/>
      <c r="E419" s="1015"/>
      <c r="F419" s="1015"/>
      <c r="G419" s="1015"/>
      <c r="H419" s="1015"/>
      <c r="I419" s="1015"/>
      <c r="J419" s="1015"/>
      <c r="K419" s="1015"/>
      <c r="L419" s="1016"/>
    </row>
    <row r="420" spans="2:12" x14ac:dyDescent="0.25">
      <c r="B420" s="1014"/>
      <c r="C420" s="1015"/>
      <c r="D420" s="1015"/>
      <c r="E420" s="1015"/>
      <c r="F420" s="1015"/>
      <c r="G420" s="1015"/>
      <c r="H420" s="1015"/>
      <c r="I420" s="1015"/>
      <c r="J420" s="1015"/>
      <c r="K420" s="1015"/>
      <c r="L420" s="1016"/>
    </row>
    <row r="421" spans="2:12" ht="15.75" thickBot="1" x14ac:dyDescent="0.3">
      <c r="B421" s="1017"/>
      <c r="C421" s="1018"/>
      <c r="D421" s="1018"/>
      <c r="E421" s="1018"/>
      <c r="F421" s="1018"/>
      <c r="G421" s="1018"/>
      <c r="H421" s="1018"/>
      <c r="I421" s="1018"/>
      <c r="J421" s="1018"/>
      <c r="K421" s="1018"/>
      <c r="L421" s="1019"/>
    </row>
    <row r="424" spans="2:12" ht="20.25" x14ac:dyDescent="0.3">
      <c r="B424" s="535"/>
      <c r="C424" s="535"/>
      <c r="D424" s="535"/>
      <c r="E424" s="535"/>
      <c r="F424" s="535"/>
      <c r="G424" s="536" t="s">
        <v>1608</v>
      </c>
      <c r="H424" s="535"/>
      <c r="I424" s="535"/>
      <c r="J424" s="535"/>
      <c r="K424" s="535"/>
      <c r="L424" s="535"/>
    </row>
    <row r="425" spans="2:12" ht="20.25" x14ac:dyDescent="0.3">
      <c r="B425" s="535"/>
      <c r="C425" s="535"/>
      <c r="D425" s="535"/>
      <c r="E425" s="535"/>
      <c r="F425" s="535"/>
      <c r="G425" s="537" t="s">
        <v>976</v>
      </c>
      <c r="H425" s="535"/>
      <c r="I425" s="535"/>
      <c r="J425" s="535"/>
      <c r="K425" s="535"/>
      <c r="L425" s="535"/>
    </row>
    <row r="426" spans="2:12" ht="15.75" thickBot="1" x14ac:dyDescent="0.3">
      <c r="B426" s="376"/>
    </row>
    <row r="427" spans="2:12" ht="15.75" thickBot="1" x14ac:dyDescent="0.3">
      <c r="B427" s="1032" t="s">
        <v>977</v>
      </c>
      <c r="C427" s="1033"/>
      <c r="D427" s="1033"/>
      <c r="E427" s="1033"/>
      <c r="F427" s="1033"/>
      <c r="G427" s="1033"/>
      <c r="H427" s="1033"/>
      <c r="I427" s="1033"/>
      <c r="J427" s="1033"/>
      <c r="K427" s="1033"/>
      <c r="L427" s="1034"/>
    </row>
    <row r="428" spans="2:12" ht="15.75" thickBot="1" x14ac:dyDescent="0.3">
      <c r="B428" s="1035" t="s">
        <v>313</v>
      </c>
      <c r="C428" s="1037"/>
      <c r="D428" s="1020" t="s">
        <v>871</v>
      </c>
      <c r="E428" s="1021"/>
      <c r="F428" s="1021"/>
      <c r="G428" s="1022"/>
      <c r="H428" s="1035" t="s">
        <v>978</v>
      </c>
      <c r="I428" s="1037"/>
      <c r="J428" s="1020" t="s">
        <v>979</v>
      </c>
      <c r="K428" s="1021"/>
      <c r="L428" s="1022"/>
    </row>
    <row r="429" spans="2:12" ht="15.75" thickBot="1" x14ac:dyDescent="0.3">
      <c r="B429" s="1035" t="s">
        <v>980</v>
      </c>
      <c r="C429" s="1037"/>
      <c r="D429" s="1020" t="s">
        <v>981</v>
      </c>
      <c r="E429" s="1021"/>
      <c r="F429" s="1021"/>
      <c r="G429" s="1022"/>
      <c r="H429" s="1035" t="s">
        <v>982</v>
      </c>
      <c r="I429" s="1037"/>
      <c r="J429" s="1020" t="s">
        <v>983</v>
      </c>
      <c r="K429" s="1021"/>
      <c r="L429" s="1022"/>
    </row>
    <row r="430" spans="2:12" ht="15.75" thickBot="1" x14ac:dyDescent="0.3">
      <c r="B430" s="1035" t="s">
        <v>984</v>
      </c>
      <c r="C430" s="1037"/>
      <c r="D430" s="1107" t="s">
        <v>1408</v>
      </c>
      <c r="E430" s="1108"/>
      <c r="F430" s="1108"/>
      <c r="G430" s="1109"/>
      <c r="H430" s="1035" t="s">
        <v>38</v>
      </c>
      <c r="I430" s="1037"/>
      <c r="J430" s="1020" t="s">
        <v>753</v>
      </c>
      <c r="K430" s="1021"/>
      <c r="L430" s="1022"/>
    </row>
    <row r="431" spans="2:12" ht="15.75" thickBot="1" x14ac:dyDescent="0.3">
      <c r="B431" s="1035" t="s">
        <v>315</v>
      </c>
      <c r="C431" s="1037"/>
      <c r="D431" s="1020" t="s">
        <v>1501</v>
      </c>
      <c r="E431" s="1021"/>
      <c r="F431" s="1021"/>
      <c r="G431" s="1022"/>
      <c r="H431" s="1035" t="s">
        <v>985</v>
      </c>
      <c r="I431" s="1037"/>
      <c r="J431" s="1020" t="s">
        <v>1154</v>
      </c>
      <c r="K431" s="1021"/>
      <c r="L431" s="1022"/>
    </row>
    <row r="432" spans="2:12" ht="15.75" thickBot="1" x14ac:dyDescent="0.3">
      <c r="B432" s="1035" t="s">
        <v>986</v>
      </c>
      <c r="C432" s="1037"/>
      <c r="D432" s="1020" t="s">
        <v>987</v>
      </c>
      <c r="E432" s="1021"/>
      <c r="F432" s="1021"/>
      <c r="G432" s="1022"/>
      <c r="H432" s="1035" t="s">
        <v>988</v>
      </c>
      <c r="I432" s="1037"/>
      <c r="J432" s="1020" t="s">
        <v>1154</v>
      </c>
      <c r="K432" s="1021"/>
      <c r="L432" s="1022"/>
    </row>
    <row r="433" spans="2:12" ht="15.75" thickBot="1" x14ac:dyDescent="0.3">
      <c r="B433" s="1020"/>
      <c r="C433" s="1021"/>
      <c r="D433" s="1021"/>
      <c r="E433" s="1021"/>
      <c r="F433" s="1021"/>
      <c r="G433" s="1021"/>
      <c r="H433" s="1021"/>
      <c r="I433" s="1021"/>
      <c r="J433" s="1021"/>
      <c r="K433" s="1021"/>
      <c r="L433" s="1022"/>
    </row>
    <row r="434" spans="2:12" x14ac:dyDescent="0.25">
      <c r="B434" s="1100" t="s">
        <v>989</v>
      </c>
      <c r="C434" s="1101"/>
      <c r="D434" s="1102"/>
      <c r="E434" s="1094" t="s">
        <v>1585</v>
      </c>
      <c r="F434" s="1057"/>
      <c r="G434" s="1057"/>
      <c r="H434" s="1057"/>
      <c r="I434" s="1057"/>
      <c r="J434" s="1057"/>
      <c r="K434" s="1057"/>
      <c r="L434" s="1058"/>
    </row>
    <row r="435" spans="2:12" ht="15.75" thickBot="1" x14ac:dyDescent="0.3">
      <c r="B435" s="1104" t="s">
        <v>990</v>
      </c>
      <c r="C435" s="1105"/>
      <c r="D435" s="1106"/>
      <c r="E435" s="1103"/>
      <c r="F435" s="1098"/>
      <c r="G435" s="1098"/>
      <c r="H435" s="1098"/>
      <c r="I435" s="1098"/>
      <c r="J435" s="1098"/>
      <c r="K435" s="1098"/>
      <c r="L435" s="1099"/>
    </row>
    <row r="436" spans="2:12" ht="15.75" thickBot="1" x14ac:dyDescent="0.3">
      <c r="B436" s="1035" t="s">
        <v>991</v>
      </c>
      <c r="C436" s="1036"/>
      <c r="D436" s="1037"/>
      <c r="E436" s="1076" t="s">
        <v>1586</v>
      </c>
      <c r="F436" s="1077"/>
      <c r="G436" s="1077"/>
      <c r="H436" s="1077"/>
      <c r="I436" s="1077"/>
      <c r="J436" s="1077"/>
      <c r="K436" s="1077"/>
      <c r="L436" s="1078"/>
    </row>
    <row r="437" spans="2:12" x14ac:dyDescent="0.25">
      <c r="B437" s="1113" t="s">
        <v>992</v>
      </c>
      <c r="C437" s="1114"/>
      <c r="D437" s="1115"/>
      <c r="E437" s="1094" t="s">
        <v>993</v>
      </c>
      <c r="F437" s="1057"/>
      <c r="G437" s="1057"/>
      <c r="H437" s="1057"/>
      <c r="I437" s="1057"/>
      <c r="J437" s="1057"/>
      <c r="K437" s="1057"/>
      <c r="L437" s="1058"/>
    </row>
    <row r="438" spans="2:12" x14ac:dyDescent="0.25">
      <c r="B438" s="1116"/>
      <c r="C438" s="1117"/>
      <c r="D438" s="1118"/>
      <c r="E438" s="1097" t="s">
        <v>994</v>
      </c>
      <c r="F438" s="1044"/>
      <c r="G438" s="1044"/>
      <c r="H438" s="1044"/>
      <c r="I438" s="1044"/>
      <c r="J438" s="1044"/>
      <c r="K438" s="1044"/>
      <c r="L438" s="1045"/>
    </row>
    <row r="439" spans="2:12" x14ac:dyDescent="0.25">
      <c r="B439" s="1116"/>
      <c r="C439" s="1117"/>
      <c r="D439" s="1118"/>
      <c r="E439" s="1097" t="s">
        <v>995</v>
      </c>
      <c r="F439" s="1044"/>
      <c r="G439" s="1044"/>
      <c r="H439" s="1044"/>
      <c r="I439" s="1044"/>
      <c r="J439" s="1044"/>
      <c r="K439" s="1044"/>
      <c r="L439" s="1045"/>
    </row>
    <row r="440" spans="2:12" ht="15.75" thickBot="1" x14ac:dyDescent="0.3">
      <c r="B440" s="1119"/>
      <c r="C440" s="1120"/>
      <c r="D440" s="1121"/>
      <c r="E440" s="1097" t="s">
        <v>1587</v>
      </c>
      <c r="F440" s="1044"/>
      <c r="G440" s="1044"/>
      <c r="H440" s="1044"/>
      <c r="I440" s="1044"/>
      <c r="J440" s="1044"/>
      <c r="K440" s="1044"/>
      <c r="L440" s="1045"/>
    </row>
    <row r="441" spans="2:12" x14ac:dyDescent="0.25">
      <c r="B441" s="1085" t="s">
        <v>996</v>
      </c>
      <c r="C441" s="1086"/>
      <c r="D441" s="1087"/>
      <c r="E441" s="1094" t="s">
        <v>997</v>
      </c>
      <c r="F441" s="1057"/>
      <c r="G441" s="1057"/>
      <c r="H441" s="1057"/>
      <c r="I441" s="1057"/>
      <c r="J441" s="1057"/>
      <c r="K441" s="1057"/>
      <c r="L441" s="1058"/>
    </row>
    <row r="442" spans="2:12" x14ac:dyDescent="0.25">
      <c r="B442" s="1088"/>
      <c r="C442" s="1089"/>
      <c r="D442" s="1090"/>
      <c r="E442" s="621">
        <v>1</v>
      </c>
      <c r="F442" s="1044" t="s">
        <v>1457</v>
      </c>
      <c r="G442" s="1044"/>
      <c r="H442" s="1044"/>
      <c r="I442" s="1044"/>
      <c r="J442" s="1044"/>
      <c r="K442" s="1044"/>
      <c r="L442" s="1045"/>
    </row>
    <row r="443" spans="2:12" x14ac:dyDescent="0.25">
      <c r="B443" s="1088"/>
      <c r="C443" s="1089"/>
      <c r="D443" s="1090"/>
      <c r="E443" s="621">
        <v>2</v>
      </c>
      <c r="F443" s="1044" t="s">
        <v>1458</v>
      </c>
      <c r="G443" s="1044"/>
      <c r="H443" s="1044"/>
      <c r="I443" s="1044"/>
      <c r="J443" s="1044"/>
      <c r="K443" s="1044"/>
      <c r="L443" s="1045"/>
    </row>
    <row r="444" spans="2:12" x14ac:dyDescent="0.25">
      <c r="B444" s="1088"/>
      <c r="C444" s="1089"/>
      <c r="D444" s="1090"/>
      <c r="E444" s="621">
        <v>3</v>
      </c>
      <c r="F444" s="1044" t="s">
        <v>1459</v>
      </c>
      <c r="G444" s="1044"/>
      <c r="H444" s="1044"/>
      <c r="I444" s="1044"/>
      <c r="J444" s="1044"/>
      <c r="K444" s="1044"/>
      <c r="L444" s="1045"/>
    </row>
    <row r="445" spans="2:12" x14ac:dyDescent="0.25">
      <c r="B445" s="1088"/>
      <c r="C445" s="1089"/>
      <c r="D445" s="1090"/>
      <c r="E445" s="621">
        <v>4</v>
      </c>
      <c r="F445" s="1044" t="s">
        <v>1039</v>
      </c>
      <c r="G445" s="1044"/>
      <c r="H445" s="1044"/>
      <c r="I445" s="1044"/>
      <c r="J445" s="1044"/>
      <c r="K445" s="1044"/>
      <c r="L445" s="1045"/>
    </row>
    <row r="446" spans="2:12" x14ac:dyDescent="0.25">
      <c r="B446" s="1088"/>
      <c r="C446" s="1089"/>
      <c r="D446" s="1090"/>
      <c r="E446" s="621">
        <v>5</v>
      </c>
      <c r="F446" s="1044" t="s">
        <v>1460</v>
      </c>
      <c r="G446" s="1044"/>
      <c r="H446" s="1044"/>
      <c r="I446" s="1044"/>
      <c r="J446" s="1044"/>
      <c r="K446" s="1044"/>
      <c r="L446" s="1045"/>
    </row>
    <row r="447" spans="2:12" x14ac:dyDescent="0.25">
      <c r="B447" s="1088"/>
      <c r="C447" s="1089"/>
      <c r="D447" s="1090"/>
      <c r="E447" s="621">
        <v>6</v>
      </c>
      <c r="F447" s="1044" t="s">
        <v>1461</v>
      </c>
      <c r="G447" s="1044"/>
      <c r="H447" s="1044"/>
      <c r="I447" s="1044"/>
      <c r="J447" s="1044"/>
      <c r="K447" s="1044"/>
      <c r="L447" s="1045"/>
    </row>
    <row r="448" spans="2:12" x14ac:dyDescent="0.25">
      <c r="B448" s="1088"/>
      <c r="C448" s="1089"/>
      <c r="D448" s="1090"/>
      <c r="E448" s="1097" t="s">
        <v>998</v>
      </c>
      <c r="F448" s="1044"/>
      <c r="G448" s="1044"/>
      <c r="H448" s="1044"/>
      <c r="I448" s="1044"/>
      <c r="J448" s="1044"/>
      <c r="K448" s="1044"/>
      <c r="L448" s="1045"/>
    </row>
    <row r="449" spans="2:12" ht="15.75" thickBot="1" x14ac:dyDescent="0.3">
      <c r="B449" s="1091"/>
      <c r="C449" s="1092"/>
      <c r="D449" s="1093"/>
      <c r="E449" s="626">
        <v>1</v>
      </c>
      <c r="F449" s="1098" t="s">
        <v>1462</v>
      </c>
      <c r="G449" s="1098"/>
      <c r="H449" s="1098"/>
      <c r="I449" s="1098"/>
      <c r="J449" s="1098"/>
      <c r="K449" s="1098"/>
      <c r="L449" s="1099"/>
    </row>
    <row r="450" spans="2:12" ht="15.75" thickBot="1" x14ac:dyDescent="0.3">
      <c r="B450" s="1035" t="s">
        <v>999</v>
      </c>
      <c r="C450" s="1036"/>
      <c r="D450" s="1037"/>
      <c r="E450" s="1076" t="s">
        <v>1410</v>
      </c>
      <c r="F450" s="1077"/>
      <c r="G450" s="1077"/>
      <c r="H450" s="1077"/>
      <c r="I450" s="1077"/>
      <c r="J450" s="1077"/>
      <c r="K450" s="1077"/>
      <c r="L450" s="1078"/>
    </row>
    <row r="451" spans="2:12" ht="15.75" thickBot="1" x14ac:dyDescent="0.3">
      <c r="B451" s="1035" t="s">
        <v>629</v>
      </c>
      <c r="C451" s="1036"/>
      <c r="D451" s="1037"/>
      <c r="E451" s="1082" t="s">
        <v>1421</v>
      </c>
      <c r="F451" s="1083"/>
      <c r="G451" s="1083"/>
      <c r="H451" s="1083"/>
      <c r="I451" s="1083"/>
      <c r="J451" s="1083"/>
      <c r="K451" s="1083"/>
      <c r="L451" s="1084"/>
    </row>
    <row r="452" spans="2:12" ht="15.75" thickBot="1" x14ac:dyDescent="0.3">
      <c r="B452" s="1035" t="s">
        <v>1000</v>
      </c>
      <c r="C452" s="1036"/>
      <c r="D452" s="1037"/>
      <c r="E452" s="1076" t="s">
        <v>1420</v>
      </c>
      <c r="F452" s="1077"/>
      <c r="G452" s="1077"/>
      <c r="H452" s="1077"/>
      <c r="I452" s="1077"/>
      <c r="J452" s="1077"/>
      <c r="K452" s="1077"/>
      <c r="L452" s="1078"/>
    </row>
    <row r="453" spans="2:12" ht="15.75" thickBot="1" x14ac:dyDescent="0.3">
      <c r="B453" s="1020"/>
      <c r="C453" s="1021"/>
      <c r="D453" s="1021"/>
      <c r="E453" s="1021"/>
      <c r="F453" s="1021"/>
      <c r="G453" s="1021"/>
      <c r="H453" s="1021"/>
      <c r="I453" s="1021"/>
      <c r="J453" s="1021"/>
      <c r="K453" s="1021"/>
      <c r="L453" s="1022"/>
    </row>
    <row r="454" spans="2:12" ht="15.75" thickBot="1" x14ac:dyDescent="0.3">
      <c r="B454" s="1032" t="s">
        <v>1001</v>
      </c>
      <c r="C454" s="1033"/>
      <c r="D454" s="1033"/>
      <c r="E454" s="1033"/>
      <c r="F454" s="1033"/>
      <c r="G454" s="1033"/>
      <c r="H454" s="1033"/>
      <c r="I454" s="1033"/>
      <c r="J454" s="1033"/>
      <c r="K454" s="1033"/>
      <c r="L454" s="1034"/>
    </row>
    <row r="455" spans="2:12" x14ac:dyDescent="0.25">
      <c r="B455" s="1085" t="s">
        <v>627</v>
      </c>
      <c r="C455" s="1086"/>
      <c r="D455" s="1087"/>
      <c r="E455" s="1094" t="s">
        <v>1463</v>
      </c>
      <c r="F455" s="1057"/>
      <c r="G455" s="1057"/>
      <c r="H455" s="1057"/>
      <c r="I455" s="1057"/>
      <c r="J455" s="1057"/>
      <c r="K455" s="1057"/>
      <c r="L455" s="1058"/>
    </row>
    <row r="456" spans="2:12" x14ac:dyDescent="0.25">
      <c r="B456" s="1088"/>
      <c r="C456" s="1089"/>
      <c r="D456" s="1090"/>
      <c r="E456" s="627">
        <v>1</v>
      </c>
      <c r="F456" s="1095" t="s">
        <v>1588</v>
      </c>
      <c r="G456" s="1095"/>
      <c r="H456" s="1095"/>
      <c r="I456" s="1095"/>
      <c r="J456" s="1095"/>
      <c r="K456" s="1095"/>
      <c r="L456" s="1096"/>
    </row>
    <row r="457" spans="2:12" x14ac:dyDescent="0.25">
      <c r="B457" s="1088"/>
      <c r="C457" s="1089"/>
      <c r="D457" s="1090"/>
      <c r="E457" s="627">
        <v>2</v>
      </c>
      <c r="F457" s="1095" t="s">
        <v>1589</v>
      </c>
      <c r="G457" s="1095"/>
      <c r="H457" s="1095"/>
      <c r="I457" s="1095"/>
      <c r="J457" s="1095"/>
      <c r="K457" s="1095"/>
      <c r="L457" s="1096"/>
    </row>
    <row r="458" spans="2:12" x14ac:dyDescent="0.25">
      <c r="B458" s="1088"/>
      <c r="C458" s="1089"/>
      <c r="D458" s="1090"/>
      <c r="E458" s="627">
        <v>3</v>
      </c>
      <c r="F458" s="1095" t="s">
        <v>1590</v>
      </c>
      <c r="G458" s="1095"/>
      <c r="H458" s="1095"/>
      <c r="I458" s="1095"/>
      <c r="J458" s="1095"/>
      <c r="K458" s="1095"/>
      <c r="L458" s="1096"/>
    </row>
    <row r="459" spans="2:12" ht="15.75" thickBot="1" x14ac:dyDescent="0.3">
      <c r="B459" s="1091"/>
      <c r="C459" s="1092"/>
      <c r="D459" s="1093"/>
      <c r="E459" s="627">
        <v>4</v>
      </c>
      <c r="F459" s="1095" t="s">
        <v>1568</v>
      </c>
      <c r="G459" s="1095"/>
      <c r="H459" s="1095"/>
      <c r="I459" s="1095"/>
      <c r="J459" s="1095"/>
      <c r="K459" s="1095"/>
      <c r="L459" s="1096"/>
    </row>
    <row r="460" spans="2:12" ht="15.75" thickBot="1" x14ac:dyDescent="0.3">
      <c r="B460" s="1035" t="s">
        <v>1002</v>
      </c>
      <c r="C460" s="1036"/>
      <c r="D460" s="1037"/>
      <c r="E460" s="1076" t="s">
        <v>1591</v>
      </c>
      <c r="F460" s="1077"/>
      <c r="G460" s="1077"/>
      <c r="H460" s="1077"/>
      <c r="I460" s="1077"/>
      <c r="J460" s="1077"/>
      <c r="K460" s="1077"/>
      <c r="L460" s="1078"/>
    </row>
    <row r="461" spans="2:12" ht="15.75" thickBot="1" x14ac:dyDescent="0.3">
      <c r="B461" s="1035" t="s">
        <v>1003</v>
      </c>
      <c r="C461" s="1036"/>
      <c r="D461" s="1037"/>
      <c r="E461" s="1076" t="s">
        <v>1004</v>
      </c>
      <c r="F461" s="1077"/>
      <c r="G461" s="1077"/>
      <c r="H461" s="1077"/>
      <c r="I461" s="1077"/>
      <c r="J461" s="1077"/>
      <c r="K461" s="1077"/>
      <c r="L461" s="1078"/>
    </row>
    <row r="462" spans="2:12" ht="15.75" thickBot="1" x14ac:dyDescent="0.3">
      <c r="B462" s="1035" t="s">
        <v>626</v>
      </c>
      <c r="C462" s="1036"/>
      <c r="D462" s="1037"/>
      <c r="E462" s="1079" t="s">
        <v>1592</v>
      </c>
      <c r="F462" s="1080"/>
      <c r="G462" s="1080"/>
      <c r="H462" s="1080"/>
      <c r="I462" s="1080"/>
      <c r="J462" s="1080"/>
      <c r="K462" s="1080"/>
      <c r="L462" s="1081"/>
    </row>
    <row r="463" spans="2:12" ht="15.75" thickBot="1" x14ac:dyDescent="0.3">
      <c r="B463" s="1020"/>
      <c r="C463" s="1021"/>
      <c r="D463" s="1021"/>
      <c r="E463" s="1021"/>
      <c r="F463" s="1021"/>
      <c r="G463" s="1021"/>
      <c r="H463" s="1021"/>
      <c r="I463" s="1021"/>
      <c r="J463" s="1021"/>
      <c r="K463" s="1021"/>
      <c r="L463" s="1022"/>
    </row>
    <row r="464" spans="2:12" ht="15.75" thickBot="1" x14ac:dyDescent="0.3">
      <c r="B464" s="1032" t="s">
        <v>1005</v>
      </c>
      <c r="C464" s="1033"/>
      <c r="D464" s="1033"/>
      <c r="E464" s="1033"/>
      <c r="F464" s="1033"/>
      <c r="G464" s="1033"/>
      <c r="H464" s="1033"/>
      <c r="I464" s="1033"/>
      <c r="J464" s="1033"/>
      <c r="K464" s="1033"/>
      <c r="L464" s="1034"/>
    </row>
    <row r="465" spans="2:12" ht="15.75" thickBot="1" x14ac:dyDescent="0.3">
      <c r="B465" s="1035" t="s">
        <v>1414</v>
      </c>
      <c r="C465" s="1036"/>
      <c r="D465" s="1036"/>
      <c r="E465" s="1036"/>
      <c r="F465" s="1036"/>
      <c r="G465" s="1036"/>
      <c r="H465" s="1036"/>
      <c r="I465" s="1036"/>
      <c r="J465" s="1036"/>
      <c r="K465" s="1036"/>
      <c r="L465" s="1037"/>
    </row>
    <row r="466" spans="2:12" ht="15.75" thickBot="1" x14ac:dyDescent="0.3">
      <c r="B466" s="1035" t="s">
        <v>1006</v>
      </c>
      <c r="C466" s="1036"/>
      <c r="D466" s="1037"/>
      <c r="E466" s="1020" t="s">
        <v>1593</v>
      </c>
      <c r="F466" s="1021"/>
      <c r="G466" s="1021"/>
      <c r="H466" s="1021"/>
      <c r="I466" s="1021"/>
      <c r="J466" s="1021"/>
      <c r="K466" s="1021"/>
      <c r="L466" s="1022"/>
    </row>
    <row r="467" spans="2:12" ht="15.75" thickBot="1" x14ac:dyDescent="0.3">
      <c r="B467" s="1035" t="s">
        <v>1007</v>
      </c>
      <c r="C467" s="1036"/>
      <c r="D467" s="1037"/>
      <c r="E467" s="1070"/>
      <c r="F467" s="1071"/>
      <c r="G467" s="1071"/>
      <c r="H467" s="1071"/>
      <c r="I467" s="1071"/>
      <c r="J467" s="1072"/>
      <c r="K467" s="378" t="s">
        <v>1008</v>
      </c>
      <c r="L467" s="631" t="s">
        <v>1417</v>
      </c>
    </row>
    <row r="468" spans="2:12" x14ac:dyDescent="0.25">
      <c r="B468" s="1073"/>
      <c r="C468" s="1074"/>
      <c r="D468" s="1074"/>
      <c r="E468" s="1074"/>
      <c r="F468" s="1074"/>
      <c r="G468" s="1074"/>
      <c r="H468" s="1074"/>
      <c r="I468" s="1074"/>
      <c r="J468" s="1074"/>
      <c r="K468" s="1074"/>
      <c r="L468" s="1075"/>
    </row>
    <row r="469" spans="2:12" x14ac:dyDescent="0.25">
      <c r="B469" s="632">
        <v>1</v>
      </c>
      <c r="C469" s="624"/>
      <c r="D469" s="1044" t="s">
        <v>1441</v>
      </c>
      <c r="E469" s="1044"/>
      <c r="F469" s="1044"/>
      <c r="G469" s="1044"/>
      <c r="H469" s="1044"/>
      <c r="I469" s="1044"/>
      <c r="J469" s="1044"/>
      <c r="K469" s="1044"/>
      <c r="L469" s="1045"/>
    </row>
    <row r="470" spans="2:12" x14ac:dyDescent="0.25">
      <c r="B470" s="628">
        <v>2</v>
      </c>
      <c r="C470" s="624"/>
      <c r="D470" s="1044" t="s">
        <v>1432</v>
      </c>
      <c r="E470" s="1044"/>
      <c r="F470" s="1044"/>
      <c r="G470" s="1044"/>
      <c r="H470" s="1044"/>
      <c r="I470" s="1044"/>
      <c r="J470" s="1044"/>
      <c r="K470" s="1044"/>
      <c r="L470" s="1045"/>
    </row>
    <row r="471" spans="2:12" x14ac:dyDescent="0.25">
      <c r="B471" s="628">
        <v>3</v>
      </c>
      <c r="C471" s="624"/>
      <c r="D471" s="1044" t="s">
        <v>1438</v>
      </c>
      <c r="E471" s="1044"/>
      <c r="F471" s="1044"/>
      <c r="G471" s="1044"/>
      <c r="H471" s="1044"/>
      <c r="I471" s="1044"/>
      <c r="J471" s="1044"/>
      <c r="K471" s="1044"/>
      <c r="L471" s="1045"/>
    </row>
    <row r="472" spans="2:12" x14ac:dyDescent="0.25">
      <c r="B472" s="628">
        <v>4</v>
      </c>
      <c r="C472" s="624"/>
      <c r="D472" s="1044" t="s">
        <v>1433</v>
      </c>
      <c r="E472" s="1044"/>
      <c r="F472" s="1044"/>
      <c r="G472" s="1044"/>
      <c r="H472" s="1044"/>
      <c r="I472" s="1044"/>
      <c r="J472" s="1044"/>
      <c r="K472" s="1044"/>
      <c r="L472" s="1045"/>
    </row>
    <row r="473" spans="2:12" x14ac:dyDescent="0.25">
      <c r="B473" s="628">
        <v>5</v>
      </c>
      <c r="C473" s="150"/>
      <c r="D473" s="1044" t="s">
        <v>1439</v>
      </c>
      <c r="E473" s="1044"/>
      <c r="F473" s="1044"/>
      <c r="G473" s="1044"/>
      <c r="H473" s="1044"/>
      <c r="I473" s="1044"/>
      <c r="J473" s="1044"/>
      <c r="K473" s="1044"/>
      <c r="L473" s="1045"/>
    </row>
    <row r="474" spans="2:12" x14ac:dyDescent="0.25">
      <c r="B474" s="628">
        <v>6</v>
      </c>
      <c r="C474" s="624"/>
      <c r="D474" s="1044" t="s">
        <v>1442</v>
      </c>
      <c r="E474" s="1044"/>
      <c r="F474" s="1044"/>
      <c r="G474" s="1044"/>
      <c r="H474" s="1044"/>
      <c r="I474" s="1044"/>
      <c r="J474" s="1044"/>
      <c r="K474" s="1044"/>
      <c r="L474" s="1045"/>
    </row>
    <row r="475" spans="2:12" x14ac:dyDescent="0.25">
      <c r="B475" s="628">
        <v>7</v>
      </c>
      <c r="C475" s="624"/>
      <c r="D475" s="1044" t="s">
        <v>1443</v>
      </c>
      <c r="E475" s="1044"/>
      <c r="F475" s="1044"/>
      <c r="G475" s="1044"/>
      <c r="H475" s="1044"/>
      <c r="I475" s="1044"/>
      <c r="J475" s="1044"/>
      <c r="K475" s="1044"/>
      <c r="L475" s="1045"/>
    </row>
    <row r="476" spans="2:12" x14ac:dyDescent="0.25">
      <c r="B476" s="628">
        <v>8</v>
      </c>
      <c r="C476" s="624"/>
      <c r="D476" s="1044" t="s">
        <v>1434</v>
      </c>
      <c r="E476" s="1044"/>
      <c r="F476" s="1044"/>
      <c r="G476" s="1044"/>
      <c r="H476" s="1044"/>
      <c r="I476" s="1044"/>
      <c r="J476" s="1044"/>
      <c r="K476" s="1044"/>
      <c r="L476" s="1045"/>
    </row>
    <row r="477" spans="2:12" x14ac:dyDescent="0.25">
      <c r="B477" s="628" t="s">
        <v>1435</v>
      </c>
      <c r="C477" s="624" t="s">
        <v>1437</v>
      </c>
      <c r="D477" s="1044" t="s">
        <v>1594</v>
      </c>
      <c r="E477" s="1044"/>
      <c r="F477" s="1044"/>
      <c r="G477" s="1044"/>
      <c r="H477" s="1044"/>
      <c r="I477" s="1044"/>
      <c r="J477" s="1044"/>
      <c r="K477" s="1044"/>
      <c r="L477" s="1045"/>
    </row>
    <row r="478" spans="2:12" x14ac:dyDescent="0.25">
      <c r="B478" s="628">
        <v>9</v>
      </c>
      <c r="C478" s="242"/>
      <c r="D478" s="1044" t="s">
        <v>1440</v>
      </c>
      <c r="E478" s="1044"/>
      <c r="F478" s="1044"/>
      <c r="G478" s="1044"/>
      <c r="H478" s="1044"/>
      <c r="I478" s="1044"/>
      <c r="J478" s="1044"/>
      <c r="K478" s="1044"/>
      <c r="L478" s="1045"/>
    </row>
    <row r="479" spans="2:12" x14ac:dyDescent="0.25">
      <c r="B479" s="1067"/>
      <c r="C479" s="1068"/>
      <c r="D479" s="1068"/>
      <c r="E479" s="1068"/>
      <c r="F479" s="1068"/>
      <c r="G479" s="1068"/>
      <c r="H479" s="1068"/>
      <c r="I479" s="1068"/>
      <c r="J479" s="1068"/>
      <c r="K479" s="1068"/>
      <c r="L479" s="1069"/>
    </row>
    <row r="480" spans="2:12" ht="15.75" thickBot="1" x14ac:dyDescent="0.3">
      <c r="B480" s="1046"/>
      <c r="C480" s="1047"/>
      <c r="D480" s="1047"/>
      <c r="E480" s="1047"/>
      <c r="F480" s="1047"/>
      <c r="G480" s="1047"/>
      <c r="H480" s="1047"/>
      <c r="I480" s="1047"/>
      <c r="J480" s="1047"/>
      <c r="K480" s="1047"/>
      <c r="L480" s="1048"/>
    </row>
    <row r="481" spans="2:12" ht="15.75" thickBot="1" x14ac:dyDescent="0.3">
      <c r="B481" s="1054" t="s">
        <v>1009</v>
      </c>
      <c r="C481" s="1055"/>
      <c r="D481" s="1056"/>
      <c r="E481" s="1020"/>
      <c r="F481" s="1021"/>
      <c r="G481" s="1021"/>
      <c r="H481" s="1021"/>
      <c r="I481" s="1021"/>
      <c r="J481" s="1022"/>
      <c r="K481" s="378" t="s">
        <v>1008</v>
      </c>
      <c r="L481" s="631" t="s">
        <v>1415</v>
      </c>
    </row>
    <row r="482" spans="2:12" x14ac:dyDescent="0.25">
      <c r="B482" s="1064"/>
      <c r="C482" s="1065"/>
      <c r="D482" s="1065"/>
      <c r="E482" s="1065"/>
      <c r="F482" s="1065"/>
      <c r="G482" s="1065"/>
      <c r="H482" s="1065"/>
      <c r="I482" s="1065"/>
      <c r="J482" s="1065"/>
      <c r="K482" s="1065"/>
      <c r="L482" s="1066"/>
    </row>
    <row r="483" spans="2:12" x14ac:dyDescent="0.25">
      <c r="B483" s="620" t="s">
        <v>1</v>
      </c>
      <c r="C483" s="1059" t="s">
        <v>1444</v>
      </c>
      <c r="D483" s="1059"/>
      <c r="E483" s="1059"/>
      <c r="F483" s="1059"/>
      <c r="G483" s="1059"/>
      <c r="H483" s="1059"/>
      <c r="I483" s="1059"/>
      <c r="J483" s="1059"/>
      <c r="K483" s="1059"/>
      <c r="L483" s="1060"/>
    </row>
    <row r="484" spans="2:12" x14ac:dyDescent="0.25">
      <c r="B484" s="615"/>
      <c r="C484" s="624">
        <v>1</v>
      </c>
      <c r="D484" s="1044" t="s">
        <v>1595</v>
      </c>
      <c r="E484" s="1044"/>
      <c r="F484" s="1044"/>
      <c r="G484" s="1044"/>
      <c r="H484" s="1044"/>
      <c r="I484" s="1044"/>
      <c r="J484" s="1044"/>
      <c r="K484" s="1044"/>
      <c r="L484" s="1045"/>
    </row>
    <row r="485" spans="2:12" x14ac:dyDescent="0.25">
      <c r="B485" s="615"/>
      <c r="C485" s="150"/>
      <c r="D485" s="142" t="s">
        <v>1437</v>
      </c>
      <c r="E485" s="1044" t="s">
        <v>1446</v>
      </c>
      <c r="F485" s="1044"/>
      <c r="G485" s="1044"/>
      <c r="H485" s="1044"/>
      <c r="I485" s="1044"/>
      <c r="J485" s="1044"/>
      <c r="K485" s="1044"/>
      <c r="L485" s="1045"/>
    </row>
    <row r="486" spans="2:12" x14ac:dyDescent="0.25">
      <c r="B486" s="615"/>
      <c r="C486" s="150"/>
      <c r="D486" s="625" t="s">
        <v>1466</v>
      </c>
      <c r="E486" s="1044" t="s">
        <v>1447</v>
      </c>
      <c r="F486" s="1044"/>
      <c r="G486" s="1044"/>
      <c r="H486" s="1044"/>
      <c r="I486" s="1044"/>
      <c r="J486" s="1044"/>
      <c r="K486" s="1044"/>
      <c r="L486" s="1045"/>
    </row>
    <row r="487" spans="2:12" x14ac:dyDescent="0.25">
      <c r="B487" s="615"/>
      <c r="C487" s="150"/>
      <c r="D487" s="625" t="s">
        <v>1464</v>
      </c>
      <c r="E487" s="1044" t="s">
        <v>1448</v>
      </c>
      <c r="F487" s="1044"/>
      <c r="G487" s="1044"/>
      <c r="H487" s="1044"/>
      <c r="I487" s="1044"/>
      <c r="J487" s="1044"/>
      <c r="K487" s="1044"/>
      <c r="L487" s="1045"/>
    </row>
    <row r="488" spans="2:12" x14ac:dyDescent="0.25">
      <c r="B488" s="615"/>
      <c r="C488" s="624">
        <v>2</v>
      </c>
      <c r="D488" s="1044" t="s">
        <v>1596</v>
      </c>
      <c r="E488" s="1044"/>
      <c r="F488" s="1044"/>
      <c r="G488" s="1044"/>
      <c r="H488" s="1044"/>
      <c r="I488" s="1044"/>
      <c r="J488" s="1044"/>
      <c r="K488" s="1044"/>
      <c r="L488" s="1045"/>
    </row>
    <row r="489" spans="2:12" x14ac:dyDescent="0.25">
      <c r="B489" s="615"/>
      <c r="C489" s="150">
        <v>3</v>
      </c>
      <c r="D489" s="1044" t="s">
        <v>1450</v>
      </c>
      <c r="E489" s="1044"/>
      <c r="F489" s="1044"/>
      <c r="G489" s="1044"/>
      <c r="H489" s="1044"/>
      <c r="I489" s="1044"/>
      <c r="J489" s="1044"/>
      <c r="K489" s="1044"/>
      <c r="L489" s="1045"/>
    </row>
    <row r="490" spans="2:12" x14ac:dyDescent="0.25">
      <c r="B490" s="615"/>
      <c r="C490" s="150"/>
      <c r="D490" s="625" t="s">
        <v>1437</v>
      </c>
      <c r="E490" s="1044" t="s">
        <v>1597</v>
      </c>
      <c r="F490" s="1044"/>
      <c r="G490" s="1044"/>
      <c r="H490" s="1044"/>
      <c r="I490" s="1044"/>
      <c r="J490" s="1044"/>
      <c r="K490" s="1044"/>
      <c r="L490" s="1045"/>
    </row>
    <row r="491" spans="2:12" x14ac:dyDescent="0.25">
      <c r="B491" s="615"/>
      <c r="C491" s="150"/>
      <c r="D491" s="625" t="s">
        <v>1466</v>
      </c>
      <c r="E491" s="1044" t="s">
        <v>1452</v>
      </c>
      <c r="F491" s="1044"/>
      <c r="G491" s="1044"/>
      <c r="H491" s="1044"/>
      <c r="I491" s="1044"/>
      <c r="J491" s="1044"/>
      <c r="K491" s="1044"/>
      <c r="L491" s="1045"/>
    </row>
    <row r="492" spans="2:12" x14ac:dyDescent="0.25">
      <c r="B492" s="615"/>
      <c r="C492" s="150"/>
      <c r="D492" s="142" t="s">
        <v>1464</v>
      </c>
      <c r="E492" s="1044" t="s">
        <v>1453</v>
      </c>
      <c r="F492" s="1044"/>
      <c r="G492" s="1044"/>
      <c r="H492" s="1044"/>
      <c r="I492" s="1044"/>
      <c r="J492" s="1044"/>
      <c r="K492" s="1044"/>
      <c r="L492" s="1045"/>
    </row>
    <row r="493" spans="2:12" x14ac:dyDescent="0.25">
      <c r="B493" s="615"/>
      <c r="C493" s="150"/>
      <c r="D493" s="142" t="s">
        <v>1465</v>
      </c>
      <c r="E493" s="1044" t="s">
        <v>1454</v>
      </c>
      <c r="F493" s="1044"/>
      <c r="G493" s="1044"/>
      <c r="H493" s="1044"/>
      <c r="I493" s="1044"/>
      <c r="J493" s="1044"/>
      <c r="K493" s="1044"/>
      <c r="L493" s="1045"/>
    </row>
    <row r="494" spans="2:12" x14ac:dyDescent="0.25">
      <c r="B494" s="615"/>
      <c r="C494" s="624">
        <v>4</v>
      </c>
      <c r="D494" s="1044" t="s">
        <v>1551</v>
      </c>
      <c r="E494" s="1044"/>
      <c r="F494" s="1044"/>
      <c r="G494" s="1044"/>
      <c r="H494" s="1044"/>
      <c r="I494" s="1044"/>
      <c r="J494" s="1044"/>
      <c r="K494" s="1044"/>
      <c r="L494" s="1045"/>
    </row>
    <row r="495" spans="2:12" x14ac:dyDescent="0.25">
      <c r="B495" s="615"/>
      <c r="C495" s="150"/>
      <c r="D495" s="142" t="s">
        <v>1437</v>
      </c>
      <c r="E495" s="1044" t="s">
        <v>1456</v>
      </c>
      <c r="F495" s="1044"/>
      <c r="G495" s="1044"/>
      <c r="H495" s="1044"/>
      <c r="I495" s="1044"/>
      <c r="J495" s="1044"/>
      <c r="K495" s="1044"/>
      <c r="L495" s="1045"/>
    </row>
    <row r="496" spans="2:12" x14ac:dyDescent="0.25">
      <c r="B496" s="1063"/>
      <c r="C496" s="1059"/>
      <c r="D496" s="1059"/>
      <c r="E496" s="1059"/>
      <c r="F496" s="1059"/>
      <c r="G496" s="1059"/>
      <c r="H496" s="1059"/>
      <c r="I496" s="1059"/>
      <c r="J496" s="1059"/>
      <c r="K496" s="1059"/>
      <c r="L496" s="1060"/>
    </row>
    <row r="497" spans="2:12" x14ac:dyDescent="0.25">
      <c r="B497" s="620" t="s">
        <v>2</v>
      </c>
      <c r="C497" s="1059" t="s">
        <v>1467</v>
      </c>
      <c r="D497" s="1059"/>
      <c r="E497" s="1059"/>
      <c r="F497" s="1059"/>
      <c r="G497" s="1059"/>
      <c r="H497" s="1059"/>
      <c r="I497" s="1059"/>
      <c r="J497" s="1059"/>
      <c r="K497" s="1059"/>
      <c r="L497" s="1060"/>
    </row>
    <row r="498" spans="2:12" x14ac:dyDescent="0.25">
      <c r="B498" s="615"/>
      <c r="C498" s="624">
        <v>1</v>
      </c>
      <c r="D498" s="1052" t="s">
        <v>1598</v>
      </c>
      <c r="E498" s="1052"/>
      <c r="F498" s="1052"/>
      <c r="G498" s="1052"/>
      <c r="H498" s="1052"/>
      <c r="I498" s="1052"/>
      <c r="J498" s="1052"/>
      <c r="K498" s="1052"/>
      <c r="L498" s="1053"/>
    </row>
    <row r="499" spans="2:12" x14ac:dyDescent="0.25">
      <c r="B499" s="615"/>
      <c r="C499" s="150">
        <v>2</v>
      </c>
      <c r="D499" s="1052" t="s">
        <v>1468</v>
      </c>
      <c r="E499" s="1052"/>
      <c r="F499" s="1052"/>
      <c r="G499" s="1052"/>
      <c r="H499" s="1052"/>
      <c r="I499" s="1052"/>
      <c r="J499" s="1052"/>
      <c r="K499" s="1052"/>
      <c r="L499" s="1053"/>
    </row>
    <row r="500" spans="2:12" x14ac:dyDescent="0.25">
      <c r="B500" s="615"/>
      <c r="C500" s="150">
        <v>3</v>
      </c>
      <c r="D500" s="1052" t="s">
        <v>1469</v>
      </c>
      <c r="E500" s="1052"/>
      <c r="F500" s="1052"/>
      <c r="G500" s="1052"/>
      <c r="H500" s="1052"/>
      <c r="I500" s="1052"/>
      <c r="J500" s="1052"/>
      <c r="K500" s="1052"/>
      <c r="L500" s="1053"/>
    </row>
    <row r="501" spans="2:12" x14ac:dyDescent="0.25">
      <c r="B501" s="615"/>
      <c r="C501" s="150">
        <v>4</v>
      </c>
      <c r="D501" s="1052" t="s">
        <v>1599</v>
      </c>
      <c r="E501" s="1052"/>
      <c r="F501" s="1052"/>
      <c r="G501" s="1052"/>
      <c r="H501" s="1052"/>
      <c r="I501" s="1052"/>
      <c r="J501" s="1052"/>
      <c r="K501" s="1052"/>
      <c r="L501" s="1053"/>
    </row>
    <row r="502" spans="2:12" x14ac:dyDescent="0.25">
      <c r="B502" s="615"/>
      <c r="C502" s="1061"/>
      <c r="D502" s="1061"/>
      <c r="E502" s="1061"/>
      <c r="F502" s="1061"/>
      <c r="G502" s="1061"/>
      <c r="H502" s="1061"/>
      <c r="I502" s="1061"/>
      <c r="J502" s="1061"/>
      <c r="K502" s="1061"/>
      <c r="L502" s="1062"/>
    </row>
    <row r="503" spans="2:12" x14ac:dyDescent="0.25">
      <c r="B503" s="620" t="s">
        <v>3</v>
      </c>
      <c r="C503" s="1059" t="s">
        <v>1471</v>
      </c>
      <c r="D503" s="1059"/>
      <c r="E503" s="1059"/>
      <c r="F503" s="1059"/>
      <c r="G503" s="1059"/>
      <c r="H503" s="1059"/>
      <c r="I503" s="1059"/>
      <c r="J503" s="1059"/>
      <c r="K503" s="1059"/>
      <c r="L503" s="1060"/>
    </row>
    <row r="504" spans="2:12" x14ac:dyDescent="0.25">
      <c r="B504" s="615"/>
      <c r="C504" s="150">
        <v>1</v>
      </c>
      <c r="D504" s="1044" t="s">
        <v>1600</v>
      </c>
      <c r="E504" s="1044"/>
      <c r="F504" s="1044"/>
      <c r="G504" s="1044"/>
      <c r="H504" s="1044"/>
      <c r="I504" s="1044"/>
      <c r="J504" s="1044"/>
      <c r="K504" s="1044"/>
      <c r="L504" s="1045"/>
    </row>
    <row r="505" spans="2:12" x14ac:dyDescent="0.25">
      <c r="B505" s="615"/>
      <c r="C505" s="624">
        <v>2</v>
      </c>
      <c r="D505" s="1044" t="s">
        <v>1473</v>
      </c>
      <c r="E505" s="1044"/>
      <c r="F505" s="1044"/>
      <c r="G505" s="1044"/>
      <c r="H505" s="1044"/>
      <c r="I505" s="1044"/>
      <c r="J505" s="1044"/>
      <c r="K505" s="1044"/>
      <c r="L505" s="1045"/>
    </row>
    <row r="506" spans="2:12" x14ac:dyDescent="0.25">
      <c r="B506" s="615"/>
      <c r="C506" s="624">
        <v>3</v>
      </c>
      <c r="D506" s="1044" t="s">
        <v>1601</v>
      </c>
      <c r="E506" s="1044"/>
      <c r="F506" s="1044"/>
      <c r="G506" s="1044"/>
      <c r="H506" s="1044"/>
      <c r="I506" s="1044"/>
      <c r="J506" s="1044"/>
      <c r="K506" s="1044"/>
      <c r="L506" s="1045"/>
    </row>
    <row r="507" spans="2:12" x14ac:dyDescent="0.25">
      <c r="B507" s="615"/>
      <c r="C507" s="150">
        <v>4</v>
      </c>
      <c r="D507" s="1044" t="s">
        <v>1602</v>
      </c>
      <c r="E507" s="1044"/>
      <c r="F507" s="1044"/>
      <c r="G507" s="1044"/>
      <c r="H507" s="1044"/>
      <c r="I507" s="1044"/>
      <c r="J507" s="1044"/>
      <c r="K507" s="1044"/>
      <c r="L507" s="1045"/>
    </row>
    <row r="508" spans="2:12" x14ac:dyDescent="0.25">
      <c r="B508" s="615"/>
      <c r="C508" s="616"/>
      <c r="D508" s="616"/>
      <c r="E508" s="616"/>
      <c r="F508" s="616"/>
      <c r="G508" s="616"/>
      <c r="H508" s="616"/>
      <c r="I508" s="616"/>
      <c r="J508" s="616"/>
      <c r="K508" s="616"/>
      <c r="L508" s="617"/>
    </row>
    <row r="509" spans="2:12" x14ac:dyDescent="0.25">
      <c r="B509" s="620" t="s">
        <v>67</v>
      </c>
      <c r="C509" s="1059" t="s">
        <v>1476</v>
      </c>
      <c r="D509" s="1059"/>
      <c r="E509" s="1059"/>
      <c r="F509" s="1059"/>
      <c r="G509" s="1059"/>
      <c r="H509" s="1059"/>
      <c r="I509" s="1059"/>
      <c r="J509" s="1059"/>
      <c r="K509" s="1059"/>
      <c r="L509" s="1060"/>
    </row>
    <row r="510" spans="2:12" x14ac:dyDescent="0.25">
      <c r="B510" s="615"/>
      <c r="C510" s="624">
        <v>1</v>
      </c>
      <c r="D510" s="1044" t="s">
        <v>1603</v>
      </c>
      <c r="E510" s="1044"/>
      <c r="F510" s="1044"/>
      <c r="G510" s="1044"/>
      <c r="H510" s="1044"/>
      <c r="I510" s="1044"/>
      <c r="J510" s="1044"/>
      <c r="K510" s="1044"/>
      <c r="L510" s="1045"/>
    </row>
    <row r="511" spans="2:12" x14ac:dyDescent="0.25">
      <c r="B511" s="615"/>
      <c r="C511" s="624">
        <v>2</v>
      </c>
      <c r="D511" s="1044" t="s">
        <v>1604</v>
      </c>
      <c r="E511" s="1044"/>
      <c r="F511" s="1044"/>
      <c r="G511" s="1044"/>
      <c r="H511" s="1044"/>
      <c r="I511" s="1044"/>
      <c r="J511" s="1044"/>
      <c r="K511" s="1044"/>
      <c r="L511" s="1045"/>
    </row>
    <row r="512" spans="2:12" x14ac:dyDescent="0.25">
      <c r="B512" s="615"/>
      <c r="C512" s="150">
        <v>3</v>
      </c>
      <c r="D512" s="1044" t="s">
        <v>1478</v>
      </c>
      <c r="E512" s="1044"/>
      <c r="F512" s="1044"/>
      <c r="G512" s="1044"/>
      <c r="H512" s="1044"/>
      <c r="I512" s="1044"/>
      <c r="J512" s="1044"/>
      <c r="K512" s="1044"/>
      <c r="L512" s="1045"/>
    </row>
    <row r="513" spans="2:12" x14ac:dyDescent="0.25">
      <c r="B513" s="615"/>
      <c r="C513" s="150"/>
      <c r="D513" s="622"/>
      <c r="E513" s="622"/>
      <c r="F513" s="622"/>
      <c r="G513" s="622"/>
      <c r="H513" s="622"/>
      <c r="I513" s="622"/>
      <c r="J513" s="622"/>
      <c r="K513" s="622"/>
      <c r="L513" s="623"/>
    </row>
    <row r="514" spans="2:12" x14ac:dyDescent="0.25">
      <c r="B514" s="620" t="s">
        <v>1479</v>
      </c>
      <c r="C514" s="1059" t="s">
        <v>1480</v>
      </c>
      <c r="D514" s="1059"/>
      <c r="E514" s="1059"/>
      <c r="F514" s="1059"/>
      <c r="G514" s="1059"/>
      <c r="H514" s="1059"/>
      <c r="I514" s="1059"/>
      <c r="J514" s="1059"/>
      <c r="K514" s="1059"/>
      <c r="L514" s="1060"/>
    </row>
    <row r="515" spans="2:12" x14ac:dyDescent="0.25">
      <c r="B515" s="615"/>
      <c r="C515" s="150">
        <v>1</v>
      </c>
      <c r="D515" s="1044" t="s">
        <v>1423</v>
      </c>
      <c r="E515" s="1044"/>
      <c r="F515" s="1044"/>
      <c r="G515" s="1044"/>
      <c r="H515" s="1044"/>
      <c r="I515" s="1044"/>
      <c r="J515" s="1044"/>
      <c r="K515" s="1044"/>
      <c r="L515" s="1045"/>
    </row>
    <row r="516" spans="2:12" x14ac:dyDescent="0.25">
      <c r="B516" s="615"/>
      <c r="C516" s="150">
        <v>2</v>
      </c>
      <c r="D516" s="1095" t="s">
        <v>1578</v>
      </c>
      <c r="E516" s="1095"/>
      <c r="F516" s="1095"/>
      <c r="G516" s="1095"/>
      <c r="H516" s="1095"/>
      <c r="I516" s="1095"/>
      <c r="J516" s="1095"/>
      <c r="K516" s="1095"/>
      <c r="L516" s="1096"/>
    </row>
    <row r="517" spans="2:12" x14ac:dyDescent="0.25">
      <c r="B517" s="615"/>
      <c r="C517" s="150">
        <v>3</v>
      </c>
      <c r="D517" s="1044" t="s">
        <v>1424</v>
      </c>
      <c r="E517" s="1044"/>
      <c r="F517" s="1044"/>
      <c r="G517" s="1044"/>
      <c r="H517" s="1044"/>
      <c r="I517" s="1044"/>
      <c r="J517" s="1044"/>
      <c r="K517" s="1044"/>
      <c r="L517" s="1045"/>
    </row>
    <row r="518" spans="2:12" x14ac:dyDescent="0.25">
      <c r="B518" s="615"/>
      <c r="C518" s="624">
        <v>4</v>
      </c>
      <c r="D518" s="1044" t="s">
        <v>1485</v>
      </c>
      <c r="E518" s="1044"/>
      <c r="F518" s="1044"/>
      <c r="G518" s="1044"/>
      <c r="H518" s="1044"/>
      <c r="I518" s="1044"/>
      <c r="J518" s="1044"/>
      <c r="K518" s="1044"/>
      <c r="L518" s="1045"/>
    </row>
    <row r="519" spans="2:12" x14ac:dyDescent="0.25">
      <c r="B519" s="615"/>
      <c r="C519" s="150">
        <v>5</v>
      </c>
      <c r="D519" s="1044" t="s">
        <v>1579</v>
      </c>
      <c r="E519" s="1044"/>
      <c r="F519" s="1044"/>
      <c r="G519" s="1044"/>
      <c r="H519" s="1044"/>
      <c r="I519" s="1044"/>
      <c r="J519" s="1044"/>
      <c r="K519" s="1044"/>
      <c r="L519" s="1045"/>
    </row>
    <row r="520" spans="2:12" x14ac:dyDescent="0.25">
      <c r="B520" s="615"/>
      <c r="C520" s="616"/>
      <c r="D520" s="616"/>
      <c r="E520" s="616"/>
      <c r="F520" s="616"/>
      <c r="G520" s="616"/>
      <c r="H520" s="616"/>
      <c r="I520" s="616"/>
      <c r="J520" s="616"/>
      <c r="K520" s="616"/>
      <c r="L520" s="617"/>
    </row>
    <row r="521" spans="2:12" x14ac:dyDescent="0.25">
      <c r="B521" s="620" t="s">
        <v>1481</v>
      </c>
      <c r="C521" s="1059" t="s">
        <v>1482</v>
      </c>
      <c r="D521" s="1059"/>
      <c r="E521" s="1059"/>
      <c r="F521" s="1059"/>
      <c r="G521" s="1059"/>
      <c r="H521" s="1059"/>
      <c r="I521" s="1059"/>
      <c r="J521" s="1059"/>
      <c r="K521" s="1059"/>
      <c r="L521" s="1060"/>
    </row>
    <row r="522" spans="2:12" x14ac:dyDescent="0.25">
      <c r="B522" s="619"/>
      <c r="C522" s="624">
        <v>1</v>
      </c>
      <c r="D522" s="1044" t="s">
        <v>1483</v>
      </c>
      <c r="E522" s="1044"/>
      <c r="F522" s="1044"/>
      <c r="G522" s="1044"/>
      <c r="H522" s="1044"/>
      <c r="I522" s="1044"/>
      <c r="J522" s="1044"/>
      <c r="K522" s="1044"/>
      <c r="L522" s="1045"/>
    </row>
    <row r="523" spans="2:12" x14ac:dyDescent="0.25">
      <c r="B523" s="615"/>
      <c r="C523" s="150">
        <v>2</v>
      </c>
      <c r="D523" s="1044" t="s">
        <v>1484</v>
      </c>
      <c r="E523" s="1044"/>
      <c r="F523" s="1044"/>
      <c r="G523" s="1044"/>
      <c r="H523" s="1044"/>
      <c r="I523" s="1044"/>
      <c r="J523" s="1044"/>
      <c r="K523" s="1044"/>
      <c r="L523" s="1045"/>
    </row>
    <row r="524" spans="2:12" x14ac:dyDescent="0.25">
      <c r="B524" s="615"/>
      <c r="C524" s="616"/>
      <c r="D524" s="142" t="s">
        <v>1437</v>
      </c>
      <c r="E524" s="1052" t="s">
        <v>1605</v>
      </c>
      <c r="F524" s="1052"/>
      <c r="G524" s="1052"/>
      <c r="H524" s="1052"/>
      <c r="I524" s="1052"/>
      <c r="J524" s="1052"/>
      <c r="K524" s="1052"/>
      <c r="L524" s="1053"/>
    </row>
    <row r="525" spans="2:12" x14ac:dyDescent="0.25">
      <c r="B525" s="615"/>
      <c r="C525" s="150">
        <v>3</v>
      </c>
      <c r="D525" s="1052" t="s">
        <v>1487</v>
      </c>
      <c r="E525" s="1052"/>
      <c r="F525" s="1052"/>
      <c r="G525" s="1052"/>
      <c r="H525" s="1052"/>
      <c r="I525" s="1052"/>
      <c r="J525" s="1052"/>
      <c r="K525" s="1052"/>
      <c r="L525" s="1053"/>
    </row>
    <row r="526" spans="2:12" ht="15.75" thickBot="1" x14ac:dyDescent="0.3">
      <c r="B526" s="607"/>
      <c r="C526" s="608"/>
      <c r="D526" s="608"/>
      <c r="E526" s="608"/>
      <c r="F526" s="608"/>
      <c r="G526" s="608"/>
      <c r="H526" s="608"/>
      <c r="I526" s="608"/>
      <c r="J526" s="608"/>
      <c r="K526" s="608"/>
      <c r="L526" s="377"/>
    </row>
    <row r="527" spans="2:12" ht="15.75" thickBot="1" x14ac:dyDescent="0.3">
      <c r="B527" s="1054" t="s">
        <v>1010</v>
      </c>
      <c r="C527" s="1055"/>
      <c r="D527" s="1056"/>
      <c r="E527" s="1020"/>
      <c r="F527" s="1021"/>
      <c r="G527" s="1021"/>
      <c r="H527" s="1021"/>
      <c r="I527" s="1021"/>
      <c r="J527" s="1022"/>
      <c r="K527" s="378" t="s">
        <v>1008</v>
      </c>
      <c r="L527" s="631" t="s">
        <v>1416</v>
      </c>
    </row>
    <row r="528" spans="2:12" x14ac:dyDescent="0.25">
      <c r="B528" s="615">
        <v>1</v>
      </c>
      <c r="C528" s="616"/>
      <c r="D528" s="1057" t="s">
        <v>1581</v>
      </c>
      <c r="E528" s="1057"/>
      <c r="F528" s="1057"/>
      <c r="G528" s="1057"/>
      <c r="H528" s="1057"/>
      <c r="I528" s="1057"/>
      <c r="J528" s="1057"/>
      <c r="K528" s="1057"/>
      <c r="L528" s="1058"/>
    </row>
    <row r="529" spans="2:12" x14ac:dyDescent="0.25">
      <c r="B529" s="615">
        <v>2</v>
      </c>
      <c r="C529" s="616"/>
      <c r="D529" s="1044" t="s">
        <v>1030</v>
      </c>
      <c r="E529" s="1044"/>
      <c r="F529" s="1044"/>
      <c r="G529" s="1044"/>
      <c r="H529" s="1044"/>
      <c r="I529" s="1044"/>
      <c r="J529" s="1044"/>
      <c r="K529" s="1044"/>
      <c r="L529" s="1045"/>
    </row>
    <row r="530" spans="2:12" x14ac:dyDescent="0.25">
      <c r="B530" s="633">
        <v>3</v>
      </c>
      <c r="C530" s="616"/>
      <c r="D530" s="1044" t="s">
        <v>1490</v>
      </c>
      <c r="E530" s="1044"/>
      <c r="F530" s="1044"/>
      <c r="G530" s="1044"/>
      <c r="H530" s="1044"/>
      <c r="I530" s="1044"/>
      <c r="J530" s="1044"/>
      <c r="K530" s="1044"/>
      <c r="L530" s="1045"/>
    </row>
    <row r="531" spans="2:12" x14ac:dyDescent="0.25">
      <c r="B531" s="633">
        <v>4</v>
      </c>
      <c r="C531" s="616"/>
      <c r="D531" s="1044" t="s">
        <v>1491</v>
      </c>
      <c r="E531" s="1044"/>
      <c r="F531" s="1044"/>
      <c r="G531" s="1044"/>
      <c r="H531" s="1044"/>
      <c r="I531" s="1044"/>
      <c r="J531" s="1044"/>
      <c r="K531" s="1044"/>
      <c r="L531" s="1045"/>
    </row>
    <row r="532" spans="2:12" x14ac:dyDescent="0.25">
      <c r="B532" s="615">
        <v>5</v>
      </c>
      <c r="C532" s="616"/>
      <c r="D532" s="1044" t="s">
        <v>1492</v>
      </c>
      <c r="E532" s="1044"/>
      <c r="F532" s="1044"/>
      <c r="G532" s="1044"/>
      <c r="H532" s="1044"/>
      <c r="I532" s="1044"/>
      <c r="J532" s="1044"/>
      <c r="K532" s="1044"/>
      <c r="L532" s="1045"/>
    </row>
    <row r="533" spans="2:12" x14ac:dyDescent="0.25">
      <c r="B533" s="615">
        <v>6</v>
      </c>
      <c r="C533" s="616"/>
      <c r="D533" s="1044" t="s">
        <v>1493</v>
      </c>
      <c r="E533" s="1044"/>
      <c r="F533" s="1044"/>
      <c r="G533" s="1044"/>
      <c r="H533" s="1044"/>
      <c r="I533" s="1044"/>
      <c r="J533" s="1044"/>
      <c r="K533" s="1044"/>
      <c r="L533" s="1045"/>
    </row>
    <row r="534" spans="2:12" x14ac:dyDescent="0.25">
      <c r="B534" s="615">
        <v>7</v>
      </c>
      <c r="C534" s="616"/>
      <c r="D534" s="1044" t="s">
        <v>1494</v>
      </c>
      <c r="E534" s="1044"/>
      <c r="F534" s="1044"/>
      <c r="G534" s="1044"/>
      <c r="H534" s="1044"/>
      <c r="I534" s="1044"/>
      <c r="J534" s="1044"/>
      <c r="K534" s="1044"/>
      <c r="L534" s="1045"/>
    </row>
    <row r="535" spans="2:12" x14ac:dyDescent="0.25">
      <c r="B535" s="633">
        <v>8</v>
      </c>
      <c r="C535" s="616"/>
      <c r="D535" s="1044" t="s">
        <v>1488</v>
      </c>
      <c r="E535" s="1044"/>
      <c r="F535" s="1044"/>
      <c r="G535" s="1044"/>
      <c r="H535" s="1044"/>
      <c r="I535" s="1044"/>
      <c r="J535" s="1044"/>
      <c r="K535" s="1044"/>
      <c r="L535" s="1045"/>
    </row>
    <row r="536" spans="2:12" ht="15.75" thickBot="1" x14ac:dyDescent="0.3">
      <c r="B536" s="1046"/>
      <c r="C536" s="1047"/>
      <c r="D536" s="1047"/>
      <c r="E536" s="1047"/>
      <c r="F536" s="1047"/>
      <c r="G536" s="1047"/>
      <c r="H536" s="1047"/>
      <c r="I536" s="1047"/>
      <c r="J536" s="1047"/>
      <c r="K536" s="1047"/>
      <c r="L536" s="1048"/>
    </row>
    <row r="537" spans="2:12" ht="15.75" thickBot="1" x14ac:dyDescent="0.3">
      <c r="B537" s="1049" t="s">
        <v>1011</v>
      </c>
      <c r="C537" s="1050"/>
      <c r="D537" s="1050"/>
      <c r="E537" s="1050"/>
      <c r="F537" s="1050"/>
      <c r="G537" s="1050"/>
      <c r="H537" s="1050"/>
      <c r="I537" s="1050"/>
      <c r="J537" s="1050"/>
      <c r="K537" s="1050"/>
      <c r="L537" s="1051"/>
    </row>
    <row r="538" spans="2:12" ht="15.75" thickBot="1" x14ac:dyDescent="0.3">
      <c r="B538" s="629" t="s">
        <v>4</v>
      </c>
      <c r="C538" s="1041" t="s">
        <v>1012</v>
      </c>
      <c r="D538" s="1043"/>
      <c r="E538" s="1041" t="s">
        <v>1013</v>
      </c>
      <c r="F538" s="1043"/>
      <c r="G538" s="1041" t="s">
        <v>1014</v>
      </c>
      <c r="H538" s="1043"/>
      <c r="I538" s="1041" t="s">
        <v>1015</v>
      </c>
      <c r="J538" s="1042"/>
      <c r="K538" s="1042"/>
      <c r="L538" s="1043"/>
    </row>
    <row r="539" spans="2:12" ht="15.75" thickBot="1" x14ac:dyDescent="0.3">
      <c r="B539" s="630">
        <v>1</v>
      </c>
      <c r="C539" s="1020" t="s">
        <v>1016</v>
      </c>
      <c r="D539" s="1022"/>
      <c r="E539" s="1020" t="s">
        <v>1017</v>
      </c>
      <c r="F539" s="1022"/>
      <c r="G539" s="1020" t="s">
        <v>1018</v>
      </c>
      <c r="H539" s="1022"/>
      <c r="I539" s="1020" t="s">
        <v>1019</v>
      </c>
      <c r="J539" s="1021"/>
      <c r="K539" s="1021"/>
      <c r="L539" s="1022"/>
    </row>
    <row r="540" spans="2:12" ht="15.75" thickBot="1" x14ac:dyDescent="0.3">
      <c r="B540" s="630">
        <v>2</v>
      </c>
      <c r="C540" s="1020" t="s">
        <v>1020</v>
      </c>
      <c r="D540" s="1022"/>
      <c r="E540" s="1020" t="s">
        <v>1017</v>
      </c>
      <c r="F540" s="1022"/>
      <c r="G540" s="1020" t="s">
        <v>1021</v>
      </c>
      <c r="H540" s="1022"/>
      <c r="I540" s="1020" t="s">
        <v>1022</v>
      </c>
      <c r="J540" s="1021"/>
      <c r="K540" s="1021"/>
      <c r="L540" s="1022"/>
    </row>
    <row r="541" spans="2:12" ht="15.75" thickBot="1" x14ac:dyDescent="0.3">
      <c r="B541" s="630">
        <v>3</v>
      </c>
      <c r="C541" s="1020" t="s">
        <v>1023</v>
      </c>
      <c r="D541" s="1022"/>
      <c r="E541" s="1020" t="s">
        <v>1426</v>
      </c>
      <c r="F541" s="1022"/>
      <c r="G541" s="1020" t="s">
        <v>1024</v>
      </c>
      <c r="H541" s="1022"/>
      <c r="I541" s="1020" t="s">
        <v>1025</v>
      </c>
      <c r="J541" s="1021"/>
      <c r="K541" s="1021"/>
      <c r="L541" s="1022"/>
    </row>
    <row r="542" spans="2:12" ht="15.75" thickBot="1" x14ac:dyDescent="0.3">
      <c r="B542" s="1032" t="s">
        <v>1026</v>
      </c>
      <c r="C542" s="1033"/>
      <c r="D542" s="1033"/>
      <c r="E542" s="1033"/>
      <c r="F542" s="1033"/>
      <c r="G542" s="1033"/>
      <c r="H542" s="1033"/>
      <c r="I542" s="1033"/>
      <c r="J542" s="1033"/>
      <c r="K542" s="1033"/>
      <c r="L542" s="1034"/>
    </row>
    <row r="543" spans="2:12" ht="15.75" thickBot="1" x14ac:dyDescent="0.3">
      <c r="B543" s="1035" t="s">
        <v>1027</v>
      </c>
      <c r="C543" s="1036"/>
      <c r="D543" s="1037"/>
      <c r="E543" s="1110" t="s">
        <v>1606</v>
      </c>
      <c r="F543" s="1111"/>
      <c r="G543" s="1111"/>
      <c r="H543" s="1111"/>
      <c r="I543" s="1111"/>
      <c r="J543" s="1111"/>
      <c r="K543" s="1111"/>
      <c r="L543" s="1112"/>
    </row>
    <row r="544" spans="2:12" ht="15.75" thickBot="1" x14ac:dyDescent="0.3">
      <c r="B544" s="1035" t="s">
        <v>1028</v>
      </c>
      <c r="C544" s="1036"/>
      <c r="D544" s="1037"/>
      <c r="E544" s="1110" t="s">
        <v>1607</v>
      </c>
      <c r="F544" s="1111"/>
      <c r="G544" s="1111"/>
      <c r="H544" s="1111"/>
      <c r="I544" s="1111"/>
      <c r="J544" s="1111"/>
      <c r="K544" s="1111"/>
      <c r="L544" s="1112"/>
    </row>
    <row r="545" spans="2:12" ht="15.75" thickBot="1" x14ac:dyDescent="0.3">
      <c r="B545" s="1032" t="s">
        <v>1029</v>
      </c>
      <c r="C545" s="1033"/>
      <c r="D545" s="1033"/>
      <c r="E545" s="1033"/>
      <c r="F545" s="1033"/>
      <c r="G545" s="1033"/>
      <c r="H545" s="1033"/>
      <c r="I545" s="1033"/>
      <c r="J545" s="1033"/>
      <c r="K545" s="1033"/>
      <c r="L545" s="1034"/>
    </row>
    <row r="546" spans="2:12" ht="15.75" thickBot="1" x14ac:dyDescent="0.3">
      <c r="B546" s="629" t="s">
        <v>4</v>
      </c>
      <c r="C546" s="1041" t="s">
        <v>1012</v>
      </c>
      <c r="D546" s="1042"/>
      <c r="E546" s="1043"/>
      <c r="F546" s="1041" t="s">
        <v>1030</v>
      </c>
      <c r="G546" s="1042"/>
      <c r="H546" s="1042"/>
      <c r="I546" s="1042"/>
      <c r="J546" s="1042"/>
      <c r="K546" s="1042"/>
      <c r="L546" s="1043"/>
    </row>
    <row r="547" spans="2:12" ht="15.75" thickBot="1" x14ac:dyDescent="0.3">
      <c r="B547" s="630">
        <v>1</v>
      </c>
      <c r="C547" s="1020" t="s">
        <v>1031</v>
      </c>
      <c r="D547" s="1021"/>
      <c r="E547" s="1022"/>
      <c r="F547" s="1020" t="s">
        <v>1032</v>
      </c>
      <c r="G547" s="1021"/>
      <c r="H547" s="1021"/>
      <c r="I547" s="1021"/>
      <c r="J547" s="1021"/>
      <c r="K547" s="1021"/>
      <c r="L547" s="1022"/>
    </row>
    <row r="548" spans="2:12" ht="15.75" thickBot="1" x14ac:dyDescent="0.3">
      <c r="B548" s="630">
        <v>2</v>
      </c>
      <c r="C548" s="1020" t="s">
        <v>1033</v>
      </c>
      <c r="D548" s="1021"/>
      <c r="E548" s="1022"/>
      <c r="F548" s="1023" t="s">
        <v>1034</v>
      </c>
      <c r="G548" s="1024"/>
      <c r="H548" s="1024"/>
      <c r="I548" s="1024"/>
      <c r="J548" s="1024"/>
      <c r="K548" s="1024"/>
      <c r="L548" s="1025"/>
    </row>
    <row r="549" spans="2:12" ht="15.75" thickBot="1" x14ac:dyDescent="0.3">
      <c r="B549" s="630">
        <v>3</v>
      </c>
      <c r="C549" s="1020" t="s">
        <v>1035</v>
      </c>
      <c r="D549" s="1021"/>
      <c r="E549" s="1022"/>
      <c r="F549" s="1023" t="s">
        <v>1036</v>
      </c>
      <c r="G549" s="1024"/>
      <c r="H549" s="1024"/>
      <c r="I549" s="1024"/>
      <c r="J549" s="1024"/>
      <c r="K549" s="1024"/>
      <c r="L549" s="1025"/>
    </row>
    <row r="550" spans="2:12" ht="15.75" thickBot="1" x14ac:dyDescent="0.3">
      <c r="B550" s="1026"/>
      <c r="C550" s="1027"/>
      <c r="D550" s="1027"/>
      <c r="E550" s="1027"/>
      <c r="F550" s="1027"/>
      <c r="G550" s="1027"/>
      <c r="H550" s="1027"/>
      <c r="I550" s="1027"/>
      <c r="J550" s="1027"/>
      <c r="K550" s="1027"/>
      <c r="L550" s="1028"/>
    </row>
    <row r="551" spans="2:12" x14ac:dyDescent="0.25">
      <c r="B551" s="1029"/>
      <c r="C551" s="1030"/>
      <c r="D551" s="1030"/>
      <c r="E551" s="1030"/>
      <c r="F551" s="1030"/>
      <c r="G551" s="1030"/>
      <c r="H551" s="1030"/>
      <c r="I551" s="1030"/>
      <c r="J551" s="1030"/>
      <c r="K551" s="1030"/>
      <c r="L551" s="1031"/>
    </row>
    <row r="552" spans="2:12" x14ac:dyDescent="0.25">
      <c r="B552" s="1014" t="s">
        <v>1418</v>
      </c>
      <c r="C552" s="1015"/>
      <c r="D552" s="1015"/>
      <c r="E552" s="1015"/>
      <c r="F552" s="1015"/>
      <c r="G552" s="1015"/>
      <c r="H552" s="1015"/>
      <c r="I552" s="1015"/>
      <c r="J552" s="1015"/>
      <c r="K552" s="1015"/>
      <c r="L552" s="1016"/>
    </row>
    <row r="553" spans="2:12" x14ac:dyDescent="0.25">
      <c r="B553" s="1014" t="s">
        <v>1037</v>
      </c>
      <c r="C553" s="1015"/>
      <c r="D553" s="1015"/>
      <c r="E553" s="1015"/>
      <c r="F553" s="1015"/>
      <c r="G553" s="1015"/>
      <c r="H553" s="1015"/>
      <c r="I553" s="1015"/>
      <c r="J553" s="1015"/>
      <c r="K553" s="1015"/>
      <c r="L553" s="1016"/>
    </row>
    <row r="554" spans="2:12" x14ac:dyDescent="0.25">
      <c r="B554" s="1014" t="s">
        <v>1419</v>
      </c>
      <c r="C554" s="1015"/>
      <c r="D554" s="1015"/>
      <c r="E554" s="1015"/>
      <c r="F554" s="1015"/>
      <c r="G554" s="1015"/>
      <c r="H554" s="1015"/>
      <c r="I554" s="1015"/>
      <c r="J554" s="1015"/>
      <c r="K554" s="1015"/>
      <c r="L554" s="1016"/>
    </row>
    <row r="555" spans="2:12" x14ac:dyDescent="0.25">
      <c r="B555" s="1014" t="s">
        <v>1499</v>
      </c>
      <c r="C555" s="1015"/>
      <c r="D555" s="1015"/>
      <c r="E555" s="1015"/>
      <c r="F555" s="1015"/>
      <c r="G555" s="1015"/>
      <c r="H555" s="1015"/>
      <c r="I555" s="1015"/>
      <c r="J555" s="1015"/>
      <c r="K555" s="1015"/>
      <c r="L555" s="1016"/>
    </row>
    <row r="556" spans="2:12" x14ac:dyDescent="0.25">
      <c r="B556" s="1014" t="s">
        <v>1040</v>
      </c>
      <c r="C556" s="1015"/>
      <c r="D556" s="1015"/>
      <c r="E556" s="1015"/>
      <c r="F556" s="1015"/>
      <c r="G556" s="1015"/>
      <c r="H556" s="1015"/>
      <c r="I556" s="1015"/>
      <c r="J556" s="1015"/>
      <c r="K556" s="1015"/>
      <c r="L556" s="1016"/>
    </row>
    <row r="557" spans="2:12" x14ac:dyDescent="0.25">
      <c r="B557" s="1014"/>
      <c r="C557" s="1015"/>
      <c r="D557" s="1015"/>
      <c r="E557" s="1015"/>
      <c r="F557" s="1015"/>
      <c r="G557" s="1015"/>
      <c r="H557" s="1015"/>
      <c r="I557" s="1015"/>
      <c r="J557" s="1015"/>
      <c r="K557" s="1015"/>
      <c r="L557" s="1016"/>
    </row>
    <row r="558" spans="2:12" x14ac:dyDescent="0.25">
      <c r="B558" s="1014"/>
      <c r="C558" s="1015"/>
      <c r="D558" s="1015"/>
      <c r="E558" s="1015"/>
      <c r="F558" s="1015"/>
      <c r="G558" s="1015"/>
      <c r="H558" s="1015"/>
      <c r="I558" s="1015"/>
      <c r="J558" s="1015"/>
      <c r="K558" s="1015"/>
      <c r="L558" s="1016"/>
    </row>
    <row r="559" spans="2:12" x14ac:dyDescent="0.25">
      <c r="B559" s="1014" t="s">
        <v>1498</v>
      </c>
      <c r="C559" s="1015"/>
      <c r="D559" s="1015"/>
      <c r="E559" s="1015"/>
      <c r="F559" s="1015"/>
      <c r="G559" s="1015"/>
      <c r="H559" s="1015"/>
      <c r="I559" s="1015"/>
      <c r="J559" s="1015"/>
      <c r="K559" s="1015"/>
      <c r="L559" s="1016"/>
    </row>
    <row r="560" spans="2:12" x14ac:dyDescent="0.25">
      <c r="B560" s="1014" t="s">
        <v>1500</v>
      </c>
      <c r="C560" s="1015"/>
      <c r="D560" s="1015"/>
      <c r="E560" s="1015"/>
      <c r="F560" s="1015"/>
      <c r="G560" s="1015"/>
      <c r="H560" s="1015"/>
      <c r="I560" s="1015"/>
      <c r="J560" s="1015"/>
      <c r="K560" s="1015"/>
      <c r="L560" s="1016"/>
    </row>
    <row r="561" spans="2:12" x14ac:dyDescent="0.25">
      <c r="B561" s="1014"/>
      <c r="C561" s="1015"/>
      <c r="D561" s="1015"/>
      <c r="E561" s="1015"/>
      <c r="F561" s="1015"/>
      <c r="G561" s="1015"/>
      <c r="H561" s="1015"/>
      <c r="I561" s="1015"/>
      <c r="J561" s="1015"/>
      <c r="K561" s="1015"/>
      <c r="L561" s="1016"/>
    </row>
    <row r="562" spans="2:12" ht="15.75" thickBot="1" x14ac:dyDescent="0.3">
      <c r="B562" s="1017"/>
      <c r="C562" s="1018"/>
      <c r="D562" s="1018"/>
      <c r="E562" s="1018"/>
      <c r="F562" s="1018"/>
      <c r="G562" s="1018"/>
      <c r="H562" s="1018"/>
      <c r="I562" s="1018"/>
      <c r="J562" s="1018"/>
      <c r="K562" s="1018"/>
      <c r="L562" s="1019"/>
    </row>
    <row r="565" spans="2:12" ht="20.25" x14ac:dyDescent="0.3">
      <c r="B565" s="535"/>
      <c r="C565" s="535"/>
      <c r="D565" s="535"/>
      <c r="E565" s="535"/>
      <c r="F565" s="535"/>
      <c r="G565" s="536" t="s">
        <v>1562</v>
      </c>
      <c r="H565" s="535"/>
      <c r="I565" s="535"/>
      <c r="J565" s="535"/>
      <c r="K565" s="535"/>
      <c r="L565" s="535"/>
    </row>
    <row r="566" spans="2:12" ht="20.25" x14ac:dyDescent="0.25">
      <c r="B566" s="1126" t="s">
        <v>976</v>
      </c>
      <c r="C566" s="1126"/>
      <c r="D566" s="1126"/>
      <c r="E566" s="1126"/>
      <c r="F566" s="1126"/>
      <c r="G566" s="1126"/>
      <c r="H566" s="1126"/>
      <c r="I566" s="1126"/>
      <c r="J566" s="1126"/>
      <c r="K566" s="1126"/>
      <c r="L566" s="1126"/>
    </row>
    <row r="567" spans="2:12" ht="15.75" thickBot="1" x14ac:dyDescent="0.3">
      <c r="B567" s="376"/>
    </row>
    <row r="568" spans="2:12" ht="15.75" thickBot="1" x14ac:dyDescent="0.3">
      <c r="B568" s="1032" t="s">
        <v>977</v>
      </c>
      <c r="C568" s="1033"/>
      <c r="D568" s="1033"/>
      <c r="E568" s="1033"/>
      <c r="F568" s="1033"/>
      <c r="G568" s="1033"/>
      <c r="H568" s="1033"/>
      <c r="I568" s="1033"/>
      <c r="J568" s="1033"/>
      <c r="K568" s="1033"/>
      <c r="L568" s="1034"/>
    </row>
    <row r="569" spans="2:12" ht="15.75" thickBot="1" x14ac:dyDescent="0.3">
      <c r="B569" s="1035" t="s">
        <v>313</v>
      </c>
      <c r="C569" s="1037"/>
      <c r="D569" s="1020" t="s">
        <v>871</v>
      </c>
      <c r="E569" s="1021"/>
      <c r="F569" s="1021"/>
      <c r="G569" s="1022"/>
      <c r="H569" s="1035" t="s">
        <v>978</v>
      </c>
      <c r="I569" s="1037"/>
      <c r="J569" s="1020" t="s">
        <v>979</v>
      </c>
      <c r="K569" s="1021"/>
      <c r="L569" s="1022"/>
    </row>
    <row r="570" spans="2:12" ht="15.75" thickBot="1" x14ac:dyDescent="0.3">
      <c r="B570" s="1035" t="s">
        <v>980</v>
      </c>
      <c r="C570" s="1037"/>
      <c r="D570" s="1020" t="s">
        <v>981</v>
      </c>
      <c r="E570" s="1021"/>
      <c r="F570" s="1021"/>
      <c r="G570" s="1022"/>
      <c r="H570" s="1035" t="s">
        <v>982</v>
      </c>
      <c r="I570" s="1037"/>
      <c r="J570" s="1020" t="s">
        <v>983</v>
      </c>
      <c r="K570" s="1021"/>
      <c r="L570" s="1022"/>
    </row>
    <row r="571" spans="2:12" ht="15.75" thickBot="1" x14ac:dyDescent="0.3">
      <c r="B571" s="1035" t="s">
        <v>984</v>
      </c>
      <c r="C571" s="1037"/>
      <c r="D571" s="1107" t="s">
        <v>1408</v>
      </c>
      <c r="E571" s="1108"/>
      <c r="F571" s="1108"/>
      <c r="G571" s="1109"/>
      <c r="H571" s="1035" t="s">
        <v>38</v>
      </c>
      <c r="I571" s="1037"/>
      <c r="J571" s="1020" t="s">
        <v>753</v>
      </c>
      <c r="K571" s="1021"/>
      <c r="L571" s="1022"/>
    </row>
    <row r="572" spans="2:12" ht="15.75" thickBot="1" x14ac:dyDescent="0.3">
      <c r="B572" s="1035" t="s">
        <v>315</v>
      </c>
      <c r="C572" s="1037"/>
      <c r="D572" s="1020" t="s">
        <v>1501</v>
      </c>
      <c r="E572" s="1021"/>
      <c r="F572" s="1021"/>
      <c r="G572" s="1022"/>
      <c r="H572" s="1035" t="s">
        <v>985</v>
      </c>
      <c r="I572" s="1037"/>
      <c r="J572" s="1020" t="s">
        <v>1154</v>
      </c>
      <c r="K572" s="1021"/>
      <c r="L572" s="1022"/>
    </row>
    <row r="573" spans="2:12" ht="15.75" thickBot="1" x14ac:dyDescent="0.3">
      <c r="B573" s="1035" t="s">
        <v>986</v>
      </c>
      <c r="C573" s="1037"/>
      <c r="D573" s="1020" t="s">
        <v>987</v>
      </c>
      <c r="E573" s="1021"/>
      <c r="F573" s="1021"/>
      <c r="G573" s="1022"/>
      <c r="H573" s="1035" t="s">
        <v>988</v>
      </c>
      <c r="I573" s="1037"/>
      <c r="J573" s="1020" t="s">
        <v>1154</v>
      </c>
      <c r="K573" s="1021"/>
      <c r="L573" s="1022"/>
    </row>
    <row r="574" spans="2:12" ht="15.75" thickBot="1" x14ac:dyDescent="0.3">
      <c r="B574" s="1020"/>
      <c r="C574" s="1021"/>
      <c r="D574" s="1021"/>
      <c r="E574" s="1021"/>
      <c r="F574" s="1021"/>
      <c r="G574" s="1021"/>
      <c r="H574" s="1021"/>
      <c r="I574" s="1021"/>
      <c r="J574" s="1021"/>
      <c r="K574" s="1021"/>
      <c r="L574" s="1022"/>
    </row>
    <row r="575" spans="2:12" x14ac:dyDescent="0.25">
      <c r="B575" s="1100" t="s">
        <v>989</v>
      </c>
      <c r="C575" s="1101"/>
      <c r="D575" s="1102"/>
      <c r="E575" s="1094" t="s">
        <v>1502</v>
      </c>
      <c r="F575" s="1057"/>
      <c r="G575" s="1057"/>
      <c r="H575" s="1057"/>
      <c r="I575" s="1057"/>
      <c r="J575" s="1057"/>
      <c r="K575" s="1057"/>
      <c r="L575" s="1058"/>
    </row>
    <row r="576" spans="2:12" ht="15.75" thickBot="1" x14ac:dyDescent="0.3">
      <c r="B576" s="1104" t="s">
        <v>990</v>
      </c>
      <c r="C576" s="1105"/>
      <c r="D576" s="1106"/>
      <c r="E576" s="1103"/>
      <c r="F576" s="1098"/>
      <c r="G576" s="1098"/>
      <c r="H576" s="1098"/>
      <c r="I576" s="1098"/>
      <c r="J576" s="1098"/>
      <c r="K576" s="1098"/>
      <c r="L576" s="1099"/>
    </row>
    <row r="577" spans="2:12" ht="15.75" thickBot="1" x14ac:dyDescent="0.3">
      <c r="B577" s="1035" t="s">
        <v>991</v>
      </c>
      <c r="C577" s="1036"/>
      <c r="D577" s="1037"/>
      <c r="E577" s="1076" t="s">
        <v>1503</v>
      </c>
      <c r="F577" s="1077"/>
      <c r="G577" s="1077"/>
      <c r="H577" s="1077"/>
      <c r="I577" s="1077"/>
      <c r="J577" s="1077"/>
      <c r="K577" s="1077"/>
      <c r="L577" s="1078"/>
    </row>
    <row r="578" spans="2:12" x14ac:dyDescent="0.25">
      <c r="B578" s="1113" t="s">
        <v>992</v>
      </c>
      <c r="C578" s="1114"/>
      <c r="D578" s="1115"/>
      <c r="E578" s="1094" t="s">
        <v>993</v>
      </c>
      <c r="F578" s="1057"/>
      <c r="G578" s="1057"/>
      <c r="H578" s="1057"/>
      <c r="I578" s="1057"/>
      <c r="J578" s="1057"/>
      <c r="K578" s="1057"/>
      <c r="L578" s="1058"/>
    </row>
    <row r="579" spans="2:12" x14ac:dyDescent="0.25">
      <c r="B579" s="1116"/>
      <c r="C579" s="1117"/>
      <c r="D579" s="1118"/>
      <c r="E579" s="1097" t="s">
        <v>994</v>
      </c>
      <c r="F579" s="1044"/>
      <c r="G579" s="1044"/>
      <c r="H579" s="1044"/>
      <c r="I579" s="1044"/>
      <c r="J579" s="1044"/>
      <c r="K579" s="1044"/>
      <c r="L579" s="1045"/>
    </row>
    <row r="580" spans="2:12" x14ac:dyDescent="0.25">
      <c r="B580" s="1116"/>
      <c r="C580" s="1117"/>
      <c r="D580" s="1118"/>
      <c r="E580" s="1097" t="s">
        <v>995</v>
      </c>
      <c r="F580" s="1044"/>
      <c r="G580" s="1044"/>
      <c r="H580" s="1044"/>
      <c r="I580" s="1044"/>
      <c r="J580" s="1044"/>
      <c r="K580" s="1044"/>
      <c r="L580" s="1045"/>
    </row>
    <row r="581" spans="2:12" ht="15.75" thickBot="1" x14ac:dyDescent="0.3">
      <c r="B581" s="1119"/>
      <c r="C581" s="1120"/>
      <c r="D581" s="1121"/>
      <c r="E581" s="1097" t="s">
        <v>1504</v>
      </c>
      <c r="F581" s="1044"/>
      <c r="G581" s="1044"/>
      <c r="H581" s="1044"/>
      <c r="I581" s="1044"/>
      <c r="J581" s="1044"/>
      <c r="K581" s="1044"/>
      <c r="L581" s="1045"/>
    </row>
    <row r="582" spans="2:12" x14ac:dyDescent="0.25">
      <c r="B582" s="1085" t="s">
        <v>996</v>
      </c>
      <c r="C582" s="1086"/>
      <c r="D582" s="1087"/>
      <c r="E582" s="1094" t="s">
        <v>997</v>
      </c>
      <c r="F582" s="1057"/>
      <c r="G582" s="1057"/>
      <c r="H582" s="1057"/>
      <c r="I582" s="1057"/>
      <c r="J582" s="1057"/>
      <c r="K582" s="1057"/>
      <c r="L582" s="1058"/>
    </row>
    <row r="583" spans="2:12" x14ac:dyDescent="0.25">
      <c r="B583" s="1088"/>
      <c r="C583" s="1089"/>
      <c r="D583" s="1090"/>
      <c r="E583" s="621">
        <v>1</v>
      </c>
      <c r="F583" s="1044" t="s">
        <v>1457</v>
      </c>
      <c r="G583" s="1044"/>
      <c r="H583" s="1044"/>
      <c r="I583" s="1044"/>
      <c r="J583" s="1044"/>
      <c r="K583" s="1044"/>
      <c r="L583" s="1045"/>
    </row>
    <row r="584" spans="2:12" x14ac:dyDescent="0.25">
      <c r="B584" s="1088"/>
      <c r="C584" s="1089"/>
      <c r="D584" s="1090"/>
      <c r="E584" s="621">
        <v>2</v>
      </c>
      <c r="F584" s="1044" t="s">
        <v>1458</v>
      </c>
      <c r="G584" s="1044"/>
      <c r="H584" s="1044"/>
      <c r="I584" s="1044"/>
      <c r="J584" s="1044"/>
      <c r="K584" s="1044"/>
      <c r="L584" s="1045"/>
    </row>
    <row r="585" spans="2:12" x14ac:dyDescent="0.25">
      <c r="B585" s="1088"/>
      <c r="C585" s="1089"/>
      <c r="D585" s="1090"/>
      <c r="E585" s="621">
        <v>3</v>
      </c>
      <c r="F585" s="1044" t="s">
        <v>1459</v>
      </c>
      <c r="G585" s="1044"/>
      <c r="H585" s="1044"/>
      <c r="I585" s="1044"/>
      <c r="J585" s="1044"/>
      <c r="K585" s="1044"/>
      <c r="L585" s="1045"/>
    </row>
    <row r="586" spans="2:12" x14ac:dyDescent="0.25">
      <c r="B586" s="1088"/>
      <c r="C586" s="1089"/>
      <c r="D586" s="1090"/>
      <c r="E586" s="621">
        <v>4</v>
      </c>
      <c r="F586" s="1044" t="s">
        <v>1039</v>
      </c>
      <c r="G586" s="1044"/>
      <c r="H586" s="1044"/>
      <c r="I586" s="1044"/>
      <c r="J586" s="1044"/>
      <c r="K586" s="1044"/>
      <c r="L586" s="1045"/>
    </row>
    <row r="587" spans="2:12" x14ac:dyDescent="0.25">
      <c r="B587" s="1088"/>
      <c r="C587" s="1089"/>
      <c r="D587" s="1090"/>
      <c r="E587" s="621">
        <v>5</v>
      </c>
      <c r="F587" s="1044" t="s">
        <v>1505</v>
      </c>
      <c r="G587" s="1044"/>
      <c r="H587" s="1044"/>
      <c r="I587" s="1044"/>
      <c r="J587" s="1044"/>
      <c r="K587" s="1044"/>
      <c r="L587" s="1045"/>
    </row>
    <row r="588" spans="2:12" x14ac:dyDescent="0.25">
      <c r="B588" s="1088"/>
      <c r="C588" s="1089"/>
      <c r="D588" s="1090"/>
      <c r="E588" s="621">
        <v>6</v>
      </c>
      <c r="F588" s="1044" t="s">
        <v>1461</v>
      </c>
      <c r="G588" s="1044"/>
      <c r="H588" s="1044"/>
      <c r="I588" s="1044"/>
      <c r="J588" s="1044"/>
      <c r="K588" s="1044"/>
      <c r="L588" s="1045"/>
    </row>
    <row r="589" spans="2:12" x14ac:dyDescent="0.25">
      <c r="B589" s="1088"/>
      <c r="C589" s="1089"/>
      <c r="D589" s="1090"/>
      <c r="E589" s="1097" t="s">
        <v>998</v>
      </c>
      <c r="F589" s="1044"/>
      <c r="G589" s="1044"/>
      <c r="H589" s="1044"/>
      <c r="I589" s="1044"/>
      <c r="J589" s="1044"/>
      <c r="K589" s="1044"/>
      <c r="L589" s="1045"/>
    </row>
    <row r="590" spans="2:12" ht="15.75" thickBot="1" x14ac:dyDescent="0.3">
      <c r="B590" s="1091"/>
      <c r="C590" s="1092"/>
      <c r="D590" s="1093"/>
      <c r="E590" s="626">
        <v>1</v>
      </c>
      <c r="F590" s="1098" t="s">
        <v>1462</v>
      </c>
      <c r="G590" s="1098"/>
      <c r="H590" s="1098"/>
      <c r="I590" s="1098"/>
      <c r="J590" s="1098"/>
      <c r="K590" s="1098"/>
      <c r="L590" s="1099"/>
    </row>
    <row r="591" spans="2:12" ht="15.75" thickBot="1" x14ac:dyDescent="0.3">
      <c r="B591" s="1035" t="s">
        <v>999</v>
      </c>
      <c r="C591" s="1036"/>
      <c r="D591" s="1037"/>
      <c r="E591" s="1076" t="s">
        <v>1507</v>
      </c>
      <c r="F591" s="1077"/>
      <c r="G591" s="1077"/>
      <c r="H591" s="1077"/>
      <c r="I591" s="1077"/>
      <c r="J591" s="1077"/>
      <c r="K591" s="1077"/>
      <c r="L591" s="1078"/>
    </row>
    <row r="592" spans="2:12" ht="15.75" thickBot="1" x14ac:dyDescent="0.3">
      <c r="B592" s="1035" t="s">
        <v>629</v>
      </c>
      <c r="C592" s="1036"/>
      <c r="D592" s="1037"/>
      <c r="E592" s="1082" t="s">
        <v>1506</v>
      </c>
      <c r="F592" s="1083"/>
      <c r="G592" s="1083"/>
      <c r="H592" s="1083"/>
      <c r="I592" s="1083"/>
      <c r="J592" s="1083"/>
      <c r="K592" s="1083"/>
      <c r="L592" s="1084"/>
    </row>
    <row r="593" spans="2:12" ht="15.75" thickBot="1" x14ac:dyDescent="0.3">
      <c r="B593" s="1035" t="s">
        <v>1000</v>
      </c>
      <c r="C593" s="1036"/>
      <c r="D593" s="1037"/>
      <c r="E593" s="1076" t="s">
        <v>1508</v>
      </c>
      <c r="F593" s="1077"/>
      <c r="G593" s="1077"/>
      <c r="H593" s="1077"/>
      <c r="I593" s="1077"/>
      <c r="J593" s="1077"/>
      <c r="K593" s="1077"/>
      <c r="L593" s="1078"/>
    </row>
    <row r="594" spans="2:12" ht="15.75" thickBot="1" x14ac:dyDescent="0.3">
      <c r="B594" s="1020"/>
      <c r="C594" s="1021"/>
      <c r="D594" s="1021"/>
      <c r="E594" s="1021"/>
      <c r="F594" s="1021"/>
      <c r="G594" s="1021"/>
      <c r="H594" s="1021"/>
      <c r="I594" s="1021"/>
      <c r="J594" s="1021"/>
      <c r="K594" s="1021"/>
      <c r="L594" s="1022"/>
    </row>
    <row r="595" spans="2:12" ht="15.75" thickBot="1" x14ac:dyDescent="0.3">
      <c r="B595" s="1032" t="s">
        <v>1001</v>
      </c>
      <c r="C595" s="1033"/>
      <c r="D595" s="1033"/>
      <c r="E595" s="1033"/>
      <c r="F595" s="1033"/>
      <c r="G595" s="1033"/>
      <c r="H595" s="1033"/>
      <c r="I595" s="1033"/>
      <c r="J595" s="1033"/>
      <c r="K595" s="1033"/>
      <c r="L595" s="1034"/>
    </row>
    <row r="596" spans="2:12" ht="42.75" x14ac:dyDescent="0.25">
      <c r="B596" s="610" t="s">
        <v>627</v>
      </c>
      <c r="C596" s="611"/>
      <c r="D596" s="612"/>
      <c r="E596" s="1094" t="s">
        <v>1463</v>
      </c>
      <c r="F596" s="1057"/>
      <c r="G596" s="1057"/>
      <c r="H596" s="1057"/>
      <c r="I596" s="1057"/>
      <c r="J596" s="1057"/>
      <c r="K596" s="1057"/>
      <c r="L596" s="1058"/>
    </row>
    <row r="597" spans="2:12" x14ac:dyDescent="0.25">
      <c r="B597" s="613"/>
      <c r="C597" s="635"/>
      <c r="D597" s="614"/>
      <c r="E597" s="627">
        <v>1</v>
      </c>
      <c r="F597" s="1095" t="s">
        <v>1509</v>
      </c>
      <c r="G597" s="1095"/>
      <c r="H597" s="1095"/>
      <c r="I597" s="1095"/>
      <c r="J597" s="1095"/>
      <c r="K597" s="1095"/>
      <c r="L597" s="1096"/>
    </row>
    <row r="598" spans="2:12" x14ac:dyDescent="0.25">
      <c r="B598" s="613"/>
      <c r="C598" s="635"/>
      <c r="D598" s="614"/>
      <c r="E598" s="627">
        <v>2</v>
      </c>
      <c r="F598" s="1095" t="s">
        <v>1511</v>
      </c>
      <c r="G598" s="1095"/>
      <c r="H598" s="1095"/>
      <c r="I598" s="1095"/>
      <c r="J598" s="1095"/>
      <c r="K598" s="1095"/>
      <c r="L598" s="1096"/>
    </row>
    <row r="599" spans="2:12" ht="15.75" thickBot="1" x14ac:dyDescent="0.3">
      <c r="B599" s="613"/>
      <c r="C599" s="635"/>
      <c r="D599" s="614"/>
      <c r="E599" s="627">
        <v>3</v>
      </c>
      <c r="F599" s="1095" t="s">
        <v>1510</v>
      </c>
      <c r="G599" s="1095"/>
      <c r="H599" s="1095"/>
      <c r="I599" s="1095"/>
      <c r="J599" s="1095"/>
      <c r="K599" s="1095"/>
      <c r="L599" s="1096"/>
    </row>
    <row r="600" spans="2:12" ht="15.75" thickBot="1" x14ac:dyDescent="0.3">
      <c r="B600" s="1035" t="s">
        <v>1002</v>
      </c>
      <c r="C600" s="1036"/>
      <c r="D600" s="1037"/>
      <c r="E600" s="1076" t="s">
        <v>1512</v>
      </c>
      <c r="F600" s="1077"/>
      <c r="G600" s="1077"/>
      <c r="H600" s="1077"/>
      <c r="I600" s="1077"/>
      <c r="J600" s="1077"/>
      <c r="K600" s="1077"/>
      <c r="L600" s="1078"/>
    </row>
    <row r="601" spans="2:12" ht="15.75" thickBot="1" x14ac:dyDescent="0.3">
      <c r="B601" s="1035" t="s">
        <v>1003</v>
      </c>
      <c r="C601" s="1036"/>
      <c r="D601" s="1037"/>
      <c r="E601" s="1076" t="s">
        <v>1513</v>
      </c>
      <c r="F601" s="1077"/>
      <c r="G601" s="1077"/>
      <c r="H601" s="1077"/>
      <c r="I601" s="1077"/>
      <c r="J601" s="1077"/>
      <c r="K601" s="1077"/>
      <c r="L601" s="1078"/>
    </row>
    <row r="602" spans="2:12" ht="15.75" thickBot="1" x14ac:dyDescent="0.3">
      <c r="B602" s="1035" t="s">
        <v>626</v>
      </c>
      <c r="C602" s="1036"/>
      <c r="D602" s="1037"/>
      <c r="E602" s="1079" t="s">
        <v>1514</v>
      </c>
      <c r="F602" s="1080"/>
      <c r="G602" s="1080"/>
      <c r="H602" s="1080"/>
      <c r="I602" s="1080"/>
      <c r="J602" s="1080"/>
      <c r="K602" s="1080"/>
      <c r="L602" s="1081"/>
    </row>
    <row r="603" spans="2:12" ht="15.75" thickBot="1" x14ac:dyDescent="0.3">
      <c r="B603" s="1020"/>
      <c r="C603" s="1021"/>
      <c r="D603" s="1021"/>
      <c r="E603" s="1021"/>
      <c r="F603" s="1021"/>
      <c r="G603" s="1021"/>
      <c r="H603" s="1021"/>
      <c r="I603" s="1021"/>
      <c r="J603" s="1021"/>
      <c r="K603" s="1021"/>
      <c r="L603" s="1022"/>
    </row>
    <row r="604" spans="2:12" ht="15.75" thickBot="1" x14ac:dyDescent="0.3">
      <c r="B604" s="1032" t="s">
        <v>1005</v>
      </c>
      <c r="C604" s="1033"/>
      <c r="D604" s="1033"/>
      <c r="E604" s="1033"/>
      <c r="F604" s="1033"/>
      <c r="G604" s="1033"/>
      <c r="H604" s="1033"/>
      <c r="I604" s="1033"/>
      <c r="J604" s="1033"/>
      <c r="K604" s="1033"/>
      <c r="L604" s="1034"/>
    </row>
    <row r="605" spans="2:12" ht="15.75" thickBot="1" x14ac:dyDescent="0.3">
      <c r="B605" s="1035" t="s">
        <v>1414</v>
      </c>
      <c r="C605" s="1036"/>
      <c r="D605" s="1036"/>
      <c r="E605" s="1036"/>
      <c r="F605" s="1036"/>
      <c r="G605" s="1036"/>
      <c r="H605" s="1036"/>
      <c r="I605" s="1036"/>
      <c r="J605" s="1036"/>
      <c r="K605" s="1036"/>
      <c r="L605" s="1037"/>
    </row>
    <row r="606" spans="2:12" ht="15.75" thickBot="1" x14ac:dyDescent="0.3">
      <c r="B606" s="1035" t="s">
        <v>1007</v>
      </c>
      <c r="C606" s="1036"/>
      <c r="D606" s="1037"/>
      <c r="E606" s="1070"/>
      <c r="F606" s="1071"/>
      <c r="G606" s="1071"/>
      <c r="H606" s="1071"/>
      <c r="I606" s="1071"/>
      <c r="J606" s="1072"/>
      <c r="K606" s="378" t="s">
        <v>1008</v>
      </c>
      <c r="L606" s="631" t="s">
        <v>1417</v>
      </c>
    </row>
    <row r="607" spans="2:12" x14ac:dyDescent="0.25">
      <c r="B607" s="1073"/>
      <c r="C607" s="1074"/>
      <c r="D607" s="1074"/>
      <c r="E607" s="1074"/>
      <c r="F607" s="1074"/>
      <c r="G607" s="1074"/>
      <c r="H607" s="1074"/>
      <c r="I607" s="1074"/>
      <c r="J607" s="1074"/>
      <c r="K607" s="1074"/>
      <c r="L607" s="1075"/>
    </row>
    <row r="608" spans="2:12" x14ac:dyDescent="0.25">
      <c r="B608" s="632">
        <v>1</v>
      </c>
      <c r="C608" s="624"/>
      <c r="D608" s="1044" t="s">
        <v>1441</v>
      </c>
      <c r="E608" s="1044"/>
      <c r="F608" s="1044"/>
      <c r="G608" s="1044"/>
      <c r="H608" s="1044"/>
      <c r="I608" s="1044"/>
      <c r="J608" s="1044"/>
      <c r="K608" s="1044"/>
      <c r="L608" s="1045"/>
    </row>
    <row r="609" spans="2:12" x14ac:dyDescent="0.25">
      <c r="B609" s="628">
        <v>2</v>
      </c>
      <c r="C609" s="624"/>
      <c r="D609" s="1044" t="s">
        <v>1432</v>
      </c>
      <c r="E609" s="1044"/>
      <c r="F609" s="1044"/>
      <c r="G609" s="1044"/>
      <c r="H609" s="1044"/>
      <c r="I609" s="1044"/>
      <c r="J609" s="1044"/>
      <c r="K609" s="1044"/>
      <c r="L609" s="1045"/>
    </row>
    <row r="610" spans="2:12" x14ac:dyDescent="0.25">
      <c r="B610" s="628">
        <v>3</v>
      </c>
      <c r="C610" s="624"/>
      <c r="D610" s="1044" t="s">
        <v>1438</v>
      </c>
      <c r="E610" s="1044"/>
      <c r="F610" s="1044"/>
      <c r="G610" s="1044"/>
      <c r="H610" s="1044"/>
      <c r="I610" s="1044"/>
      <c r="J610" s="1044"/>
      <c r="K610" s="1044"/>
      <c r="L610" s="1045"/>
    </row>
    <row r="611" spans="2:12" x14ac:dyDescent="0.25">
      <c r="B611" s="628">
        <v>4</v>
      </c>
      <c r="C611" s="624"/>
      <c r="D611" s="1044" t="s">
        <v>1433</v>
      </c>
      <c r="E611" s="1044"/>
      <c r="F611" s="1044"/>
      <c r="G611" s="1044"/>
      <c r="H611" s="1044"/>
      <c r="I611" s="1044"/>
      <c r="J611" s="1044"/>
      <c r="K611" s="1044"/>
      <c r="L611" s="1045"/>
    </row>
    <row r="612" spans="2:12" x14ac:dyDescent="0.25">
      <c r="B612" s="628">
        <v>5</v>
      </c>
      <c r="C612" s="150"/>
      <c r="D612" s="1044" t="s">
        <v>1439</v>
      </c>
      <c r="E612" s="1044"/>
      <c r="F612" s="1044"/>
      <c r="G612" s="1044"/>
      <c r="H612" s="1044"/>
      <c r="I612" s="1044"/>
      <c r="J612" s="1044"/>
      <c r="K612" s="1044"/>
      <c r="L612" s="1045"/>
    </row>
    <row r="613" spans="2:12" x14ac:dyDescent="0.25">
      <c r="B613" s="628">
        <v>6</v>
      </c>
      <c r="C613" s="624"/>
      <c r="D613" s="1044" t="s">
        <v>1442</v>
      </c>
      <c r="E613" s="1044"/>
      <c r="F613" s="1044"/>
      <c r="G613" s="1044"/>
      <c r="H613" s="1044"/>
      <c r="I613" s="1044"/>
      <c r="J613" s="1044"/>
      <c r="K613" s="1044"/>
      <c r="L613" s="1045"/>
    </row>
    <row r="614" spans="2:12" x14ac:dyDescent="0.25">
      <c r="B614" s="628">
        <v>7</v>
      </c>
      <c r="C614" s="624"/>
      <c r="D614" s="1044" t="s">
        <v>1443</v>
      </c>
      <c r="E614" s="1044"/>
      <c r="F614" s="1044"/>
      <c r="G614" s="1044"/>
      <c r="H614" s="1044"/>
      <c r="I614" s="1044"/>
      <c r="J614" s="1044"/>
      <c r="K614" s="1044"/>
      <c r="L614" s="1045"/>
    </row>
    <row r="615" spans="2:12" x14ac:dyDescent="0.25">
      <c r="B615" s="628">
        <v>8</v>
      </c>
      <c r="C615" s="624"/>
      <c r="D615" s="1044" t="s">
        <v>1440</v>
      </c>
      <c r="E615" s="1044"/>
      <c r="F615" s="1044"/>
      <c r="G615" s="1044"/>
      <c r="H615" s="1044"/>
      <c r="I615" s="1044"/>
      <c r="J615" s="1044"/>
      <c r="K615" s="1044"/>
      <c r="L615" s="1045"/>
    </row>
    <row r="616" spans="2:12" x14ac:dyDescent="0.25">
      <c r="B616" s="628" t="s">
        <v>1435</v>
      </c>
      <c r="C616" s="624" t="s">
        <v>1437</v>
      </c>
      <c r="D616" s="1044" t="s">
        <v>1515</v>
      </c>
      <c r="E616" s="1044"/>
      <c r="F616" s="1044"/>
      <c r="G616" s="1044"/>
      <c r="H616" s="1044"/>
      <c r="I616" s="1044"/>
      <c r="J616" s="1044"/>
      <c r="K616" s="1044"/>
      <c r="L616" s="1045"/>
    </row>
    <row r="617" spans="2:12" x14ac:dyDescent="0.25">
      <c r="B617" s="1067"/>
      <c r="C617" s="1068"/>
      <c r="D617" s="1068"/>
      <c r="E617" s="1068"/>
      <c r="F617" s="1068"/>
      <c r="G617" s="1068"/>
      <c r="H617" s="1068"/>
      <c r="I617" s="1068"/>
      <c r="J617" s="1068"/>
      <c r="K617" s="1068"/>
      <c r="L617" s="1069"/>
    </row>
    <row r="618" spans="2:12" ht="15.75" thickBot="1" x14ac:dyDescent="0.3">
      <c r="B618" s="1046"/>
      <c r="C618" s="1047"/>
      <c r="D618" s="1047"/>
      <c r="E618" s="1047"/>
      <c r="F618" s="1047"/>
      <c r="G618" s="1047"/>
      <c r="H618" s="1047"/>
      <c r="I618" s="1047"/>
      <c r="J618" s="1047"/>
      <c r="K618" s="1047"/>
      <c r="L618" s="1048"/>
    </row>
    <row r="619" spans="2:12" ht="15.75" thickBot="1" x14ac:dyDescent="0.3">
      <c r="B619" s="1054" t="s">
        <v>1009</v>
      </c>
      <c r="C619" s="1055"/>
      <c r="D619" s="1056"/>
      <c r="E619" s="1020"/>
      <c r="F619" s="1021"/>
      <c r="G619" s="1021"/>
      <c r="H619" s="1021"/>
      <c r="I619" s="1021"/>
      <c r="J619" s="1022"/>
      <c r="K619" s="378" t="s">
        <v>1008</v>
      </c>
      <c r="L619" s="631" t="s">
        <v>1415</v>
      </c>
    </row>
    <row r="620" spans="2:12" x14ac:dyDescent="0.25">
      <c r="B620" s="1064"/>
      <c r="C620" s="1065"/>
      <c r="D620" s="1065"/>
      <c r="E620" s="1065"/>
      <c r="F620" s="1065"/>
      <c r="G620" s="1065"/>
      <c r="H620" s="1065"/>
      <c r="I620" s="1065"/>
      <c r="J620" s="1065"/>
      <c r="K620" s="1065"/>
      <c r="L620" s="1066"/>
    </row>
    <row r="621" spans="2:12" x14ac:dyDescent="0.25">
      <c r="B621" s="620" t="s">
        <v>1</v>
      </c>
      <c r="C621" s="1059" t="s">
        <v>1519</v>
      </c>
      <c r="D621" s="1059"/>
      <c r="E621" s="1059"/>
      <c r="F621" s="1059"/>
      <c r="G621" s="1059"/>
      <c r="H621" s="1059"/>
      <c r="I621" s="1059"/>
      <c r="J621" s="1059"/>
      <c r="K621" s="1059"/>
      <c r="L621" s="1060"/>
    </row>
    <row r="622" spans="2:12" x14ac:dyDescent="0.25">
      <c r="B622" s="615"/>
      <c r="C622" s="624">
        <v>1</v>
      </c>
      <c r="D622" s="1044" t="s">
        <v>1516</v>
      </c>
      <c r="E622" s="1044"/>
      <c r="F622" s="1044"/>
      <c r="G622" s="1044"/>
      <c r="H622" s="1044"/>
      <c r="I622" s="1044"/>
      <c r="J622" s="1044"/>
      <c r="K622" s="1044"/>
      <c r="L622" s="1045"/>
    </row>
    <row r="623" spans="2:12" x14ac:dyDescent="0.25">
      <c r="B623" s="615"/>
      <c r="C623" s="624">
        <v>2</v>
      </c>
      <c r="D623" s="1044" t="s">
        <v>1517</v>
      </c>
      <c r="E623" s="1044"/>
      <c r="F623" s="1044"/>
      <c r="G623" s="1044"/>
      <c r="H623" s="1044"/>
      <c r="I623" s="1044"/>
      <c r="J623" s="1044"/>
      <c r="K623" s="1044"/>
      <c r="L623" s="1045"/>
    </row>
    <row r="624" spans="2:12" x14ac:dyDescent="0.25">
      <c r="B624" s="615"/>
      <c r="C624" s="150">
        <v>3</v>
      </c>
      <c r="D624" s="1044" t="s">
        <v>1518</v>
      </c>
      <c r="E624" s="1044"/>
      <c r="F624" s="1044"/>
      <c r="G624" s="1044"/>
      <c r="H624" s="1044"/>
      <c r="I624" s="1044"/>
      <c r="J624" s="1044"/>
      <c r="K624" s="1044"/>
      <c r="L624" s="1045"/>
    </row>
    <row r="625" spans="2:12" x14ac:dyDescent="0.25">
      <c r="B625" s="615"/>
      <c r="C625" s="150"/>
      <c r="D625" s="142" t="s">
        <v>1437</v>
      </c>
      <c r="E625" s="1044" t="s">
        <v>1456</v>
      </c>
      <c r="F625" s="1044"/>
      <c r="G625" s="1044"/>
      <c r="H625" s="1044"/>
      <c r="I625" s="1044"/>
      <c r="J625" s="1044"/>
      <c r="K625" s="1044"/>
      <c r="L625" s="1045"/>
    </row>
    <row r="626" spans="2:12" x14ac:dyDescent="0.25">
      <c r="B626" s="1063"/>
      <c r="C626" s="1059"/>
      <c r="D626" s="1059"/>
      <c r="E626" s="1059"/>
      <c r="F626" s="1059"/>
      <c r="G626" s="1059"/>
      <c r="H626" s="1059"/>
      <c r="I626" s="1059"/>
      <c r="J626" s="1059"/>
      <c r="K626" s="1059"/>
      <c r="L626" s="1060"/>
    </row>
    <row r="627" spans="2:12" x14ac:dyDescent="0.25">
      <c r="B627" s="620" t="s">
        <v>2</v>
      </c>
      <c r="C627" s="1059" t="s">
        <v>1520</v>
      </c>
      <c r="D627" s="1059"/>
      <c r="E627" s="1059"/>
      <c r="F627" s="1059"/>
      <c r="G627" s="1059"/>
      <c r="H627" s="1059"/>
      <c r="I627" s="1059"/>
      <c r="J627" s="1059"/>
      <c r="K627" s="1059"/>
      <c r="L627" s="1060"/>
    </row>
    <row r="628" spans="2:12" x14ac:dyDescent="0.25">
      <c r="B628" s="615"/>
      <c r="C628" s="624">
        <v>1</v>
      </c>
      <c r="D628" s="1052" t="s">
        <v>1521</v>
      </c>
      <c r="E628" s="1052"/>
      <c r="F628" s="1052"/>
      <c r="G628" s="1052"/>
      <c r="H628" s="1052"/>
      <c r="I628" s="1052"/>
      <c r="J628" s="1052"/>
      <c r="K628" s="1052"/>
      <c r="L628" s="1053"/>
    </row>
    <row r="629" spans="2:12" x14ac:dyDescent="0.25">
      <c r="B629" s="615"/>
      <c r="C629" s="150">
        <v>2</v>
      </c>
      <c r="D629" s="1052" t="s">
        <v>1522</v>
      </c>
      <c r="E629" s="1052"/>
      <c r="F629" s="1052"/>
      <c r="G629" s="1052"/>
      <c r="H629" s="1052"/>
      <c r="I629" s="1052"/>
      <c r="J629" s="1052"/>
      <c r="K629" s="1052"/>
      <c r="L629" s="1053"/>
    </row>
    <row r="630" spans="2:12" x14ac:dyDescent="0.25">
      <c r="B630" s="615"/>
      <c r="C630" s="1061"/>
      <c r="D630" s="1061"/>
      <c r="E630" s="1061"/>
      <c r="F630" s="1061"/>
      <c r="G630" s="1061"/>
      <c r="H630" s="1061"/>
      <c r="I630" s="1061"/>
      <c r="J630" s="1061"/>
      <c r="K630" s="1061"/>
      <c r="L630" s="1062"/>
    </row>
    <row r="631" spans="2:12" x14ac:dyDescent="0.25">
      <c r="B631" s="620" t="s">
        <v>3</v>
      </c>
      <c r="C631" s="1059" t="s">
        <v>1523</v>
      </c>
      <c r="D631" s="1059"/>
      <c r="E631" s="1059"/>
      <c r="F631" s="1059"/>
      <c r="G631" s="1059"/>
      <c r="H631" s="1059"/>
      <c r="I631" s="1059"/>
      <c r="J631" s="1059"/>
      <c r="K631" s="1059"/>
      <c r="L631" s="1060"/>
    </row>
    <row r="632" spans="2:12" x14ac:dyDescent="0.25">
      <c r="B632" s="615"/>
      <c r="C632" s="150">
        <v>1</v>
      </c>
      <c r="D632" s="1044" t="s">
        <v>1524</v>
      </c>
      <c r="E632" s="1044"/>
      <c r="F632" s="1044"/>
      <c r="G632" s="1044"/>
      <c r="H632" s="1044"/>
      <c r="I632" s="1044"/>
      <c r="J632" s="1044"/>
      <c r="K632" s="1044"/>
      <c r="L632" s="1045"/>
    </row>
    <row r="633" spans="2:12" x14ac:dyDescent="0.25">
      <c r="B633" s="615"/>
      <c r="C633" s="624">
        <v>2</v>
      </c>
      <c r="D633" s="1044" t="s">
        <v>1525</v>
      </c>
      <c r="E633" s="1044"/>
      <c r="F633" s="1044"/>
      <c r="G633" s="1044"/>
      <c r="H633" s="1044"/>
      <c r="I633" s="1044"/>
      <c r="J633" s="1044"/>
      <c r="K633" s="1044"/>
      <c r="L633" s="1045"/>
    </row>
    <row r="634" spans="2:12" x14ac:dyDescent="0.25">
      <c r="B634" s="615"/>
      <c r="C634" s="624">
        <v>3</v>
      </c>
      <c r="D634" s="1044" t="s">
        <v>1526</v>
      </c>
      <c r="E634" s="1044"/>
      <c r="F634" s="1044"/>
      <c r="G634" s="1044"/>
      <c r="H634" s="1044"/>
      <c r="I634" s="1044"/>
      <c r="J634" s="1044"/>
      <c r="K634" s="1044"/>
      <c r="L634" s="1045"/>
    </row>
    <row r="635" spans="2:12" x14ac:dyDescent="0.25">
      <c r="B635" s="615"/>
      <c r="C635" s="150"/>
      <c r="D635" s="150" t="s">
        <v>1437</v>
      </c>
      <c r="E635" s="1129" t="s">
        <v>1528</v>
      </c>
      <c r="F635" s="1129"/>
      <c r="G635" s="1129"/>
      <c r="H635" s="1129"/>
      <c r="I635" s="1129"/>
      <c r="J635" s="1129"/>
      <c r="K635" s="1129"/>
      <c r="L635" s="1130"/>
    </row>
    <row r="636" spans="2:12" x14ac:dyDescent="0.25">
      <c r="B636" s="615"/>
      <c r="C636" s="616"/>
      <c r="D636" s="150" t="s">
        <v>1466</v>
      </c>
      <c r="E636" s="1127" t="s">
        <v>1529</v>
      </c>
      <c r="F636" s="1127"/>
      <c r="G636" s="1127"/>
      <c r="H636" s="1127"/>
      <c r="I636" s="1127"/>
      <c r="J636" s="1127"/>
      <c r="K636" s="1127"/>
      <c r="L636" s="1128"/>
    </row>
    <row r="637" spans="2:12" x14ac:dyDescent="0.25">
      <c r="B637" s="620"/>
      <c r="C637" s="624">
        <v>4</v>
      </c>
      <c r="D637" s="1127" t="s">
        <v>1530</v>
      </c>
      <c r="E637" s="1127"/>
      <c r="F637" s="1127"/>
      <c r="G637" s="1127"/>
      <c r="H637" s="1127"/>
      <c r="I637" s="1127"/>
      <c r="J637" s="1127"/>
      <c r="K637" s="1127"/>
      <c r="L637" s="1128"/>
    </row>
    <row r="638" spans="2:12" x14ac:dyDescent="0.25">
      <c r="B638" s="615"/>
      <c r="C638" s="150"/>
      <c r="D638" s="622"/>
      <c r="E638" s="622"/>
      <c r="F638" s="622"/>
      <c r="G638" s="622"/>
      <c r="H638" s="622"/>
      <c r="I638" s="622"/>
      <c r="J638" s="622"/>
      <c r="K638" s="622"/>
      <c r="L638" s="623"/>
    </row>
    <row r="639" spans="2:12" x14ac:dyDescent="0.25">
      <c r="B639" s="620" t="s">
        <v>67</v>
      </c>
      <c r="C639" s="1059" t="s">
        <v>1527</v>
      </c>
      <c r="D639" s="1059"/>
      <c r="E639" s="1059"/>
      <c r="F639" s="1059"/>
      <c r="G639" s="1059"/>
      <c r="H639" s="1059"/>
      <c r="I639" s="1059"/>
      <c r="J639" s="1059"/>
      <c r="K639" s="1059"/>
      <c r="L639" s="1060"/>
    </row>
    <row r="640" spans="2:12" x14ac:dyDescent="0.25">
      <c r="B640" s="615"/>
      <c r="C640" s="624">
        <v>1</v>
      </c>
      <c r="D640" s="1044" t="s">
        <v>1531</v>
      </c>
      <c r="E640" s="1044"/>
      <c r="F640" s="1044"/>
      <c r="G640" s="1044"/>
      <c r="H640" s="1044"/>
      <c r="I640" s="1044"/>
      <c r="J640" s="1044"/>
      <c r="K640" s="1044"/>
      <c r="L640" s="1045"/>
    </row>
    <row r="641" spans="2:12" x14ac:dyDescent="0.25">
      <c r="B641" s="615"/>
      <c r="C641" s="624">
        <v>2</v>
      </c>
      <c r="D641" s="1095" t="s">
        <v>1532</v>
      </c>
      <c r="E641" s="1095"/>
      <c r="F641" s="1095"/>
      <c r="G641" s="1095"/>
      <c r="H641" s="1095"/>
      <c r="I641" s="1095"/>
      <c r="J641" s="1095"/>
      <c r="K641" s="1095"/>
      <c r="L641" s="1096"/>
    </row>
    <row r="642" spans="2:12" x14ac:dyDescent="0.25">
      <c r="B642" s="615"/>
      <c r="C642" s="150">
        <v>3</v>
      </c>
      <c r="D642" s="1044" t="s">
        <v>1533</v>
      </c>
      <c r="E642" s="1044"/>
      <c r="F642" s="1044"/>
      <c r="G642" s="1044"/>
      <c r="H642" s="1044"/>
      <c r="I642" s="1044"/>
      <c r="J642" s="1044"/>
      <c r="K642" s="1044"/>
      <c r="L642" s="1045"/>
    </row>
    <row r="643" spans="2:12" ht="15.75" thickBot="1" x14ac:dyDescent="0.3">
      <c r="B643" s="607"/>
      <c r="C643" s="608"/>
      <c r="D643" s="608"/>
      <c r="E643" s="608"/>
      <c r="F643" s="608"/>
      <c r="G643" s="608"/>
      <c r="H643" s="608"/>
      <c r="I643" s="608"/>
      <c r="J643" s="608"/>
      <c r="K643" s="608"/>
      <c r="L643" s="377"/>
    </row>
    <row r="644" spans="2:12" ht="15.75" thickBot="1" x14ac:dyDescent="0.3">
      <c r="B644" s="1054" t="s">
        <v>1010</v>
      </c>
      <c r="C644" s="1055"/>
      <c r="D644" s="1056"/>
      <c r="E644" s="1020"/>
      <c r="F644" s="1021"/>
      <c r="G644" s="1021"/>
      <c r="H644" s="1021"/>
      <c r="I644" s="1021"/>
      <c r="J644" s="1022"/>
      <c r="K644" s="378" t="s">
        <v>1008</v>
      </c>
      <c r="L644" s="631" t="s">
        <v>1416</v>
      </c>
    </row>
    <row r="645" spans="2:12" x14ac:dyDescent="0.25">
      <c r="B645" s="633">
        <v>1</v>
      </c>
      <c r="C645" s="616"/>
      <c r="D645" s="1057" t="s">
        <v>1534</v>
      </c>
      <c r="E645" s="1057"/>
      <c r="F645" s="1057"/>
      <c r="G645" s="1057"/>
      <c r="H645" s="1057"/>
      <c r="I645" s="1057"/>
      <c r="J645" s="1057"/>
      <c r="K645" s="1057"/>
      <c r="L645" s="1058"/>
    </row>
    <row r="646" spans="2:12" x14ac:dyDescent="0.25">
      <c r="B646" s="633">
        <v>3</v>
      </c>
      <c r="C646" s="616"/>
      <c r="D646" s="1044" t="s">
        <v>1490</v>
      </c>
      <c r="E646" s="1044"/>
      <c r="F646" s="1044"/>
      <c r="G646" s="1044"/>
      <c r="H646" s="1044"/>
      <c r="I646" s="1044"/>
      <c r="J646" s="1044"/>
      <c r="K646" s="1044"/>
      <c r="L646" s="1045"/>
    </row>
    <row r="647" spans="2:12" x14ac:dyDescent="0.25">
      <c r="B647" s="633">
        <v>4</v>
      </c>
      <c r="C647" s="616"/>
      <c r="D647" s="1044" t="s">
        <v>1491</v>
      </c>
      <c r="E647" s="1044"/>
      <c r="F647" s="1044"/>
      <c r="G647" s="1044"/>
      <c r="H647" s="1044"/>
      <c r="I647" s="1044"/>
      <c r="J647" s="1044"/>
      <c r="K647" s="1044"/>
      <c r="L647" s="1045"/>
    </row>
    <row r="648" spans="2:12" x14ac:dyDescent="0.25">
      <c r="B648" s="615">
        <v>5</v>
      </c>
      <c r="C648" s="616"/>
      <c r="D648" s="1044" t="s">
        <v>1492</v>
      </c>
      <c r="E648" s="1044"/>
      <c r="F648" s="1044"/>
      <c r="G648" s="1044"/>
      <c r="H648" s="1044"/>
      <c r="I648" s="1044"/>
      <c r="J648" s="1044"/>
      <c r="K648" s="1044"/>
      <c r="L648" s="1045"/>
    </row>
    <row r="649" spans="2:12" x14ac:dyDescent="0.25">
      <c r="B649" s="615">
        <v>6</v>
      </c>
      <c r="C649" s="616"/>
      <c r="D649" s="1044" t="s">
        <v>1493</v>
      </c>
      <c r="E649" s="1044"/>
      <c r="F649" s="1044"/>
      <c r="G649" s="1044"/>
      <c r="H649" s="1044"/>
      <c r="I649" s="1044"/>
      <c r="J649" s="1044"/>
      <c r="K649" s="1044"/>
      <c r="L649" s="1045"/>
    </row>
    <row r="650" spans="2:12" x14ac:dyDescent="0.25">
      <c r="B650" s="615">
        <v>7</v>
      </c>
      <c r="C650" s="616"/>
      <c r="D650" s="1044" t="s">
        <v>1494</v>
      </c>
      <c r="E650" s="1044"/>
      <c r="F650" s="1044"/>
      <c r="G650" s="1044"/>
      <c r="H650" s="1044"/>
      <c r="I650" s="1044"/>
      <c r="J650" s="1044"/>
      <c r="K650" s="1044"/>
      <c r="L650" s="1045"/>
    </row>
    <row r="651" spans="2:12" x14ac:dyDescent="0.25">
      <c r="B651" s="633">
        <v>8</v>
      </c>
      <c r="C651" s="616"/>
      <c r="D651" s="1044" t="s">
        <v>1488</v>
      </c>
      <c r="E651" s="1044"/>
      <c r="F651" s="1044"/>
      <c r="G651" s="1044"/>
      <c r="H651" s="1044"/>
      <c r="I651" s="1044"/>
      <c r="J651" s="1044"/>
      <c r="K651" s="1044"/>
      <c r="L651" s="1045"/>
    </row>
    <row r="652" spans="2:12" ht="15.75" thickBot="1" x14ac:dyDescent="0.3">
      <c r="B652" s="1046"/>
      <c r="C652" s="1047"/>
      <c r="D652" s="1047"/>
      <c r="E652" s="1047"/>
      <c r="F652" s="1047"/>
      <c r="G652" s="1047"/>
      <c r="H652" s="1047"/>
      <c r="I652" s="1047"/>
      <c r="J652" s="1047"/>
      <c r="K652" s="1047"/>
      <c r="L652" s="1048"/>
    </row>
    <row r="653" spans="2:12" ht="15.75" thickBot="1" x14ac:dyDescent="0.3">
      <c r="B653" s="1032" t="s">
        <v>1011</v>
      </c>
      <c r="C653" s="1033"/>
      <c r="D653" s="1033"/>
      <c r="E653" s="1033"/>
      <c r="F653" s="1033"/>
      <c r="G653" s="1033"/>
      <c r="H653" s="1033"/>
      <c r="I653" s="1033"/>
      <c r="J653" s="1033"/>
      <c r="K653" s="1033"/>
      <c r="L653" s="1034"/>
    </row>
    <row r="654" spans="2:12" ht="15.75" thickBot="1" x14ac:dyDescent="0.3">
      <c r="B654" s="629" t="s">
        <v>4</v>
      </c>
      <c r="C654" s="1041" t="s">
        <v>1012</v>
      </c>
      <c r="D654" s="1043"/>
      <c r="E654" s="1041" t="s">
        <v>1013</v>
      </c>
      <c r="F654" s="1043"/>
      <c r="G654" s="1041" t="s">
        <v>1014</v>
      </c>
      <c r="H654" s="1043"/>
      <c r="I654" s="1041" t="s">
        <v>1015</v>
      </c>
      <c r="J654" s="1042"/>
      <c r="K654" s="1042"/>
      <c r="L654" s="1043"/>
    </row>
    <row r="655" spans="2:12" ht="15.75" thickBot="1" x14ac:dyDescent="0.3">
      <c r="B655" s="630">
        <v>1</v>
      </c>
      <c r="C655" s="1020" t="s">
        <v>1016</v>
      </c>
      <c r="D655" s="1022"/>
      <c r="E655" s="1020" t="s">
        <v>1017</v>
      </c>
      <c r="F655" s="1022"/>
      <c r="G655" s="1020" t="s">
        <v>1018</v>
      </c>
      <c r="H655" s="1022"/>
      <c r="I655" s="1020" t="s">
        <v>1019</v>
      </c>
      <c r="J655" s="1021"/>
      <c r="K655" s="1021"/>
      <c r="L655" s="1022"/>
    </row>
    <row r="656" spans="2:12" ht="15.75" thickBot="1" x14ac:dyDescent="0.3">
      <c r="B656" s="630">
        <v>2</v>
      </c>
      <c r="C656" s="1020" t="s">
        <v>1020</v>
      </c>
      <c r="D656" s="1022"/>
      <c r="E656" s="1020" t="s">
        <v>1535</v>
      </c>
      <c r="F656" s="1022"/>
      <c r="G656" s="1020" t="s">
        <v>1021</v>
      </c>
      <c r="H656" s="1022"/>
      <c r="I656" s="1020" t="s">
        <v>1022</v>
      </c>
      <c r="J656" s="1021"/>
      <c r="K656" s="1021"/>
      <c r="L656" s="1022"/>
    </row>
    <row r="657" spans="2:12" ht="15.75" thickBot="1" x14ac:dyDescent="0.3">
      <c r="B657" s="630">
        <v>3</v>
      </c>
      <c r="C657" s="1020" t="s">
        <v>1023</v>
      </c>
      <c r="D657" s="1022"/>
      <c r="E657" s="1020" t="s">
        <v>1426</v>
      </c>
      <c r="F657" s="1022"/>
      <c r="G657" s="1020" t="s">
        <v>1024</v>
      </c>
      <c r="H657" s="1022"/>
      <c r="I657" s="1020" t="s">
        <v>1025</v>
      </c>
      <c r="J657" s="1021"/>
      <c r="K657" s="1021"/>
      <c r="L657" s="1022"/>
    </row>
    <row r="658" spans="2:12" ht="15.75" thickBot="1" x14ac:dyDescent="0.3">
      <c r="B658" s="1032" t="s">
        <v>1026</v>
      </c>
      <c r="C658" s="1033"/>
      <c r="D658" s="1033"/>
      <c r="E658" s="1033"/>
      <c r="F658" s="1033"/>
      <c r="G658" s="1033"/>
      <c r="H658" s="1033"/>
      <c r="I658" s="1033"/>
      <c r="J658" s="1033"/>
      <c r="K658" s="1033"/>
      <c r="L658" s="1034"/>
    </row>
    <row r="659" spans="2:12" ht="15.75" thickBot="1" x14ac:dyDescent="0.3">
      <c r="B659" s="1035" t="s">
        <v>1027</v>
      </c>
      <c r="C659" s="1036"/>
      <c r="D659" s="1037"/>
      <c r="E659" s="1110" t="s">
        <v>1536</v>
      </c>
      <c r="F659" s="1111"/>
      <c r="G659" s="1111"/>
      <c r="H659" s="1111"/>
      <c r="I659" s="1111"/>
      <c r="J659" s="1111"/>
      <c r="K659" s="1111"/>
      <c r="L659" s="1112"/>
    </row>
    <row r="660" spans="2:12" ht="15.75" thickBot="1" x14ac:dyDescent="0.3">
      <c r="B660" s="1035" t="s">
        <v>1028</v>
      </c>
      <c r="C660" s="1036"/>
      <c r="D660" s="1037"/>
      <c r="E660" s="1110" t="s">
        <v>1537</v>
      </c>
      <c r="F660" s="1111"/>
      <c r="G660" s="1111"/>
      <c r="H660" s="1111"/>
      <c r="I660" s="1111"/>
      <c r="J660" s="1111"/>
      <c r="K660" s="1111"/>
      <c r="L660" s="1112"/>
    </row>
    <row r="661" spans="2:12" ht="15.75" thickBot="1" x14ac:dyDescent="0.3">
      <c r="B661" s="1032" t="s">
        <v>1029</v>
      </c>
      <c r="C661" s="1033"/>
      <c r="D661" s="1033"/>
      <c r="E661" s="1033"/>
      <c r="F661" s="1033"/>
      <c r="G661" s="1033"/>
      <c r="H661" s="1033"/>
      <c r="I661" s="1033"/>
      <c r="J661" s="1033"/>
      <c r="K661" s="1033"/>
      <c r="L661" s="1034"/>
    </row>
    <row r="662" spans="2:12" ht="15.75" thickBot="1" x14ac:dyDescent="0.3">
      <c r="B662" s="629" t="s">
        <v>4</v>
      </c>
      <c r="C662" s="1041" t="s">
        <v>1012</v>
      </c>
      <c r="D662" s="1042"/>
      <c r="E662" s="1043"/>
      <c r="F662" s="1041" t="s">
        <v>1030</v>
      </c>
      <c r="G662" s="1042"/>
      <c r="H662" s="1042"/>
      <c r="I662" s="1042"/>
      <c r="J662" s="1042"/>
      <c r="K662" s="1042"/>
      <c r="L662" s="1043"/>
    </row>
    <row r="663" spans="2:12" ht="15.75" thickBot="1" x14ac:dyDescent="0.3">
      <c r="B663" s="630">
        <v>1</v>
      </c>
      <c r="C663" s="1020" t="s">
        <v>1031</v>
      </c>
      <c r="D663" s="1021"/>
      <c r="E663" s="1022"/>
      <c r="F663" s="1020" t="s">
        <v>1538</v>
      </c>
      <c r="G663" s="1021"/>
      <c r="H663" s="1021"/>
      <c r="I663" s="1021"/>
      <c r="J663" s="1021"/>
      <c r="K663" s="1021"/>
      <c r="L663" s="1022"/>
    </row>
    <row r="664" spans="2:12" ht="15.75" thickBot="1" x14ac:dyDescent="0.3">
      <c r="B664" s="630">
        <v>2</v>
      </c>
      <c r="C664" s="1020" t="s">
        <v>1033</v>
      </c>
      <c r="D664" s="1021"/>
      <c r="E664" s="1022"/>
      <c r="F664" s="1023" t="s">
        <v>1539</v>
      </c>
      <c r="G664" s="1024"/>
      <c r="H664" s="1024"/>
      <c r="I664" s="1024"/>
      <c r="J664" s="1024"/>
      <c r="K664" s="1024"/>
      <c r="L664" s="1025"/>
    </row>
    <row r="665" spans="2:12" ht="15.75" thickBot="1" x14ac:dyDescent="0.3">
      <c r="B665" s="630">
        <v>3</v>
      </c>
      <c r="C665" s="1020" t="s">
        <v>1035</v>
      </c>
      <c r="D665" s="1021"/>
      <c r="E665" s="1022"/>
      <c r="F665" s="1023" t="s">
        <v>1540</v>
      </c>
      <c r="G665" s="1024"/>
      <c r="H665" s="1024"/>
      <c r="I665" s="1024"/>
      <c r="J665" s="1024"/>
      <c r="K665" s="1024"/>
      <c r="L665" s="1025"/>
    </row>
    <row r="666" spans="2:12" ht="15.75" thickBot="1" x14ac:dyDescent="0.3">
      <c r="B666" s="1026"/>
      <c r="C666" s="1027"/>
      <c r="D666" s="1027"/>
      <c r="E666" s="1027"/>
      <c r="F666" s="1027"/>
      <c r="G666" s="1027"/>
      <c r="H666" s="1027"/>
      <c r="I666" s="1027"/>
      <c r="J666" s="1027"/>
      <c r="K666" s="1027"/>
      <c r="L666" s="1028"/>
    </row>
    <row r="667" spans="2:12" x14ac:dyDescent="0.25">
      <c r="B667" s="1029"/>
      <c r="C667" s="1030"/>
      <c r="D667" s="1030"/>
      <c r="E667" s="1030"/>
      <c r="F667" s="1030"/>
      <c r="G667" s="1030"/>
      <c r="H667" s="1030"/>
      <c r="I667" s="1030"/>
      <c r="J667" s="1030"/>
      <c r="K667" s="1030"/>
      <c r="L667" s="1031"/>
    </row>
    <row r="668" spans="2:12" x14ac:dyDescent="0.25">
      <c r="B668" s="1014" t="s">
        <v>1418</v>
      </c>
      <c r="C668" s="1015"/>
      <c r="D668" s="1015"/>
      <c r="E668" s="1015"/>
      <c r="F668" s="1015"/>
      <c r="G668" s="1015"/>
      <c r="H668" s="1015"/>
      <c r="I668" s="1015"/>
      <c r="J668" s="1015"/>
      <c r="K668" s="1015"/>
      <c r="L668" s="1016"/>
    </row>
    <row r="669" spans="2:12" x14ac:dyDescent="0.25">
      <c r="B669" s="1014" t="s">
        <v>1037</v>
      </c>
      <c r="C669" s="1015"/>
      <c r="D669" s="1015"/>
      <c r="E669" s="1015"/>
      <c r="F669" s="1015"/>
      <c r="G669" s="1015"/>
      <c r="H669" s="1015"/>
      <c r="I669" s="1015"/>
      <c r="J669" s="1015"/>
      <c r="K669" s="1015"/>
      <c r="L669" s="1016"/>
    </row>
    <row r="670" spans="2:12" x14ac:dyDescent="0.25">
      <c r="B670" s="1014" t="s">
        <v>1419</v>
      </c>
      <c r="C670" s="1015"/>
      <c r="D670" s="1015"/>
      <c r="E670" s="1015"/>
      <c r="F670" s="1015"/>
      <c r="G670" s="1015"/>
      <c r="H670" s="1015"/>
      <c r="I670" s="1015"/>
      <c r="J670" s="1015"/>
      <c r="K670" s="1015"/>
      <c r="L670" s="1016"/>
    </row>
    <row r="671" spans="2:12" x14ac:dyDescent="0.25">
      <c r="B671" s="1014" t="s">
        <v>1499</v>
      </c>
      <c r="C671" s="1015"/>
      <c r="D671" s="1015"/>
      <c r="E671" s="1015"/>
      <c r="F671" s="1015"/>
      <c r="G671" s="1015"/>
      <c r="H671" s="1015"/>
      <c r="I671" s="1015"/>
      <c r="J671" s="1015"/>
      <c r="K671" s="1015"/>
      <c r="L671" s="1016"/>
    </row>
    <row r="672" spans="2:12" x14ac:dyDescent="0.25">
      <c r="B672" s="1014" t="s">
        <v>1040</v>
      </c>
      <c r="C672" s="1015"/>
      <c r="D672" s="1015"/>
      <c r="E672" s="1015"/>
      <c r="F672" s="1015"/>
      <c r="G672" s="1015"/>
      <c r="H672" s="1015"/>
      <c r="I672" s="1015"/>
      <c r="J672" s="1015"/>
      <c r="K672" s="1015"/>
      <c r="L672" s="1016"/>
    </row>
    <row r="673" spans="2:12" x14ac:dyDescent="0.25">
      <c r="B673" s="1014"/>
      <c r="C673" s="1015"/>
      <c r="D673" s="1015"/>
      <c r="E673" s="1015"/>
      <c r="F673" s="1015"/>
      <c r="G673" s="1015"/>
      <c r="H673" s="1015"/>
      <c r="I673" s="1015"/>
      <c r="J673" s="1015"/>
      <c r="K673" s="1015"/>
      <c r="L673" s="1016"/>
    </row>
    <row r="674" spans="2:12" x14ac:dyDescent="0.25">
      <c r="B674" s="1014"/>
      <c r="C674" s="1015"/>
      <c r="D674" s="1015"/>
      <c r="E674" s="1015"/>
      <c r="F674" s="1015"/>
      <c r="G674" s="1015"/>
      <c r="H674" s="1015"/>
      <c r="I674" s="1015"/>
      <c r="J674" s="1015"/>
      <c r="K674" s="1015"/>
      <c r="L674" s="1016"/>
    </row>
    <row r="675" spans="2:12" x14ac:dyDescent="0.25">
      <c r="B675" s="1014" t="s">
        <v>1498</v>
      </c>
      <c r="C675" s="1015"/>
      <c r="D675" s="1015"/>
      <c r="E675" s="1015"/>
      <c r="F675" s="1015"/>
      <c r="G675" s="1015"/>
      <c r="H675" s="1015"/>
      <c r="I675" s="1015"/>
      <c r="J675" s="1015"/>
      <c r="K675" s="1015"/>
      <c r="L675" s="1016"/>
    </row>
    <row r="676" spans="2:12" x14ac:dyDescent="0.25">
      <c r="B676" s="1014" t="s">
        <v>1500</v>
      </c>
      <c r="C676" s="1015"/>
      <c r="D676" s="1015"/>
      <c r="E676" s="1015"/>
      <c r="F676" s="1015"/>
      <c r="G676" s="1015"/>
      <c r="H676" s="1015"/>
      <c r="I676" s="1015"/>
      <c r="J676" s="1015"/>
      <c r="K676" s="1015"/>
      <c r="L676" s="1016"/>
    </row>
    <row r="677" spans="2:12" x14ac:dyDescent="0.25">
      <c r="B677" s="1014"/>
      <c r="C677" s="1015"/>
      <c r="D677" s="1015"/>
      <c r="E677" s="1015"/>
      <c r="F677" s="1015"/>
      <c r="G677" s="1015"/>
      <c r="H677" s="1015"/>
      <c r="I677" s="1015"/>
      <c r="J677" s="1015"/>
      <c r="K677" s="1015"/>
      <c r="L677" s="1016"/>
    </row>
    <row r="678" spans="2:12" ht="15.75" thickBot="1" x14ac:dyDescent="0.3">
      <c r="B678" s="1017"/>
      <c r="C678" s="1018"/>
      <c r="D678" s="1018"/>
      <c r="E678" s="1018"/>
      <c r="F678" s="1018"/>
      <c r="G678" s="1018"/>
      <c r="H678" s="1018"/>
      <c r="I678" s="1018"/>
      <c r="J678" s="1018"/>
      <c r="K678" s="1018"/>
      <c r="L678" s="1019"/>
    </row>
  </sheetData>
  <mergeCells count="875">
    <mergeCell ref="B145:L145"/>
    <mergeCell ref="B592:D592"/>
    <mergeCell ref="C627:L627"/>
    <mergeCell ref="D628:L628"/>
    <mergeCell ref="D629:L629"/>
    <mergeCell ref="D641:L641"/>
    <mergeCell ref="E580:L580"/>
    <mergeCell ref="B578:D581"/>
    <mergeCell ref="D637:L637"/>
    <mergeCell ref="E635:L635"/>
    <mergeCell ref="E636:L636"/>
    <mergeCell ref="F597:L597"/>
    <mergeCell ref="F598:L598"/>
    <mergeCell ref="F599:L599"/>
    <mergeCell ref="D616:L616"/>
    <mergeCell ref="D608:L608"/>
    <mergeCell ref="D609:L609"/>
    <mergeCell ref="D610:L610"/>
    <mergeCell ref="B582:D590"/>
    <mergeCell ref="F586:L586"/>
    <mergeCell ref="F587:L587"/>
    <mergeCell ref="F588:L588"/>
    <mergeCell ref="F590:L590"/>
    <mergeCell ref="E589:L589"/>
    <mergeCell ref="B591:D591"/>
    <mergeCell ref="E591:L591"/>
    <mergeCell ref="B602:D602"/>
    <mergeCell ref="E602:L602"/>
    <mergeCell ref="E596:L596"/>
    <mergeCell ref="B606:D606"/>
    <mergeCell ref="E606:J606"/>
    <mergeCell ref="D622:L622"/>
    <mergeCell ref="B626:L626"/>
    <mergeCell ref="D623:L623"/>
    <mergeCell ref="D624:L624"/>
    <mergeCell ref="E625:L625"/>
    <mergeCell ref="E592:L592"/>
    <mergeCell ref="B593:D593"/>
    <mergeCell ref="E593:L593"/>
    <mergeCell ref="D611:L611"/>
    <mergeCell ref="D612:L612"/>
    <mergeCell ref="D613:L613"/>
    <mergeCell ref="D614:L614"/>
    <mergeCell ref="D615:L615"/>
    <mergeCell ref="C621:L621"/>
    <mergeCell ref="B618:L618"/>
    <mergeCell ref="B619:D619"/>
    <mergeCell ref="E619:J619"/>
    <mergeCell ref="B620:L620"/>
    <mergeCell ref="B678:L678"/>
    <mergeCell ref="B677:L677"/>
    <mergeCell ref="B653:L653"/>
    <mergeCell ref="C654:D654"/>
    <mergeCell ref="E654:F654"/>
    <mergeCell ref="G654:H654"/>
    <mergeCell ref="I654:L654"/>
    <mergeCell ref="C655:D655"/>
    <mergeCell ref="E655:F655"/>
    <mergeCell ref="G655:H655"/>
    <mergeCell ref="I655:L655"/>
    <mergeCell ref="B658:L658"/>
    <mergeCell ref="B659:D659"/>
    <mergeCell ref="E659:L659"/>
    <mergeCell ref="B660:D660"/>
    <mergeCell ref="E660:L660"/>
    <mergeCell ref="C656:D656"/>
    <mergeCell ref="E656:F656"/>
    <mergeCell ref="C664:E664"/>
    <mergeCell ref="F664:L664"/>
    <mergeCell ref="C665:E665"/>
    <mergeCell ref="F665:L665"/>
    <mergeCell ref="B666:L666"/>
    <mergeCell ref="B661:L661"/>
    <mergeCell ref="B572:C572"/>
    <mergeCell ref="D572:G572"/>
    <mergeCell ref="H572:I572"/>
    <mergeCell ref="J572:L572"/>
    <mergeCell ref="B573:C573"/>
    <mergeCell ref="D573:G573"/>
    <mergeCell ref="H573:I573"/>
    <mergeCell ref="J573:L573"/>
    <mergeCell ref="B574:L574"/>
    <mergeCell ref="B575:D575"/>
    <mergeCell ref="B576:D576"/>
    <mergeCell ref="E575:L576"/>
    <mergeCell ref="B577:D577"/>
    <mergeCell ref="E577:L577"/>
    <mergeCell ref="F583:L583"/>
    <mergeCell ref="F584:L584"/>
    <mergeCell ref="F585:L585"/>
    <mergeCell ref="E578:L578"/>
    <mergeCell ref="E579:L579"/>
    <mergeCell ref="E582:L582"/>
    <mergeCell ref="E581:L581"/>
    <mergeCell ref="B617:L617"/>
    <mergeCell ref="B607:L607"/>
    <mergeCell ref="K1:L1"/>
    <mergeCell ref="K2:L2"/>
    <mergeCell ref="B570:C570"/>
    <mergeCell ref="D570:G570"/>
    <mergeCell ref="H570:I570"/>
    <mergeCell ref="J570:L570"/>
    <mergeCell ref="B571:C571"/>
    <mergeCell ref="D571:G571"/>
    <mergeCell ref="H571:I571"/>
    <mergeCell ref="J571:L571"/>
    <mergeCell ref="B568:L568"/>
    <mergeCell ref="B569:C569"/>
    <mergeCell ref="D569:G569"/>
    <mergeCell ref="H569:I569"/>
    <mergeCell ref="J569:L569"/>
    <mergeCell ref="B566:L566"/>
    <mergeCell ref="B147:L147"/>
    <mergeCell ref="B148:C148"/>
    <mergeCell ref="D148:G148"/>
    <mergeCell ref="H148:I148"/>
    <mergeCell ref="J148:L148"/>
    <mergeCell ref="B149:C149"/>
    <mergeCell ref="D149:G149"/>
    <mergeCell ref="H149:I149"/>
    <mergeCell ref="B605:L605"/>
    <mergeCell ref="B604:L604"/>
    <mergeCell ref="B603:L603"/>
    <mergeCell ref="B595:L595"/>
    <mergeCell ref="B594:L594"/>
    <mergeCell ref="B600:D600"/>
    <mergeCell ref="E600:L600"/>
    <mergeCell ref="B601:D601"/>
    <mergeCell ref="E601:L601"/>
    <mergeCell ref="C631:L631"/>
    <mergeCell ref="D632:L632"/>
    <mergeCell ref="D633:L633"/>
    <mergeCell ref="D634:L634"/>
    <mergeCell ref="C630:L630"/>
    <mergeCell ref="C639:L639"/>
    <mergeCell ref="D640:L640"/>
    <mergeCell ref="D642:L642"/>
    <mergeCell ref="B644:D644"/>
    <mergeCell ref="E644:J644"/>
    <mergeCell ref="D646:L646"/>
    <mergeCell ref="D647:L647"/>
    <mergeCell ref="D649:L649"/>
    <mergeCell ref="D645:L645"/>
    <mergeCell ref="D648:L648"/>
    <mergeCell ref="G656:H656"/>
    <mergeCell ref="I656:L656"/>
    <mergeCell ref="C657:D657"/>
    <mergeCell ref="E657:F657"/>
    <mergeCell ref="G657:H657"/>
    <mergeCell ref="I657:L657"/>
    <mergeCell ref="B652:L652"/>
    <mergeCell ref="D650:L650"/>
    <mergeCell ref="D651:L651"/>
    <mergeCell ref="C662:E662"/>
    <mergeCell ref="F662:L662"/>
    <mergeCell ref="C663:E663"/>
    <mergeCell ref="F663:L663"/>
    <mergeCell ref="B672:L672"/>
    <mergeCell ref="B673:L673"/>
    <mergeCell ref="B674:L674"/>
    <mergeCell ref="B675:L675"/>
    <mergeCell ref="B676:L676"/>
    <mergeCell ref="B667:L667"/>
    <mergeCell ref="B668:L668"/>
    <mergeCell ref="B669:L669"/>
    <mergeCell ref="B670:L670"/>
    <mergeCell ref="B671:L671"/>
    <mergeCell ref="J149:L149"/>
    <mergeCell ref="B150:C150"/>
    <mergeCell ref="D150:G150"/>
    <mergeCell ref="H150:I150"/>
    <mergeCell ref="J150:L150"/>
    <mergeCell ref="B151:C151"/>
    <mergeCell ref="D151:G151"/>
    <mergeCell ref="H151:I151"/>
    <mergeCell ref="J151:L151"/>
    <mergeCell ref="B152:C152"/>
    <mergeCell ref="D152:G152"/>
    <mergeCell ref="H152:I152"/>
    <mergeCell ref="J152:L152"/>
    <mergeCell ref="B153:L153"/>
    <mergeCell ref="B154:D154"/>
    <mergeCell ref="E154:L155"/>
    <mergeCell ref="B155:D155"/>
    <mergeCell ref="B156:D156"/>
    <mergeCell ref="E156:L156"/>
    <mergeCell ref="B157:D159"/>
    <mergeCell ref="E157:L157"/>
    <mergeCell ref="E158:L158"/>
    <mergeCell ref="E159:L159"/>
    <mergeCell ref="B160:D168"/>
    <mergeCell ref="E160:L160"/>
    <mergeCell ref="F161:L161"/>
    <mergeCell ref="F162:L162"/>
    <mergeCell ref="F163:L163"/>
    <mergeCell ref="F164:L164"/>
    <mergeCell ref="F165:L165"/>
    <mergeCell ref="F166:L166"/>
    <mergeCell ref="E167:L167"/>
    <mergeCell ref="F168:L168"/>
    <mergeCell ref="B169:D169"/>
    <mergeCell ref="E169:L169"/>
    <mergeCell ref="B170:D170"/>
    <mergeCell ref="E170:L170"/>
    <mergeCell ref="B171:D171"/>
    <mergeCell ref="E171:L171"/>
    <mergeCell ref="B172:L172"/>
    <mergeCell ref="B173:L173"/>
    <mergeCell ref="B174:D178"/>
    <mergeCell ref="E174:L174"/>
    <mergeCell ref="F175:L175"/>
    <mergeCell ref="F176:L176"/>
    <mergeCell ref="F177:L177"/>
    <mergeCell ref="F178:L178"/>
    <mergeCell ref="B179:D179"/>
    <mergeCell ref="E179:L179"/>
    <mergeCell ref="B180:D180"/>
    <mergeCell ref="E180:L180"/>
    <mergeCell ref="B181:D181"/>
    <mergeCell ref="E181:L181"/>
    <mergeCell ref="B182:L182"/>
    <mergeCell ref="B183:L183"/>
    <mergeCell ref="B184:L184"/>
    <mergeCell ref="B185:D185"/>
    <mergeCell ref="E185:L185"/>
    <mergeCell ref="B186:D186"/>
    <mergeCell ref="E186:J186"/>
    <mergeCell ref="B187:L187"/>
    <mergeCell ref="D188:L188"/>
    <mergeCell ref="D189:L189"/>
    <mergeCell ref="D190:L190"/>
    <mergeCell ref="D191:L191"/>
    <mergeCell ref="D192:L192"/>
    <mergeCell ref="D193:L193"/>
    <mergeCell ref="D194:L194"/>
    <mergeCell ref="D195:L195"/>
    <mergeCell ref="D196:L196"/>
    <mergeCell ref="D197:L197"/>
    <mergeCell ref="B198:L198"/>
    <mergeCell ref="B199:L199"/>
    <mergeCell ref="B200:D200"/>
    <mergeCell ref="E200:J200"/>
    <mergeCell ref="B201:L201"/>
    <mergeCell ref="C202:L202"/>
    <mergeCell ref="D203:L203"/>
    <mergeCell ref="E204:L204"/>
    <mergeCell ref="E205:L205"/>
    <mergeCell ref="E206:L206"/>
    <mergeCell ref="D207:L207"/>
    <mergeCell ref="D208:L208"/>
    <mergeCell ref="E209:L209"/>
    <mergeCell ref="E210:L210"/>
    <mergeCell ref="E211:L211"/>
    <mergeCell ref="E212:L212"/>
    <mergeCell ref="D213:L213"/>
    <mergeCell ref="E214:L214"/>
    <mergeCell ref="B215:L215"/>
    <mergeCell ref="C216:L216"/>
    <mergeCell ref="D217:L217"/>
    <mergeCell ref="D218:L218"/>
    <mergeCell ref="D219:L219"/>
    <mergeCell ref="D220:L220"/>
    <mergeCell ref="C221:L221"/>
    <mergeCell ref="C222:L222"/>
    <mergeCell ref="D223:L223"/>
    <mergeCell ref="D224:L224"/>
    <mergeCell ref="D225:L225"/>
    <mergeCell ref="D226:L226"/>
    <mergeCell ref="C228:L228"/>
    <mergeCell ref="D229:L229"/>
    <mergeCell ref="D230:L230"/>
    <mergeCell ref="D231:L231"/>
    <mergeCell ref="C233:L233"/>
    <mergeCell ref="D234:L234"/>
    <mergeCell ref="D235:L235"/>
    <mergeCell ref="D236:L236"/>
    <mergeCell ref="D237:L237"/>
    <mergeCell ref="D238:L238"/>
    <mergeCell ref="C240:L240"/>
    <mergeCell ref="D241:L241"/>
    <mergeCell ref="D242:L242"/>
    <mergeCell ref="E243:L243"/>
    <mergeCell ref="D244:L244"/>
    <mergeCell ref="B246:D246"/>
    <mergeCell ref="E246:J246"/>
    <mergeCell ref="D247:L247"/>
    <mergeCell ref="D248:L248"/>
    <mergeCell ref="D249:L249"/>
    <mergeCell ref="D250:L250"/>
    <mergeCell ref="D251:L251"/>
    <mergeCell ref="D252:L252"/>
    <mergeCell ref="D253:L253"/>
    <mergeCell ref="D254:L254"/>
    <mergeCell ref="B255:L255"/>
    <mergeCell ref="B256:L256"/>
    <mergeCell ref="C257:D257"/>
    <mergeCell ref="E257:F257"/>
    <mergeCell ref="G257:H257"/>
    <mergeCell ref="I257:L257"/>
    <mergeCell ref="C258:D258"/>
    <mergeCell ref="E258:F258"/>
    <mergeCell ref="G258:H258"/>
    <mergeCell ref="I258:L258"/>
    <mergeCell ref="C259:D259"/>
    <mergeCell ref="E259:F259"/>
    <mergeCell ref="G259:H259"/>
    <mergeCell ref="I259:L259"/>
    <mergeCell ref="C260:D260"/>
    <mergeCell ref="E260:F260"/>
    <mergeCell ref="G260:H260"/>
    <mergeCell ref="I260:L260"/>
    <mergeCell ref="B261:L261"/>
    <mergeCell ref="B262:D262"/>
    <mergeCell ref="E262:L262"/>
    <mergeCell ref="B263:D263"/>
    <mergeCell ref="E263:L263"/>
    <mergeCell ref="B264:L264"/>
    <mergeCell ref="C265:E265"/>
    <mergeCell ref="F265:L265"/>
    <mergeCell ref="C266:E266"/>
    <mergeCell ref="F266:L266"/>
    <mergeCell ref="C267:E267"/>
    <mergeCell ref="F267:L267"/>
    <mergeCell ref="C268:E268"/>
    <mergeCell ref="F268:L268"/>
    <mergeCell ref="B269:L269"/>
    <mergeCell ref="B270:L270"/>
    <mergeCell ref="B271:L271"/>
    <mergeCell ref="B272:L272"/>
    <mergeCell ref="B273:L273"/>
    <mergeCell ref="B274:L274"/>
    <mergeCell ref="B275:L275"/>
    <mergeCell ref="B276:L276"/>
    <mergeCell ref="B277:L277"/>
    <mergeCell ref="B278:L278"/>
    <mergeCell ref="B279:L279"/>
    <mergeCell ref="B280:L280"/>
    <mergeCell ref="B281:L281"/>
    <mergeCell ref="B287:L287"/>
    <mergeCell ref="B288:C288"/>
    <mergeCell ref="D288:G288"/>
    <mergeCell ref="H288:I288"/>
    <mergeCell ref="J288:L288"/>
    <mergeCell ref="B289:C289"/>
    <mergeCell ref="D289:G289"/>
    <mergeCell ref="H289:I289"/>
    <mergeCell ref="J289:L289"/>
    <mergeCell ref="B290:C290"/>
    <mergeCell ref="D290:G290"/>
    <mergeCell ref="H290:I290"/>
    <mergeCell ref="J290:L290"/>
    <mergeCell ref="B291:C291"/>
    <mergeCell ref="D291:G291"/>
    <mergeCell ref="H291:I291"/>
    <mergeCell ref="J291:L291"/>
    <mergeCell ref="B292:C292"/>
    <mergeCell ref="D292:G292"/>
    <mergeCell ref="H292:I292"/>
    <mergeCell ref="J292:L292"/>
    <mergeCell ref="B293:L293"/>
    <mergeCell ref="B294:D294"/>
    <mergeCell ref="E294:L295"/>
    <mergeCell ref="B295:D295"/>
    <mergeCell ref="B296:D296"/>
    <mergeCell ref="E296:L296"/>
    <mergeCell ref="B297:D299"/>
    <mergeCell ref="E297:L297"/>
    <mergeCell ref="E298:L298"/>
    <mergeCell ref="E299:L299"/>
    <mergeCell ref="B300:D308"/>
    <mergeCell ref="E300:L300"/>
    <mergeCell ref="F301:L301"/>
    <mergeCell ref="F302:L302"/>
    <mergeCell ref="F303:L303"/>
    <mergeCell ref="F304:L304"/>
    <mergeCell ref="F305:L305"/>
    <mergeCell ref="F306:L306"/>
    <mergeCell ref="E307:L307"/>
    <mergeCell ref="F308:L308"/>
    <mergeCell ref="B309:D309"/>
    <mergeCell ref="E309:L309"/>
    <mergeCell ref="B310:D310"/>
    <mergeCell ref="E310:L310"/>
    <mergeCell ref="B311:D311"/>
    <mergeCell ref="E311:L311"/>
    <mergeCell ref="B312:L312"/>
    <mergeCell ref="B313:L313"/>
    <mergeCell ref="B314:D318"/>
    <mergeCell ref="E314:L314"/>
    <mergeCell ref="F315:L315"/>
    <mergeCell ref="F316:L316"/>
    <mergeCell ref="F317:L317"/>
    <mergeCell ref="F318:L318"/>
    <mergeCell ref="B319:D319"/>
    <mergeCell ref="E319:L319"/>
    <mergeCell ref="B320:D320"/>
    <mergeCell ref="E320:L320"/>
    <mergeCell ref="B321:D321"/>
    <mergeCell ref="E321:L321"/>
    <mergeCell ref="B322:L322"/>
    <mergeCell ref="B323:L323"/>
    <mergeCell ref="B324:L324"/>
    <mergeCell ref="B325:D325"/>
    <mergeCell ref="E325:L325"/>
    <mergeCell ref="B326:D326"/>
    <mergeCell ref="E326:J326"/>
    <mergeCell ref="B327:L327"/>
    <mergeCell ref="D328:L328"/>
    <mergeCell ref="D329:L329"/>
    <mergeCell ref="D330:L330"/>
    <mergeCell ref="D331:L331"/>
    <mergeCell ref="D332:L332"/>
    <mergeCell ref="D333:L333"/>
    <mergeCell ref="D334:L334"/>
    <mergeCell ref="D335:L335"/>
    <mergeCell ref="D336:L336"/>
    <mergeCell ref="D337:L337"/>
    <mergeCell ref="B338:L338"/>
    <mergeCell ref="B339:L339"/>
    <mergeCell ref="B340:D340"/>
    <mergeCell ref="E340:J340"/>
    <mergeCell ref="B341:L341"/>
    <mergeCell ref="C342:L342"/>
    <mergeCell ref="D343:L343"/>
    <mergeCell ref="E344:L344"/>
    <mergeCell ref="E345:L345"/>
    <mergeCell ref="E346:L346"/>
    <mergeCell ref="D347:L347"/>
    <mergeCell ref="D348:L348"/>
    <mergeCell ref="E349:L349"/>
    <mergeCell ref="E350:L350"/>
    <mergeCell ref="E351:L351"/>
    <mergeCell ref="E352:L352"/>
    <mergeCell ref="D353:L353"/>
    <mergeCell ref="E354:L354"/>
    <mergeCell ref="B355:L355"/>
    <mergeCell ref="C356:L356"/>
    <mergeCell ref="D357:L357"/>
    <mergeCell ref="D358:L358"/>
    <mergeCell ref="D359:L359"/>
    <mergeCell ref="D360:L360"/>
    <mergeCell ref="C361:L361"/>
    <mergeCell ref="C362:L362"/>
    <mergeCell ref="D363:L363"/>
    <mergeCell ref="D364:L364"/>
    <mergeCell ref="D365:L365"/>
    <mergeCell ref="D366:L366"/>
    <mergeCell ref="C368:L368"/>
    <mergeCell ref="D369:L369"/>
    <mergeCell ref="D370:L370"/>
    <mergeCell ref="D371:L371"/>
    <mergeCell ref="C373:L373"/>
    <mergeCell ref="D374:L374"/>
    <mergeCell ref="D375:L375"/>
    <mergeCell ref="D376:L376"/>
    <mergeCell ref="D377:L377"/>
    <mergeCell ref="D378:L378"/>
    <mergeCell ref="C380:L380"/>
    <mergeCell ref="D381:L381"/>
    <mergeCell ref="D382:L382"/>
    <mergeCell ref="E383:L383"/>
    <mergeCell ref="D384:L384"/>
    <mergeCell ref="B386:D386"/>
    <mergeCell ref="E386:J386"/>
    <mergeCell ref="D387:L387"/>
    <mergeCell ref="D388:L388"/>
    <mergeCell ref="D389:L389"/>
    <mergeCell ref="D390:L390"/>
    <mergeCell ref="D391:L391"/>
    <mergeCell ref="D392:L392"/>
    <mergeCell ref="D393:L393"/>
    <mergeCell ref="D394:L394"/>
    <mergeCell ref="B395:L395"/>
    <mergeCell ref="B396:L396"/>
    <mergeCell ref="C397:D397"/>
    <mergeCell ref="E397:F397"/>
    <mergeCell ref="G397:H397"/>
    <mergeCell ref="I397:L397"/>
    <mergeCell ref="C398:D398"/>
    <mergeCell ref="E398:F398"/>
    <mergeCell ref="G398:H398"/>
    <mergeCell ref="I398:L398"/>
    <mergeCell ref="C399:D399"/>
    <mergeCell ref="E399:F399"/>
    <mergeCell ref="G399:H399"/>
    <mergeCell ref="I399:L399"/>
    <mergeCell ref="C400:D400"/>
    <mergeCell ref="E400:F400"/>
    <mergeCell ref="G400:H400"/>
    <mergeCell ref="I400:L400"/>
    <mergeCell ref="B401:L401"/>
    <mergeCell ref="B402:D402"/>
    <mergeCell ref="E402:L402"/>
    <mergeCell ref="B403:D403"/>
    <mergeCell ref="E403:L403"/>
    <mergeCell ref="B404:L404"/>
    <mergeCell ref="C405:E405"/>
    <mergeCell ref="F405:L405"/>
    <mergeCell ref="C406:E406"/>
    <mergeCell ref="F406:L406"/>
    <mergeCell ref="C407:E407"/>
    <mergeCell ref="F407:L407"/>
    <mergeCell ref="C408:E408"/>
    <mergeCell ref="F408:L408"/>
    <mergeCell ref="B409:L409"/>
    <mergeCell ref="B410:L410"/>
    <mergeCell ref="B411:L411"/>
    <mergeCell ref="B412:L412"/>
    <mergeCell ref="B413:L413"/>
    <mergeCell ref="B414:L414"/>
    <mergeCell ref="B415:L415"/>
    <mergeCell ref="B416:L416"/>
    <mergeCell ref="B417:L417"/>
    <mergeCell ref="B418:L418"/>
    <mergeCell ref="B419:L419"/>
    <mergeCell ref="B420:L420"/>
    <mergeCell ref="B421:L421"/>
    <mergeCell ref="B427:L427"/>
    <mergeCell ref="B428:C428"/>
    <mergeCell ref="D428:G428"/>
    <mergeCell ref="H428:I428"/>
    <mergeCell ref="J428:L428"/>
    <mergeCell ref="B429:C429"/>
    <mergeCell ref="D429:G429"/>
    <mergeCell ref="H429:I429"/>
    <mergeCell ref="J429:L429"/>
    <mergeCell ref="B430:C430"/>
    <mergeCell ref="D430:G430"/>
    <mergeCell ref="H430:I430"/>
    <mergeCell ref="J430:L430"/>
    <mergeCell ref="B431:C431"/>
    <mergeCell ref="D431:G431"/>
    <mergeCell ref="H431:I431"/>
    <mergeCell ref="J431:L431"/>
    <mergeCell ref="B432:C432"/>
    <mergeCell ref="D432:G432"/>
    <mergeCell ref="H432:I432"/>
    <mergeCell ref="J432:L432"/>
    <mergeCell ref="B433:L433"/>
    <mergeCell ref="B434:D434"/>
    <mergeCell ref="E434:L435"/>
    <mergeCell ref="B435:D435"/>
    <mergeCell ref="B436:D436"/>
    <mergeCell ref="E436:L436"/>
    <mergeCell ref="B437:D440"/>
    <mergeCell ref="E437:L437"/>
    <mergeCell ref="E438:L438"/>
    <mergeCell ref="E439:L439"/>
    <mergeCell ref="E440:L440"/>
    <mergeCell ref="B441:D449"/>
    <mergeCell ref="E441:L441"/>
    <mergeCell ref="F442:L442"/>
    <mergeCell ref="F443:L443"/>
    <mergeCell ref="F444:L444"/>
    <mergeCell ref="F445:L445"/>
    <mergeCell ref="F446:L446"/>
    <mergeCell ref="F447:L447"/>
    <mergeCell ref="E448:L448"/>
    <mergeCell ref="F449:L449"/>
    <mergeCell ref="B450:D450"/>
    <mergeCell ref="E450:L450"/>
    <mergeCell ref="B451:D451"/>
    <mergeCell ref="E451:L451"/>
    <mergeCell ref="B452:D452"/>
    <mergeCell ref="E452:L452"/>
    <mergeCell ref="B453:L453"/>
    <mergeCell ref="B454:L454"/>
    <mergeCell ref="B455:D459"/>
    <mergeCell ref="E455:L455"/>
    <mergeCell ref="F456:L456"/>
    <mergeCell ref="F457:L457"/>
    <mergeCell ref="F458:L458"/>
    <mergeCell ref="F459:L459"/>
    <mergeCell ref="B460:D460"/>
    <mergeCell ref="E460:L460"/>
    <mergeCell ref="B461:D461"/>
    <mergeCell ref="E461:L461"/>
    <mergeCell ref="B462:D462"/>
    <mergeCell ref="E462:L462"/>
    <mergeCell ref="B463:L463"/>
    <mergeCell ref="B464:L464"/>
    <mergeCell ref="B465:L465"/>
    <mergeCell ref="B466:D466"/>
    <mergeCell ref="E466:L466"/>
    <mergeCell ref="B467:D467"/>
    <mergeCell ref="E467:J467"/>
    <mergeCell ref="B468:L468"/>
    <mergeCell ref="D469:L469"/>
    <mergeCell ref="D470:L470"/>
    <mergeCell ref="D471:L471"/>
    <mergeCell ref="D472:L472"/>
    <mergeCell ref="D473:L473"/>
    <mergeCell ref="D474:L474"/>
    <mergeCell ref="D475:L475"/>
    <mergeCell ref="D476:L476"/>
    <mergeCell ref="D477:L477"/>
    <mergeCell ref="D478:L478"/>
    <mergeCell ref="B479:L479"/>
    <mergeCell ref="B480:L480"/>
    <mergeCell ref="B481:D481"/>
    <mergeCell ref="E481:J481"/>
    <mergeCell ref="B482:L482"/>
    <mergeCell ref="C483:L483"/>
    <mergeCell ref="D484:L484"/>
    <mergeCell ref="E485:L485"/>
    <mergeCell ref="E486:L486"/>
    <mergeCell ref="E487:L487"/>
    <mergeCell ref="D488:L488"/>
    <mergeCell ref="D489:L489"/>
    <mergeCell ref="E490:L490"/>
    <mergeCell ref="E491:L491"/>
    <mergeCell ref="E492:L492"/>
    <mergeCell ref="E493:L493"/>
    <mergeCell ref="D494:L494"/>
    <mergeCell ref="E495:L495"/>
    <mergeCell ref="B496:L496"/>
    <mergeCell ref="C497:L497"/>
    <mergeCell ref="D498:L498"/>
    <mergeCell ref="D499:L499"/>
    <mergeCell ref="D500:L500"/>
    <mergeCell ref="D501:L501"/>
    <mergeCell ref="C502:L502"/>
    <mergeCell ref="C503:L503"/>
    <mergeCell ref="D504:L504"/>
    <mergeCell ref="D505:L505"/>
    <mergeCell ref="D506:L506"/>
    <mergeCell ref="D507:L507"/>
    <mergeCell ref="C509:L509"/>
    <mergeCell ref="D510:L510"/>
    <mergeCell ref="D511:L511"/>
    <mergeCell ref="D512:L512"/>
    <mergeCell ref="C514:L514"/>
    <mergeCell ref="D515:L515"/>
    <mergeCell ref="D516:L516"/>
    <mergeCell ref="D517:L517"/>
    <mergeCell ref="D518:L518"/>
    <mergeCell ref="D519:L519"/>
    <mergeCell ref="C521:L521"/>
    <mergeCell ref="D522:L522"/>
    <mergeCell ref="D523:L523"/>
    <mergeCell ref="E524:L524"/>
    <mergeCell ref="D525:L525"/>
    <mergeCell ref="B527:D527"/>
    <mergeCell ref="E527:J527"/>
    <mergeCell ref="D528:L528"/>
    <mergeCell ref="D529:L529"/>
    <mergeCell ref="D530:L530"/>
    <mergeCell ref="D531:L531"/>
    <mergeCell ref="D532:L532"/>
    <mergeCell ref="D533:L533"/>
    <mergeCell ref="D534:L534"/>
    <mergeCell ref="D535:L535"/>
    <mergeCell ref="B536:L536"/>
    <mergeCell ref="B537:L537"/>
    <mergeCell ref="C538:D538"/>
    <mergeCell ref="E538:F538"/>
    <mergeCell ref="G538:H538"/>
    <mergeCell ref="I538:L538"/>
    <mergeCell ref="C539:D539"/>
    <mergeCell ref="E539:F539"/>
    <mergeCell ref="G539:H539"/>
    <mergeCell ref="I539:L539"/>
    <mergeCell ref="C540:D540"/>
    <mergeCell ref="E540:F540"/>
    <mergeCell ref="G540:H540"/>
    <mergeCell ref="I540:L540"/>
    <mergeCell ref="C541:D541"/>
    <mergeCell ref="E541:F541"/>
    <mergeCell ref="G541:H541"/>
    <mergeCell ref="I541:L541"/>
    <mergeCell ref="B542:L542"/>
    <mergeCell ref="B543:D543"/>
    <mergeCell ref="E543:L543"/>
    <mergeCell ref="B544:D544"/>
    <mergeCell ref="E544:L544"/>
    <mergeCell ref="B545:L545"/>
    <mergeCell ref="C546:E546"/>
    <mergeCell ref="F546:L546"/>
    <mergeCell ref="C547:E547"/>
    <mergeCell ref="F547:L547"/>
    <mergeCell ref="C548:E548"/>
    <mergeCell ref="F548:L548"/>
    <mergeCell ref="C549:E549"/>
    <mergeCell ref="F549:L549"/>
    <mergeCell ref="B550:L550"/>
    <mergeCell ref="B551:L551"/>
    <mergeCell ref="B552:L552"/>
    <mergeCell ref="B553:L553"/>
    <mergeCell ref="B554:L554"/>
    <mergeCell ref="B555:L555"/>
    <mergeCell ref="B556:L556"/>
    <mergeCell ref="B557:L557"/>
    <mergeCell ref="B558:L558"/>
    <mergeCell ref="B559:L559"/>
    <mergeCell ref="B560:L560"/>
    <mergeCell ref="B561:L561"/>
    <mergeCell ref="B562:L562"/>
    <mergeCell ref="B6:L6"/>
    <mergeCell ref="B7:C7"/>
    <mergeCell ref="D7:G7"/>
    <mergeCell ref="H7:I7"/>
    <mergeCell ref="J7:L7"/>
    <mergeCell ref="B8:C8"/>
    <mergeCell ref="D8:G8"/>
    <mergeCell ref="H8:I8"/>
    <mergeCell ref="J8:L8"/>
    <mergeCell ref="B9:C9"/>
    <mergeCell ref="D9:G9"/>
    <mergeCell ref="H9:I9"/>
    <mergeCell ref="J9:L9"/>
    <mergeCell ref="B10:C10"/>
    <mergeCell ref="D10:G10"/>
    <mergeCell ref="H10:I10"/>
    <mergeCell ref="J10:L10"/>
    <mergeCell ref="B11:C11"/>
    <mergeCell ref="D11:G11"/>
    <mergeCell ref="H11:I11"/>
    <mergeCell ref="J11:L11"/>
    <mergeCell ref="B12:L12"/>
    <mergeCell ref="B13:D13"/>
    <mergeCell ref="E13:L14"/>
    <mergeCell ref="B14:D14"/>
    <mergeCell ref="B15:D15"/>
    <mergeCell ref="E15:L15"/>
    <mergeCell ref="B16:D18"/>
    <mergeCell ref="E16:L16"/>
    <mergeCell ref="E17:L17"/>
    <mergeCell ref="E18:L18"/>
    <mergeCell ref="B19:D27"/>
    <mergeCell ref="E19:L19"/>
    <mergeCell ref="F20:L20"/>
    <mergeCell ref="F21:L21"/>
    <mergeCell ref="F22:L22"/>
    <mergeCell ref="F23:L23"/>
    <mergeCell ref="F24:L24"/>
    <mergeCell ref="F25:L25"/>
    <mergeCell ref="E26:L26"/>
    <mergeCell ref="F27:L27"/>
    <mergeCell ref="B28:D28"/>
    <mergeCell ref="E28:L28"/>
    <mergeCell ref="B29:D29"/>
    <mergeCell ref="E29:L29"/>
    <mergeCell ref="B30:D30"/>
    <mergeCell ref="E30:L30"/>
    <mergeCell ref="B31:L31"/>
    <mergeCell ref="B32:L32"/>
    <mergeCell ref="B33:D37"/>
    <mergeCell ref="E33:L33"/>
    <mergeCell ref="F34:L34"/>
    <mergeCell ref="F35:L35"/>
    <mergeCell ref="F36:L36"/>
    <mergeCell ref="F37:L37"/>
    <mergeCell ref="B38:D38"/>
    <mergeCell ref="E38:L38"/>
    <mergeCell ref="B39:D39"/>
    <mergeCell ref="E39:L39"/>
    <mergeCell ref="B40:D40"/>
    <mergeCell ref="E40:L40"/>
    <mergeCell ref="B41:L41"/>
    <mergeCell ref="B42:L42"/>
    <mergeCell ref="B43:L43"/>
    <mergeCell ref="B44:D44"/>
    <mergeCell ref="E44:L44"/>
    <mergeCell ref="B45:D45"/>
    <mergeCell ref="E45:J45"/>
    <mergeCell ref="B46:L46"/>
    <mergeCell ref="D47:L47"/>
    <mergeCell ref="D48:L48"/>
    <mergeCell ref="D49:L49"/>
    <mergeCell ref="D50:L50"/>
    <mergeCell ref="D51:L51"/>
    <mergeCell ref="D52:L52"/>
    <mergeCell ref="D53:L53"/>
    <mergeCell ref="D54:L54"/>
    <mergeCell ref="D55:L55"/>
    <mergeCell ref="D56:L56"/>
    <mergeCell ref="B57:L57"/>
    <mergeCell ref="B58:L58"/>
    <mergeCell ref="B59:D59"/>
    <mergeCell ref="E59:J59"/>
    <mergeCell ref="B60:L60"/>
    <mergeCell ref="C61:L61"/>
    <mergeCell ref="D62:L62"/>
    <mergeCell ref="E63:L63"/>
    <mergeCell ref="E64:L64"/>
    <mergeCell ref="E65:L65"/>
    <mergeCell ref="D66:L66"/>
    <mergeCell ref="D67:L67"/>
    <mergeCell ref="E68:L68"/>
    <mergeCell ref="E69:L69"/>
    <mergeCell ref="E70:L70"/>
    <mergeCell ref="E71:L71"/>
    <mergeCell ref="D72:L72"/>
    <mergeCell ref="E73:L73"/>
    <mergeCell ref="B74:L74"/>
    <mergeCell ref="C75:L75"/>
    <mergeCell ref="D76:L76"/>
    <mergeCell ref="D77:L77"/>
    <mergeCell ref="D78:L78"/>
    <mergeCell ref="D79:L79"/>
    <mergeCell ref="C80:L80"/>
    <mergeCell ref="C81:L81"/>
    <mergeCell ref="D82:L82"/>
    <mergeCell ref="D83:L83"/>
    <mergeCell ref="D84:L84"/>
    <mergeCell ref="D85:L85"/>
    <mergeCell ref="C87:L87"/>
    <mergeCell ref="D88:L88"/>
    <mergeCell ref="D89:L89"/>
    <mergeCell ref="D90:L90"/>
    <mergeCell ref="C92:L92"/>
    <mergeCell ref="D93:L93"/>
    <mergeCell ref="D94:L94"/>
    <mergeCell ref="D95:L95"/>
    <mergeCell ref="D96:L96"/>
    <mergeCell ref="C98:L98"/>
    <mergeCell ref="D99:L99"/>
    <mergeCell ref="D100:L100"/>
    <mergeCell ref="E101:L101"/>
    <mergeCell ref="D102:L102"/>
    <mergeCell ref="B104:D104"/>
    <mergeCell ref="E104:J104"/>
    <mergeCell ref="D105:L105"/>
    <mergeCell ref="D106:L106"/>
    <mergeCell ref="D107:L107"/>
    <mergeCell ref="D108:L108"/>
    <mergeCell ref="D109:L109"/>
    <mergeCell ref="D110:L110"/>
    <mergeCell ref="D111:L111"/>
    <mergeCell ref="D112:L112"/>
    <mergeCell ref="B113:L113"/>
    <mergeCell ref="B114:L114"/>
    <mergeCell ref="C115:D115"/>
    <mergeCell ref="E115:F115"/>
    <mergeCell ref="G115:H115"/>
    <mergeCell ref="I115:L115"/>
    <mergeCell ref="C116:D116"/>
    <mergeCell ref="E116:F116"/>
    <mergeCell ref="G116:H116"/>
    <mergeCell ref="I116:L116"/>
    <mergeCell ref="C117:D117"/>
    <mergeCell ref="E117:F117"/>
    <mergeCell ref="G117:H117"/>
    <mergeCell ref="I117:L117"/>
    <mergeCell ref="C118:D118"/>
    <mergeCell ref="E118:F118"/>
    <mergeCell ref="G118:H118"/>
    <mergeCell ref="I118:L118"/>
    <mergeCell ref="B119:L119"/>
    <mergeCell ref="B120:D120"/>
    <mergeCell ref="E120:L120"/>
    <mergeCell ref="B121:D121"/>
    <mergeCell ref="E121:L121"/>
    <mergeCell ref="B122:L122"/>
    <mergeCell ref="C123:E123"/>
    <mergeCell ref="F123:L123"/>
    <mergeCell ref="C124:E124"/>
    <mergeCell ref="F124:L124"/>
    <mergeCell ref="B132:L132"/>
    <mergeCell ref="B133:L133"/>
    <mergeCell ref="B134:L134"/>
    <mergeCell ref="B135:L135"/>
    <mergeCell ref="B136:L136"/>
    <mergeCell ref="B137:L137"/>
    <mergeCell ref="B138:L138"/>
    <mergeCell ref="B139:L139"/>
    <mergeCell ref="C125:E125"/>
    <mergeCell ref="F125:L125"/>
    <mergeCell ref="C126:E126"/>
    <mergeCell ref="F126:L126"/>
    <mergeCell ref="B127:L127"/>
    <mergeCell ref="B128:L128"/>
    <mergeCell ref="B129:L129"/>
    <mergeCell ref="B130:L130"/>
    <mergeCell ref="B131:L131"/>
  </mergeCells>
  <pageMargins left="0.70866141732283472" right="0.70866141732283472" top="0.74803149606299213" bottom="0.74803149606299213" header="0.31496062992125984" footer="0.31496062992125984"/>
  <pageSetup paperSize="9" scale="81" fitToHeight="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BAFA3-9BA9-452D-A5BB-8E72AE43A298}">
  <sheetPr>
    <tabColor theme="0"/>
    <pageSetUpPr fitToPage="1"/>
  </sheetPr>
  <dimension ref="A1:K140"/>
  <sheetViews>
    <sheetView topLeftCell="A115" workbookViewId="0">
      <selection activeCell="B130" sqref="B130:B131"/>
    </sheetView>
  </sheetViews>
  <sheetFormatPr defaultRowHeight="15" x14ac:dyDescent="0.25"/>
  <cols>
    <col min="1" max="1" width="13.42578125" customWidth="1"/>
    <col min="2" max="2" width="4.140625" customWidth="1"/>
    <col min="3" max="3" width="7" customWidth="1"/>
    <col min="4" max="4" width="4.7109375" customWidth="1"/>
    <col min="9" max="9" width="6.85546875" customWidth="1"/>
    <col min="11" max="11" width="20.85546875" customWidth="1"/>
  </cols>
  <sheetData>
    <row r="1" spans="1:11" ht="15.75" thickBot="1" x14ac:dyDescent="0.3">
      <c r="A1" s="1032" t="s">
        <v>977</v>
      </c>
      <c r="B1" s="1033"/>
      <c r="C1" s="1033"/>
      <c r="D1" s="1033"/>
      <c r="E1" s="1033"/>
      <c r="F1" s="1033"/>
      <c r="G1" s="1033"/>
      <c r="H1" s="1033"/>
      <c r="I1" s="1033"/>
      <c r="J1" s="1033"/>
      <c r="K1" s="1034"/>
    </row>
    <row r="2" spans="1:11" ht="15.75" thickBot="1" x14ac:dyDescent="0.3">
      <c r="A2" s="1035" t="s">
        <v>313</v>
      </c>
      <c r="B2" s="1037"/>
      <c r="C2" s="1020" t="s">
        <v>871</v>
      </c>
      <c r="D2" s="1021"/>
      <c r="E2" s="1021"/>
      <c r="F2" s="1022"/>
      <c r="G2" s="1035" t="s">
        <v>978</v>
      </c>
      <c r="H2" s="1037"/>
      <c r="I2" s="1020" t="s">
        <v>979</v>
      </c>
      <c r="J2" s="1021"/>
      <c r="K2" s="1022"/>
    </row>
    <row r="3" spans="1:11" ht="15.75" thickBot="1" x14ac:dyDescent="0.3">
      <c r="A3" s="1035" t="s">
        <v>980</v>
      </c>
      <c r="B3" s="1037"/>
      <c r="C3" s="1020" t="s">
        <v>981</v>
      </c>
      <c r="D3" s="1021"/>
      <c r="E3" s="1021"/>
      <c r="F3" s="1022"/>
      <c r="G3" s="1035" t="s">
        <v>982</v>
      </c>
      <c r="H3" s="1037"/>
      <c r="I3" s="1020" t="s">
        <v>983</v>
      </c>
      <c r="J3" s="1021"/>
      <c r="K3" s="1022"/>
    </row>
    <row r="4" spans="1:11" ht="15.75" thickBot="1" x14ac:dyDescent="0.3">
      <c r="A4" s="1035" t="s">
        <v>984</v>
      </c>
      <c r="B4" s="1037"/>
      <c r="C4" s="1107" t="s">
        <v>1408</v>
      </c>
      <c r="D4" s="1108"/>
      <c r="E4" s="1108"/>
      <c r="F4" s="1109"/>
      <c r="G4" s="1035" t="s">
        <v>38</v>
      </c>
      <c r="H4" s="1037"/>
      <c r="I4" s="1020" t="s">
        <v>753</v>
      </c>
      <c r="J4" s="1021"/>
      <c r="K4" s="1022"/>
    </row>
    <row r="5" spans="1:11" ht="15.75" thickBot="1" x14ac:dyDescent="0.3">
      <c r="A5" s="1035" t="s">
        <v>315</v>
      </c>
      <c r="B5" s="1037"/>
      <c r="C5" s="1020" t="s">
        <v>1038</v>
      </c>
      <c r="D5" s="1021"/>
      <c r="E5" s="1021"/>
      <c r="F5" s="1022"/>
      <c r="G5" s="1035" t="s">
        <v>985</v>
      </c>
      <c r="H5" s="1037"/>
      <c r="I5" s="1020" t="s">
        <v>1154</v>
      </c>
      <c r="J5" s="1021"/>
      <c r="K5" s="1022"/>
    </row>
    <row r="6" spans="1:11" ht="15.75" thickBot="1" x14ac:dyDescent="0.3">
      <c r="A6" s="1035" t="s">
        <v>986</v>
      </c>
      <c r="B6" s="1037"/>
      <c r="C6" s="1020" t="s">
        <v>987</v>
      </c>
      <c r="D6" s="1021"/>
      <c r="E6" s="1021"/>
      <c r="F6" s="1022"/>
      <c r="G6" s="1035" t="s">
        <v>988</v>
      </c>
      <c r="H6" s="1037"/>
      <c r="I6" s="1020" t="s">
        <v>1154</v>
      </c>
      <c r="J6" s="1021"/>
      <c r="K6" s="1022"/>
    </row>
    <row r="7" spans="1:11" ht="15.75" thickBot="1" x14ac:dyDescent="0.3">
      <c r="A7" s="1020"/>
      <c r="B7" s="1021"/>
      <c r="C7" s="1021"/>
      <c r="D7" s="1021"/>
      <c r="E7" s="1021"/>
      <c r="F7" s="1021"/>
      <c r="G7" s="1021"/>
      <c r="H7" s="1021"/>
      <c r="I7" s="1021"/>
      <c r="J7" s="1021"/>
      <c r="K7" s="1022"/>
    </row>
    <row r="8" spans="1:11" x14ac:dyDescent="0.25">
      <c r="A8" s="1100" t="s">
        <v>989</v>
      </c>
      <c r="B8" s="1101"/>
      <c r="C8" s="1102"/>
      <c r="D8" s="1094" t="s">
        <v>1413</v>
      </c>
      <c r="E8" s="1057"/>
      <c r="F8" s="1057"/>
      <c r="G8" s="1057"/>
      <c r="H8" s="1057"/>
      <c r="I8" s="1057"/>
      <c r="J8" s="1057"/>
      <c r="K8" s="1058"/>
    </row>
    <row r="9" spans="1:11" ht="15.75" thickBot="1" x14ac:dyDescent="0.3">
      <c r="A9" s="1104" t="s">
        <v>990</v>
      </c>
      <c r="B9" s="1105"/>
      <c r="C9" s="1106"/>
      <c r="D9" s="1103"/>
      <c r="E9" s="1098"/>
      <c r="F9" s="1098"/>
      <c r="G9" s="1098"/>
      <c r="H9" s="1098"/>
      <c r="I9" s="1098"/>
      <c r="J9" s="1098"/>
      <c r="K9" s="1099"/>
    </row>
    <row r="10" spans="1:11" ht="30.75" customHeight="1" thickBot="1" x14ac:dyDescent="0.3">
      <c r="A10" s="1035" t="s">
        <v>991</v>
      </c>
      <c r="B10" s="1036"/>
      <c r="C10" s="1037"/>
      <c r="D10" s="1076" t="s">
        <v>1409</v>
      </c>
      <c r="E10" s="1077"/>
      <c r="F10" s="1077"/>
      <c r="G10" s="1077"/>
      <c r="H10" s="1077"/>
      <c r="I10" s="1077"/>
      <c r="J10" s="1077"/>
      <c r="K10" s="1078"/>
    </row>
    <row r="11" spans="1:11" x14ac:dyDescent="0.25">
      <c r="A11" s="1085" t="s">
        <v>992</v>
      </c>
      <c r="B11" s="1086"/>
      <c r="C11" s="1087"/>
      <c r="D11" s="1094" t="s">
        <v>993</v>
      </c>
      <c r="E11" s="1057"/>
      <c r="F11" s="1057"/>
      <c r="G11" s="1057"/>
      <c r="H11" s="1057"/>
      <c r="I11" s="1057"/>
      <c r="J11" s="1057"/>
      <c r="K11" s="1058"/>
    </row>
    <row r="12" spans="1:11" x14ac:dyDescent="0.25">
      <c r="A12" s="1088"/>
      <c r="B12" s="1089"/>
      <c r="C12" s="1090"/>
      <c r="D12" s="1097" t="s">
        <v>994</v>
      </c>
      <c r="E12" s="1044"/>
      <c r="F12" s="1044"/>
      <c r="G12" s="1044"/>
      <c r="H12" s="1044"/>
      <c r="I12" s="1044"/>
      <c r="J12" s="1044"/>
      <c r="K12" s="1045"/>
    </row>
    <row r="13" spans="1:11" ht="15.75" thickBot="1" x14ac:dyDescent="0.3">
      <c r="A13" s="1091"/>
      <c r="B13" s="1092"/>
      <c r="C13" s="1093"/>
      <c r="D13" s="1097" t="s">
        <v>995</v>
      </c>
      <c r="E13" s="1044"/>
      <c r="F13" s="1044"/>
      <c r="G13" s="1044"/>
      <c r="H13" s="1044"/>
      <c r="I13" s="1044"/>
      <c r="J13" s="1044"/>
      <c r="K13" s="1045"/>
    </row>
    <row r="14" spans="1:11" x14ac:dyDescent="0.25">
      <c r="A14" s="1085" t="s">
        <v>996</v>
      </c>
      <c r="B14" s="1086"/>
      <c r="C14" s="1087"/>
      <c r="D14" s="1094" t="s">
        <v>997</v>
      </c>
      <c r="E14" s="1057"/>
      <c r="F14" s="1057"/>
      <c r="G14" s="1057"/>
      <c r="H14" s="1057"/>
      <c r="I14" s="1057"/>
      <c r="J14" s="1057"/>
      <c r="K14" s="1058"/>
    </row>
    <row r="15" spans="1:11" x14ac:dyDescent="0.25">
      <c r="A15" s="1088"/>
      <c r="B15" s="1089"/>
      <c r="C15" s="1090"/>
      <c r="D15" s="621">
        <v>1</v>
      </c>
      <c r="E15" s="1044" t="s">
        <v>1457</v>
      </c>
      <c r="F15" s="1044"/>
      <c r="G15" s="1044"/>
      <c r="H15" s="1044"/>
      <c r="I15" s="1044"/>
      <c r="J15" s="1044"/>
      <c r="K15" s="1045"/>
    </row>
    <row r="16" spans="1:11" x14ac:dyDescent="0.25">
      <c r="A16" s="1088"/>
      <c r="B16" s="1089"/>
      <c r="C16" s="1090"/>
      <c r="D16" s="621">
        <v>2</v>
      </c>
      <c r="E16" s="1044" t="s">
        <v>1458</v>
      </c>
      <c r="F16" s="1044"/>
      <c r="G16" s="1044"/>
      <c r="H16" s="1044"/>
      <c r="I16" s="1044"/>
      <c r="J16" s="1044"/>
      <c r="K16" s="1045"/>
    </row>
    <row r="17" spans="1:11" x14ac:dyDescent="0.25">
      <c r="A17" s="1088"/>
      <c r="B17" s="1089"/>
      <c r="C17" s="1090"/>
      <c r="D17" s="621">
        <v>3</v>
      </c>
      <c r="E17" s="1044" t="s">
        <v>1459</v>
      </c>
      <c r="F17" s="1044"/>
      <c r="G17" s="1044"/>
      <c r="H17" s="1044"/>
      <c r="I17" s="1044"/>
      <c r="J17" s="1044"/>
      <c r="K17" s="1045"/>
    </row>
    <row r="18" spans="1:11" x14ac:dyDescent="0.25">
      <c r="A18" s="1088"/>
      <c r="B18" s="1089"/>
      <c r="C18" s="1090"/>
      <c r="D18" s="621">
        <v>4</v>
      </c>
      <c r="E18" s="1044" t="s">
        <v>1039</v>
      </c>
      <c r="F18" s="1044"/>
      <c r="G18" s="1044"/>
      <c r="H18" s="1044"/>
      <c r="I18" s="1044"/>
      <c r="J18" s="1044"/>
      <c r="K18" s="1045"/>
    </row>
    <row r="19" spans="1:11" x14ac:dyDescent="0.25">
      <c r="A19" s="1088"/>
      <c r="B19" s="1089"/>
      <c r="C19" s="1090"/>
      <c r="D19" s="621">
        <v>5</v>
      </c>
      <c r="E19" s="1044" t="s">
        <v>1460</v>
      </c>
      <c r="F19" s="1044"/>
      <c r="G19" s="1044"/>
      <c r="H19" s="1044"/>
      <c r="I19" s="1044"/>
      <c r="J19" s="1044"/>
      <c r="K19" s="1045"/>
    </row>
    <row r="20" spans="1:11" x14ac:dyDescent="0.25">
      <c r="A20" s="1088"/>
      <c r="B20" s="1089"/>
      <c r="C20" s="1090"/>
      <c r="D20" s="621">
        <v>6</v>
      </c>
      <c r="E20" s="1044" t="s">
        <v>1461</v>
      </c>
      <c r="F20" s="1044"/>
      <c r="G20" s="1044"/>
      <c r="H20" s="1044"/>
      <c r="I20" s="1044"/>
      <c r="J20" s="1044"/>
      <c r="K20" s="1045"/>
    </row>
    <row r="21" spans="1:11" x14ac:dyDescent="0.25">
      <c r="A21" s="1088"/>
      <c r="B21" s="1089"/>
      <c r="C21" s="1090"/>
      <c r="D21" s="1097" t="s">
        <v>998</v>
      </c>
      <c r="E21" s="1044"/>
      <c r="F21" s="1044"/>
      <c r="G21" s="1044"/>
      <c r="H21" s="1044"/>
      <c r="I21" s="1044"/>
      <c r="J21" s="1044"/>
      <c r="K21" s="1045"/>
    </row>
    <row r="22" spans="1:11" ht="15.75" thickBot="1" x14ac:dyDescent="0.3">
      <c r="A22" s="1091"/>
      <c r="B22" s="1092"/>
      <c r="C22" s="1093"/>
      <c r="D22" s="626">
        <v>1</v>
      </c>
      <c r="E22" s="1098" t="s">
        <v>1462</v>
      </c>
      <c r="F22" s="1098"/>
      <c r="G22" s="1098"/>
      <c r="H22" s="1098"/>
      <c r="I22" s="1098"/>
      <c r="J22" s="1098"/>
      <c r="K22" s="1099"/>
    </row>
    <row r="23" spans="1:11" ht="34.5" customHeight="1" thickBot="1" x14ac:dyDescent="0.3">
      <c r="A23" s="1035" t="s">
        <v>999</v>
      </c>
      <c r="B23" s="1036"/>
      <c r="C23" s="1037"/>
      <c r="D23" s="1076" t="s">
        <v>1410</v>
      </c>
      <c r="E23" s="1077"/>
      <c r="F23" s="1077"/>
      <c r="G23" s="1077"/>
      <c r="H23" s="1077"/>
      <c r="I23" s="1077"/>
      <c r="J23" s="1077"/>
      <c r="K23" s="1078"/>
    </row>
    <row r="24" spans="1:11" ht="15.75" thickBot="1" x14ac:dyDescent="0.3">
      <c r="A24" s="1035" t="s">
        <v>629</v>
      </c>
      <c r="B24" s="1036"/>
      <c r="C24" s="1037"/>
      <c r="D24" s="1082" t="s">
        <v>1421</v>
      </c>
      <c r="E24" s="1083"/>
      <c r="F24" s="1083"/>
      <c r="G24" s="1083"/>
      <c r="H24" s="1083"/>
      <c r="I24" s="1083"/>
      <c r="J24" s="1083"/>
      <c r="K24" s="1084"/>
    </row>
    <row r="25" spans="1:11" ht="15.75" thickBot="1" x14ac:dyDescent="0.3">
      <c r="A25" s="1035" t="s">
        <v>1000</v>
      </c>
      <c r="B25" s="1036"/>
      <c r="C25" s="1037"/>
      <c r="D25" s="1076" t="s">
        <v>1420</v>
      </c>
      <c r="E25" s="1077"/>
      <c r="F25" s="1077"/>
      <c r="G25" s="1077"/>
      <c r="H25" s="1077"/>
      <c r="I25" s="1077"/>
      <c r="J25" s="1077"/>
      <c r="K25" s="1078"/>
    </row>
    <row r="26" spans="1:11" ht="15.75" thickBot="1" x14ac:dyDescent="0.3">
      <c r="A26" s="1020"/>
      <c r="B26" s="1021"/>
      <c r="C26" s="1021"/>
      <c r="D26" s="1021"/>
      <c r="E26" s="1021"/>
      <c r="F26" s="1021"/>
      <c r="G26" s="1021"/>
      <c r="H26" s="1021"/>
      <c r="I26" s="1021"/>
      <c r="J26" s="1021"/>
      <c r="K26" s="1022"/>
    </row>
    <row r="27" spans="1:11" ht="15.75" thickBot="1" x14ac:dyDescent="0.3">
      <c r="A27" s="1032" t="s">
        <v>1001</v>
      </c>
      <c r="B27" s="1033"/>
      <c r="C27" s="1033"/>
      <c r="D27" s="1033"/>
      <c r="E27" s="1033"/>
      <c r="F27" s="1033"/>
      <c r="G27" s="1033"/>
      <c r="H27" s="1033"/>
      <c r="I27" s="1033"/>
      <c r="J27" s="1033"/>
      <c r="K27" s="1034"/>
    </row>
    <row r="28" spans="1:11" ht="27.75" customHeight="1" x14ac:dyDescent="0.25">
      <c r="A28" s="1085" t="s">
        <v>627</v>
      </c>
      <c r="B28" s="1086"/>
      <c r="C28" s="1087"/>
      <c r="D28" s="1131" t="s">
        <v>1463</v>
      </c>
      <c r="E28" s="1132"/>
      <c r="F28" s="1132"/>
      <c r="G28" s="1132"/>
      <c r="H28" s="1132"/>
      <c r="I28" s="1132"/>
      <c r="J28" s="1132"/>
      <c r="K28" s="1133"/>
    </row>
    <row r="29" spans="1:11" ht="30.75" customHeight="1" x14ac:dyDescent="0.25">
      <c r="A29" s="1088"/>
      <c r="B29" s="1089"/>
      <c r="C29" s="1090"/>
      <c r="D29" s="627">
        <v>1</v>
      </c>
      <c r="E29" s="1095" t="s">
        <v>1428</v>
      </c>
      <c r="F29" s="1095"/>
      <c r="G29" s="1095"/>
      <c r="H29" s="1095"/>
      <c r="I29" s="1095"/>
      <c r="J29" s="1095"/>
      <c r="K29" s="1096"/>
    </row>
    <row r="30" spans="1:11" ht="30" customHeight="1" x14ac:dyDescent="0.25">
      <c r="A30" s="1088"/>
      <c r="B30" s="1089"/>
      <c r="C30" s="1090"/>
      <c r="D30" s="627">
        <v>2</v>
      </c>
      <c r="E30" s="1095" t="s">
        <v>1429</v>
      </c>
      <c r="F30" s="1095"/>
      <c r="G30" s="1095"/>
      <c r="H30" s="1095"/>
      <c r="I30" s="1095"/>
      <c r="J30" s="1095"/>
      <c r="K30" s="1096"/>
    </row>
    <row r="31" spans="1:11" ht="32.25" customHeight="1" x14ac:dyDescent="0.25">
      <c r="A31" s="1088"/>
      <c r="B31" s="1089"/>
      <c r="C31" s="1090"/>
      <c r="D31" s="627">
        <v>3</v>
      </c>
      <c r="E31" s="1095" t="s">
        <v>1430</v>
      </c>
      <c r="F31" s="1095"/>
      <c r="G31" s="1095"/>
      <c r="H31" s="1095"/>
      <c r="I31" s="1095"/>
      <c r="J31" s="1095"/>
      <c r="K31" s="1096"/>
    </row>
    <row r="32" spans="1:11" ht="29.25" customHeight="1" thickBot="1" x14ac:dyDescent="0.3">
      <c r="A32" s="1091"/>
      <c r="B32" s="1092"/>
      <c r="C32" s="1093"/>
      <c r="D32" s="627">
        <v>4</v>
      </c>
      <c r="E32" s="1095" t="s">
        <v>1431</v>
      </c>
      <c r="F32" s="1095"/>
      <c r="G32" s="1095"/>
      <c r="H32" s="1095"/>
      <c r="I32" s="1095"/>
      <c r="J32" s="1095"/>
      <c r="K32" s="1096"/>
    </row>
    <row r="33" spans="1:11" ht="15.75" thickBot="1" x14ac:dyDescent="0.3">
      <c r="A33" s="1035" t="s">
        <v>1002</v>
      </c>
      <c r="B33" s="1036"/>
      <c r="C33" s="1037"/>
      <c r="D33" s="1076" t="s">
        <v>1496</v>
      </c>
      <c r="E33" s="1077"/>
      <c r="F33" s="1077"/>
      <c r="G33" s="1077"/>
      <c r="H33" s="1077"/>
      <c r="I33" s="1077"/>
      <c r="J33" s="1077"/>
      <c r="K33" s="1078"/>
    </row>
    <row r="34" spans="1:11" ht="15.75" thickBot="1" x14ac:dyDescent="0.3">
      <c r="A34" s="1035" t="s">
        <v>1003</v>
      </c>
      <c r="B34" s="1036"/>
      <c r="C34" s="1037"/>
      <c r="D34" s="1076" t="s">
        <v>1004</v>
      </c>
      <c r="E34" s="1077"/>
      <c r="F34" s="1077"/>
      <c r="G34" s="1077"/>
      <c r="H34" s="1077"/>
      <c r="I34" s="1077"/>
      <c r="J34" s="1077"/>
      <c r="K34" s="1078"/>
    </row>
    <row r="35" spans="1:11" ht="41.25" customHeight="1" thickBot="1" x14ac:dyDescent="0.3">
      <c r="A35" s="1035" t="s">
        <v>626</v>
      </c>
      <c r="B35" s="1036"/>
      <c r="C35" s="1037"/>
      <c r="D35" s="1079" t="s">
        <v>1411</v>
      </c>
      <c r="E35" s="1080"/>
      <c r="F35" s="1080"/>
      <c r="G35" s="1080"/>
      <c r="H35" s="1080"/>
      <c r="I35" s="1080"/>
      <c r="J35" s="1080"/>
      <c r="K35" s="1081"/>
    </row>
    <row r="36" spans="1:11" ht="15.75" thickBot="1" x14ac:dyDescent="0.3">
      <c r="A36" s="1020"/>
      <c r="B36" s="1021"/>
      <c r="C36" s="1021"/>
      <c r="D36" s="1021"/>
      <c r="E36" s="1021"/>
      <c r="F36" s="1021"/>
      <c r="G36" s="1021"/>
      <c r="H36" s="1021"/>
      <c r="I36" s="1021"/>
      <c r="J36" s="1021"/>
      <c r="K36" s="1022"/>
    </row>
    <row r="37" spans="1:11" ht="15.75" thickBot="1" x14ac:dyDescent="0.3">
      <c r="A37" s="1032" t="s">
        <v>1005</v>
      </c>
      <c r="B37" s="1033"/>
      <c r="C37" s="1033"/>
      <c r="D37" s="1033"/>
      <c r="E37" s="1033"/>
      <c r="F37" s="1033"/>
      <c r="G37" s="1033"/>
      <c r="H37" s="1033"/>
      <c r="I37" s="1033"/>
      <c r="J37" s="1033"/>
      <c r="K37" s="1034"/>
    </row>
    <row r="38" spans="1:11" ht="15.75" thickBot="1" x14ac:dyDescent="0.3">
      <c r="A38" s="1035" t="s">
        <v>1414</v>
      </c>
      <c r="B38" s="1036"/>
      <c r="C38" s="1036"/>
      <c r="D38" s="1036"/>
      <c r="E38" s="1036"/>
      <c r="F38" s="1036"/>
      <c r="G38" s="1036"/>
      <c r="H38" s="1036"/>
      <c r="I38" s="1036"/>
      <c r="J38" s="1036"/>
      <c r="K38" s="1037"/>
    </row>
    <row r="39" spans="1:11" ht="15.75" thickBot="1" x14ac:dyDescent="0.3">
      <c r="A39" s="1035" t="s">
        <v>1006</v>
      </c>
      <c r="B39" s="1036"/>
      <c r="C39" s="1037"/>
      <c r="D39" s="1020" t="s">
        <v>1412</v>
      </c>
      <c r="E39" s="1021"/>
      <c r="F39" s="1021"/>
      <c r="G39" s="1021"/>
      <c r="H39" s="1021"/>
      <c r="I39" s="1021"/>
      <c r="J39" s="1021"/>
      <c r="K39" s="1022"/>
    </row>
    <row r="40" spans="1:11" ht="15.75" thickBot="1" x14ac:dyDescent="0.3">
      <c r="A40" s="1134" t="s">
        <v>1007</v>
      </c>
      <c r="B40" s="1135"/>
      <c r="C40" s="1136"/>
      <c r="D40" s="1137"/>
      <c r="E40" s="1138"/>
      <c r="F40" s="1138"/>
      <c r="G40" s="1138"/>
      <c r="H40" s="1138"/>
      <c r="I40" s="1139"/>
      <c r="J40" s="645" t="s">
        <v>1008</v>
      </c>
      <c r="K40" s="631" t="s">
        <v>1417</v>
      </c>
    </row>
    <row r="41" spans="1:11" x14ac:dyDescent="0.25">
      <c r="A41" s="1073"/>
      <c r="B41" s="1074"/>
      <c r="C41" s="1074"/>
      <c r="D41" s="1074"/>
      <c r="E41" s="1074"/>
      <c r="F41" s="1074"/>
      <c r="G41" s="1074"/>
      <c r="H41" s="1074"/>
      <c r="I41" s="1074"/>
      <c r="J41" s="1074"/>
      <c r="K41" s="1075"/>
    </row>
    <row r="42" spans="1:11" ht="32.25" customHeight="1" x14ac:dyDescent="0.25">
      <c r="A42" s="632">
        <v>1</v>
      </c>
      <c r="B42" s="624"/>
      <c r="C42" s="1044" t="s">
        <v>1441</v>
      </c>
      <c r="D42" s="1044"/>
      <c r="E42" s="1044"/>
      <c r="F42" s="1044"/>
      <c r="G42" s="1044"/>
      <c r="H42" s="1044"/>
      <c r="I42" s="1044"/>
      <c r="J42" s="1044"/>
      <c r="K42" s="1045"/>
    </row>
    <row r="43" spans="1:11" x14ac:dyDescent="0.25">
      <c r="A43" s="628">
        <v>2</v>
      </c>
      <c r="B43" s="624"/>
      <c r="C43" s="1044" t="s">
        <v>1432</v>
      </c>
      <c r="D43" s="1044"/>
      <c r="E43" s="1044"/>
      <c r="F43" s="1044"/>
      <c r="G43" s="1044"/>
      <c r="H43" s="1044"/>
      <c r="I43" s="1044"/>
      <c r="J43" s="1044"/>
      <c r="K43" s="1045"/>
    </row>
    <row r="44" spans="1:11" x14ac:dyDescent="0.25">
      <c r="A44" s="628">
        <v>3</v>
      </c>
      <c r="B44" s="624"/>
      <c r="C44" s="1044" t="s">
        <v>1438</v>
      </c>
      <c r="D44" s="1044"/>
      <c r="E44" s="1044"/>
      <c r="F44" s="1044"/>
      <c r="G44" s="1044"/>
      <c r="H44" s="1044"/>
      <c r="I44" s="1044"/>
      <c r="J44" s="1044"/>
      <c r="K44" s="1045"/>
    </row>
    <row r="45" spans="1:11" x14ac:dyDescent="0.25">
      <c r="A45" s="628">
        <v>4</v>
      </c>
      <c r="B45" s="624"/>
      <c r="C45" s="1044" t="s">
        <v>1433</v>
      </c>
      <c r="D45" s="1044"/>
      <c r="E45" s="1044"/>
      <c r="F45" s="1044"/>
      <c r="G45" s="1044"/>
      <c r="H45" s="1044"/>
      <c r="I45" s="1044"/>
      <c r="J45" s="1044"/>
      <c r="K45" s="1045"/>
    </row>
    <row r="46" spans="1:11" x14ac:dyDescent="0.25">
      <c r="A46" s="628">
        <v>5</v>
      </c>
      <c r="B46" s="150"/>
      <c r="C46" s="1044" t="s">
        <v>1439</v>
      </c>
      <c r="D46" s="1044"/>
      <c r="E46" s="1044"/>
      <c r="F46" s="1044"/>
      <c r="G46" s="1044"/>
      <c r="H46" s="1044"/>
      <c r="I46" s="1044"/>
      <c r="J46" s="1044"/>
      <c r="K46" s="1045"/>
    </row>
    <row r="47" spans="1:11" x14ac:dyDescent="0.25">
      <c r="A47" s="628">
        <v>6</v>
      </c>
      <c r="B47" s="624"/>
      <c r="C47" s="1044" t="s">
        <v>1442</v>
      </c>
      <c r="D47" s="1044"/>
      <c r="E47" s="1044"/>
      <c r="F47" s="1044"/>
      <c r="G47" s="1044"/>
      <c r="H47" s="1044"/>
      <c r="I47" s="1044"/>
      <c r="J47" s="1044"/>
      <c r="K47" s="1045"/>
    </row>
    <row r="48" spans="1:11" x14ac:dyDescent="0.25">
      <c r="A48" s="628">
        <v>7</v>
      </c>
      <c r="B48" s="624"/>
      <c r="C48" s="1044" t="s">
        <v>1443</v>
      </c>
      <c r="D48" s="1044"/>
      <c r="E48" s="1044"/>
      <c r="F48" s="1044"/>
      <c r="G48" s="1044"/>
      <c r="H48" s="1044"/>
      <c r="I48" s="1044"/>
      <c r="J48" s="1044"/>
      <c r="K48" s="1045"/>
    </row>
    <row r="49" spans="1:11" x14ac:dyDescent="0.25">
      <c r="A49" s="628">
        <v>8</v>
      </c>
      <c r="B49" s="624"/>
      <c r="C49" s="1044" t="s">
        <v>1434</v>
      </c>
      <c r="D49" s="1044"/>
      <c r="E49" s="1044"/>
      <c r="F49" s="1044"/>
      <c r="G49" s="1044"/>
      <c r="H49" s="1044"/>
      <c r="I49" s="1044"/>
      <c r="J49" s="1044"/>
      <c r="K49" s="1045"/>
    </row>
    <row r="50" spans="1:11" ht="30.75" customHeight="1" x14ac:dyDescent="0.25">
      <c r="A50" s="628" t="s">
        <v>1435</v>
      </c>
      <c r="B50" s="624" t="s">
        <v>1437</v>
      </c>
      <c r="C50" s="1044" t="s">
        <v>1436</v>
      </c>
      <c r="D50" s="1044"/>
      <c r="E50" s="1044"/>
      <c r="F50" s="1044"/>
      <c r="G50" s="1044"/>
      <c r="H50" s="1044"/>
      <c r="I50" s="1044"/>
      <c r="J50" s="1044"/>
      <c r="K50" s="1045"/>
    </row>
    <row r="51" spans="1:11" x14ac:dyDescent="0.25">
      <c r="A51" s="628">
        <v>9</v>
      </c>
      <c r="B51" s="242"/>
      <c r="C51" s="1044" t="s">
        <v>1440</v>
      </c>
      <c r="D51" s="1044"/>
      <c r="E51" s="1044"/>
      <c r="F51" s="1044"/>
      <c r="G51" s="1044"/>
      <c r="H51" s="1044"/>
      <c r="I51" s="1044"/>
      <c r="J51" s="1044"/>
      <c r="K51" s="1045"/>
    </row>
    <row r="52" spans="1:11" x14ac:dyDescent="0.25">
      <c r="A52" s="1067"/>
      <c r="B52" s="1068"/>
      <c r="C52" s="1068"/>
      <c r="D52" s="1068"/>
      <c r="E52" s="1068"/>
      <c r="F52" s="1068"/>
      <c r="G52" s="1068"/>
      <c r="H52" s="1068"/>
      <c r="I52" s="1068"/>
      <c r="J52" s="1068"/>
      <c r="K52" s="1069"/>
    </row>
    <row r="53" spans="1:11" ht="15.75" thickBot="1" x14ac:dyDescent="0.3">
      <c r="A53" s="1046"/>
      <c r="B53" s="1047"/>
      <c r="C53" s="1047"/>
      <c r="D53" s="1047"/>
      <c r="E53" s="1047"/>
      <c r="F53" s="1047"/>
      <c r="G53" s="1047"/>
      <c r="H53" s="1047"/>
      <c r="I53" s="1047"/>
      <c r="J53" s="1047"/>
      <c r="K53" s="1048"/>
    </row>
    <row r="54" spans="1:11" ht="15.75" thickBot="1" x14ac:dyDescent="0.3">
      <c r="A54" s="1134" t="s">
        <v>1009</v>
      </c>
      <c r="B54" s="1135"/>
      <c r="C54" s="1136"/>
      <c r="D54" s="1020"/>
      <c r="E54" s="1021"/>
      <c r="F54" s="1021"/>
      <c r="G54" s="1021"/>
      <c r="H54" s="1021"/>
      <c r="I54" s="1022"/>
      <c r="J54" s="690" t="s">
        <v>1008</v>
      </c>
      <c r="K54" s="631" t="s">
        <v>1415</v>
      </c>
    </row>
    <row r="55" spans="1:11" x14ac:dyDescent="0.25">
      <c r="A55" s="1064"/>
      <c r="B55" s="1065"/>
      <c r="C55" s="1065"/>
      <c r="D55" s="1065"/>
      <c r="E55" s="1065"/>
      <c r="F55" s="1065"/>
      <c r="G55" s="1065"/>
      <c r="H55" s="1065"/>
      <c r="I55" s="1065"/>
      <c r="J55" s="1065"/>
      <c r="K55" s="1066"/>
    </row>
    <row r="56" spans="1:11" x14ac:dyDescent="0.25">
      <c r="A56" s="620" t="s">
        <v>1</v>
      </c>
      <c r="B56" s="1059" t="s">
        <v>1444</v>
      </c>
      <c r="C56" s="1059"/>
      <c r="D56" s="1059"/>
      <c r="E56" s="1059"/>
      <c r="F56" s="1059"/>
      <c r="G56" s="1059"/>
      <c r="H56" s="1059"/>
      <c r="I56" s="1059"/>
      <c r="J56" s="1059"/>
      <c r="K56" s="1060"/>
    </row>
    <row r="57" spans="1:11" ht="29.25" customHeight="1" x14ac:dyDescent="0.25">
      <c r="A57" s="615"/>
      <c r="B57" s="624">
        <v>1</v>
      </c>
      <c r="C57" s="1044" t="s">
        <v>1445</v>
      </c>
      <c r="D57" s="1044"/>
      <c r="E57" s="1044"/>
      <c r="F57" s="1044"/>
      <c r="G57" s="1044"/>
      <c r="H57" s="1044"/>
      <c r="I57" s="1044"/>
      <c r="J57" s="1044"/>
      <c r="K57" s="1045"/>
    </row>
    <row r="58" spans="1:11" x14ac:dyDescent="0.25">
      <c r="A58" s="615"/>
      <c r="B58" s="150"/>
      <c r="C58" s="142" t="s">
        <v>1437</v>
      </c>
      <c r="D58" s="1044" t="s">
        <v>1446</v>
      </c>
      <c r="E58" s="1044"/>
      <c r="F58" s="1044"/>
      <c r="G58" s="1044"/>
      <c r="H58" s="1044"/>
      <c r="I58" s="1044"/>
      <c r="J58" s="1044"/>
      <c r="K58" s="1045"/>
    </row>
    <row r="59" spans="1:11" ht="25.5" customHeight="1" x14ac:dyDescent="0.25">
      <c r="A59" s="615"/>
      <c r="B59" s="150"/>
      <c r="C59" s="625" t="s">
        <v>1466</v>
      </c>
      <c r="D59" s="1044" t="s">
        <v>1447</v>
      </c>
      <c r="E59" s="1044"/>
      <c r="F59" s="1044"/>
      <c r="G59" s="1044"/>
      <c r="H59" s="1044"/>
      <c r="I59" s="1044"/>
      <c r="J59" s="1044"/>
      <c r="K59" s="1045"/>
    </row>
    <row r="60" spans="1:11" ht="29.25" customHeight="1" x14ac:dyDescent="0.25">
      <c r="A60" s="615"/>
      <c r="B60" s="150"/>
      <c r="C60" s="625" t="s">
        <v>1464</v>
      </c>
      <c r="D60" s="1044" t="s">
        <v>1448</v>
      </c>
      <c r="E60" s="1044"/>
      <c r="F60" s="1044"/>
      <c r="G60" s="1044"/>
      <c r="H60" s="1044"/>
      <c r="I60" s="1044"/>
      <c r="J60" s="1044"/>
      <c r="K60" s="1045"/>
    </row>
    <row r="61" spans="1:11" ht="29.25" customHeight="1" x14ac:dyDescent="0.25">
      <c r="A61" s="615"/>
      <c r="B61" s="624">
        <v>2</v>
      </c>
      <c r="C61" s="1044" t="s">
        <v>1449</v>
      </c>
      <c r="D61" s="1044"/>
      <c r="E61" s="1044"/>
      <c r="F61" s="1044"/>
      <c r="G61" s="1044"/>
      <c r="H61" s="1044"/>
      <c r="I61" s="1044"/>
      <c r="J61" s="1044"/>
      <c r="K61" s="1045"/>
    </row>
    <row r="62" spans="1:11" x14ac:dyDescent="0.25">
      <c r="A62" s="615"/>
      <c r="B62" s="150">
        <v>3</v>
      </c>
      <c r="C62" s="1044" t="s">
        <v>1450</v>
      </c>
      <c r="D62" s="1044"/>
      <c r="E62" s="1044"/>
      <c r="F62" s="1044"/>
      <c r="G62" s="1044"/>
      <c r="H62" s="1044"/>
      <c r="I62" s="1044"/>
      <c r="J62" s="1044"/>
      <c r="K62" s="1045"/>
    </row>
    <row r="63" spans="1:11" ht="42.75" customHeight="1" x14ac:dyDescent="0.25">
      <c r="A63" s="615"/>
      <c r="B63" s="150"/>
      <c r="C63" s="625" t="s">
        <v>1437</v>
      </c>
      <c r="D63" s="1044" t="s">
        <v>1670</v>
      </c>
      <c r="E63" s="1044"/>
      <c r="F63" s="1044"/>
      <c r="G63" s="1044"/>
      <c r="H63" s="1044"/>
      <c r="I63" s="1044"/>
      <c r="J63" s="1044"/>
      <c r="K63" s="1045"/>
    </row>
    <row r="64" spans="1:11" ht="27" customHeight="1" x14ac:dyDescent="0.25">
      <c r="A64" s="615"/>
      <c r="B64" s="150"/>
      <c r="C64" s="625" t="s">
        <v>1466</v>
      </c>
      <c r="D64" s="1044" t="s">
        <v>1452</v>
      </c>
      <c r="E64" s="1044"/>
      <c r="F64" s="1044"/>
      <c r="G64" s="1044"/>
      <c r="H64" s="1044"/>
      <c r="I64" s="1044"/>
      <c r="J64" s="1044"/>
      <c r="K64" s="1045"/>
    </row>
    <row r="65" spans="1:11" x14ac:dyDescent="0.25">
      <c r="A65" s="615"/>
      <c r="B65" s="150"/>
      <c r="C65" s="142" t="s">
        <v>1464</v>
      </c>
      <c r="D65" s="1044" t="s">
        <v>1453</v>
      </c>
      <c r="E65" s="1044"/>
      <c r="F65" s="1044"/>
      <c r="G65" s="1044"/>
      <c r="H65" s="1044"/>
      <c r="I65" s="1044"/>
      <c r="J65" s="1044"/>
      <c r="K65" s="1045"/>
    </row>
    <row r="66" spans="1:11" x14ac:dyDescent="0.25">
      <c r="A66" s="615"/>
      <c r="B66" s="150"/>
      <c r="C66" s="142" t="s">
        <v>1465</v>
      </c>
      <c r="D66" s="1044" t="s">
        <v>1454</v>
      </c>
      <c r="E66" s="1044"/>
      <c r="F66" s="1044"/>
      <c r="G66" s="1044"/>
      <c r="H66" s="1044"/>
      <c r="I66" s="1044"/>
      <c r="J66" s="1044"/>
      <c r="K66" s="1045"/>
    </row>
    <row r="67" spans="1:11" ht="27" customHeight="1" x14ac:dyDescent="0.25">
      <c r="A67" s="615"/>
      <c r="B67" s="624">
        <v>4</v>
      </c>
      <c r="C67" s="1044" t="s">
        <v>1551</v>
      </c>
      <c r="D67" s="1044"/>
      <c r="E67" s="1044"/>
      <c r="F67" s="1044"/>
      <c r="G67" s="1044"/>
      <c r="H67" s="1044"/>
      <c r="I67" s="1044"/>
      <c r="J67" s="1044"/>
      <c r="K67" s="1045"/>
    </row>
    <row r="68" spans="1:11" x14ac:dyDescent="0.25">
      <c r="A68" s="615"/>
      <c r="B68" s="150"/>
      <c r="C68" s="142" t="s">
        <v>1437</v>
      </c>
      <c r="D68" s="1044" t="s">
        <v>1456</v>
      </c>
      <c r="E68" s="1044"/>
      <c r="F68" s="1044"/>
      <c r="G68" s="1044"/>
      <c r="H68" s="1044"/>
      <c r="I68" s="1044"/>
      <c r="J68" s="1044"/>
      <c r="K68" s="1045"/>
    </row>
    <row r="69" spans="1:11" x14ac:dyDescent="0.25">
      <c r="A69" s="1063"/>
      <c r="B69" s="1059"/>
      <c r="C69" s="1059"/>
      <c r="D69" s="1059"/>
      <c r="E69" s="1059"/>
      <c r="F69" s="1059"/>
      <c r="G69" s="1059"/>
      <c r="H69" s="1059"/>
      <c r="I69" s="1059"/>
      <c r="J69" s="1059"/>
      <c r="K69" s="1060"/>
    </row>
    <row r="70" spans="1:11" x14ac:dyDescent="0.25">
      <c r="A70" s="620" t="s">
        <v>2</v>
      </c>
      <c r="B70" s="1059" t="s">
        <v>1467</v>
      </c>
      <c r="C70" s="1059"/>
      <c r="D70" s="1059"/>
      <c r="E70" s="1059"/>
      <c r="F70" s="1059"/>
      <c r="G70" s="1059"/>
      <c r="H70" s="1059"/>
      <c r="I70" s="1059"/>
      <c r="J70" s="1059"/>
      <c r="K70" s="1060"/>
    </row>
    <row r="71" spans="1:11" ht="26.25" customHeight="1" x14ac:dyDescent="0.25">
      <c r="A71" s="615"/>
      <c r="B71" s="150">
        <v>1</v>
      </c>
      <c r="C71" s="1052" t="s">
        <v>1495</v>
      </c>
      <c r="D71" s="1052"/>
      <c r="E71" s="1052"/>
      <c r="F71" s="1052"/>
      <c r="G71" s="1052"/>
      <c r="H71" s="1052"/>
      <c r="I71" s="1052"/>
      <c r="J71" s="1052"/>
      <c r="K71" s="1053"/>
    </row>
    <row r="72" spans="1:11" x14ac:dyDescent="0.25">
      <c r="A72" s="615"/>
      <c r="B72" s="150">
        <v>2</v>
      </c>
      <c r="C72" s="1052" t="s">
        <v>1468</v>
      </c>
      <c r="D72" s="1052"/>
      <c r="E72" s="1052"/>
      <c r="F72" s="1052"/>
      <c r="G72" s="1052"/>
      <c r="H72" s="1052"/>
      <c r="I72" s="1052"/>
      <c r="J72" s="1052"/>
      <c r="K72" s="1053"/>
    </row>
    <row r="73" spans="1:11" x14ac:dyDescent="0.25">
      <c r="A73" s="615"/>
      <c r="B73" s="150">
        <v>3</v>
      </c>
      <c r="C73" s="1052" t="s">
        <v>1469</v>
      </c>
      <c r="D73" s="1052"/>
      <c r="E73" s="1052"/>
      <c r="F73" s="1052"/>
      <c r="G73" s="1052"/>
      <c r="H73" s="1052"/>
      <c r="I73" s="1052"/>
      <c r="J73" s="1052"/>
      <c r="K73" s="1053"/>
    </row>
    <row r="74" spans="1:11" x14ac:dyDescent="0.25">
      <c r="A74" s="615"/>
      <c r="B74" s="150">
        <v>4</v>
      </c>
      <c r="C74" s="1052" t="s">
        <v>1470</v>
      </c>
      <c r="D74" s="1052"/>
      <c r="E74" s="1052"/>
      <c r="F74" s="1052"/>
      <c r="G74" s="1052"/>
      <c r="H74" s="1052"/>
      <c r="I74" s="1052"/>
      <c r="J74" s="1052"/>
      <c r="K74" s="1053"/>
    </row>
    <row r="75" spans="1:11" x14ac:dyDescent="0.25">
      <c r="A75" s="615"/>
      <c r="B75" s="1061"/>
      <c r="C75" s="1061"/>
      <c r="D75" s="1061"/>
      <c r="E75" s="1061"/>
      <c r="F75" s="1061"/>
      <c r="G75" s="1061"/>
      <c r="H75" s="1061"/>
      <c r="I75" s="1061"/>
      <c r="J75" s="1061"/>
      <c r="K75" s="1062"/>
    </row>
    <row r="76" spans="1:11" x14ac:dyDescent="0.25">
      <c r="A76" s="620" t="s">
        <v>3</v>
      </c>
      <c r="B76" s="1059" t="s">
        <v>1471</v>
      </c>
      <c r="C76" s="1059"/>
      <c r="D76" s="1059"/>
      <c r="E76" s="1059"/>
      <c r="F76" s="1059"/>
      <c r="G76" s="1059"/>
      <c r="H76" s="1059"/>
      <c r="I76" s="1059"/>
      <c r="J76" s="1059"/>
      <c r="K76" s="1060"/>
    </row>
    <row r="77" spans="1:11" x14ac:dyDescent="0.25">
      <c r="A77" s="615"/>
      <c r="B77" s="150">
        <v>1</v>
      </c>
      <c r="C77" s="1044" t="s">
        <v>1472</v>
      </c>
      <c r="D77" s="1044"/>
      <c r="E77" s="1044"/>
      <c r="F77" s="1044"/>
      <c r="G77" s="1044"/>
      <c r="H77" s="1044"/>
      <c r="I77" s="1044"/>
      <c r="J77" s="1044"/>
      <c r="K77" s="1045"/>
    </row>
    <row r="78" spans="1:11" ht="30.75" customHeight="1" x14ac:dyDescent="0.25">
      <c r="A78" s="615"/>
      <c r="B78" s="624">
        <v>2</v>
      </c>
      <c r="C78" s="1044" t="s">
        <v>1473</v>
      </c>
      <c r="D78" s="1044"/>
      <c r="E78" s="1044"/>
      <c r="F78" s="1044"/>
      <c r="G78" s="1044"/>
      <c r="H78" s="1044"/>
      <c r="I78" s="1044"/>
      <c r="J78" s="1044"/>
      <c r="K78" s="1045"/>
    </row>
    <row r="79" spans="1:11" ht="36" customHeight="1" x14ac:dyDescent="0.25">
      <c r="A79" s="615"/>
      <c r="B79" s="624">
        <v>3</v>
      </c>
      <c r="C79" s="1044" t="s">
        <v>1474</v>
      </c>
      <c r="D79" s="1044"/>
      <c r="E79" s="1044"/>
      <c r="F79" s="1044"/>
      <c r="G79" s="1044"/>
      <c r="H79" s="1044"/>
      <c r="I79" s="1044"/>
      <c r="J79" s="1044"/>
      <c r="K79" s="1045"/>
    </row>
    <row r="80" spans="1:11" x14ac:dyDescent="0.25">
      <c r="A80" s="615"/>
      <c r="B80" s="150">
        <v>4</v>
      </c>
      <c r="C80" s="1044" t="s">
        <v>1475</v>
      </c>
      <c r="D80" s="1044"/>
      <c r="E80" s="1044"/>
      <c r="F80" s="1044"/>
      <c r="G80" s="1044"/>
      <c r="H80" s="1044"/>
      <c r="I80" s="1044"/>
      <c r="J80" s="1044"/>
      <c r="K80" s="1045"/>
    </row>
    <row r="81" spans="1:11" x14ac:dyDescent="0.25">
      <c r="A81" s="615"/>
      <c r="B81" s="616"/>
      <c r="C81" s="616"/>
      <c r="D81" s="616"/>
      <c r="E81" s="616"/>
      <c r="F81" s="616"/>
      <c r="G81" s="616"/>
      <c r="H81" s="616"/>
      <c r="I81" s="616"/>
      <c r="J81" s="616"/>
      <c r="K81" s="617"/>
    </row>
    <row r="82" spans="1:11" x14ac:dyDescent="0.25">
      <c r="A82" s="620" t="s">
        <v>67</v>
      </c>
      <c r="B82" s="1059" t="s">
        <v>1476</v>
      </c>
      <c r="C82" s="1059"/>
      <c r="D82" s="1059"/>
      <c r="E82" s="1059"/>
      <c r="F82" s="1059"/>
      <c r="G82" s="1059"/>
      <c r="H82" s="1059"/>
      <c r="I82" s="1059"/>
      <c r="J82" s="1059"/>
      <c r="K82" s="1060"/>
    </row>
    <row r="83" spans="1:11" ht="46.5" customHeight="1" x14ac:dyDescent="0.25">
      <c r="A83" s="615"/>
      <c r="B83" s="624">
        <v>1</v>
      </c>
      <c r="C83" s="1044" t="s">
        <v>1477</v>
      </c>
      <c r="D83" s="1044"/>
      <c r="E83" s="1044"/>
      <c r="F83" s="1044"/>
      <c r="G83" s="1044"/>
      <c r="H83" s="1044"/>
      <c r="I83" s="1044"/>
      <c r="J83" s="1044"/>
      <c r="K83" s="1045"/>
    </row>
    <row r="84" spans="1:11" ht="37.5" customHeight="1" x14ac:dyDescent="0.25">
      <c r="A84" s="615"/>
      <c r="B84" s="624">
        <v>2</v>
      </c>
      <c r="C84" s="1044" t="s">
        <v>1422</v>
      </c>
      <c r="D84" s="1044"/>
      <c r="E84" s="1044"/>
      <c r="F84" s="1044"/>
      <c r="G84" s="1044"/>
      <c r="H84" s="1044"/>
      <c r="I84" s="1044"/>
      <c r="J84" s="1044"/>
      <c r="K84" s="1045"/>
    </row>
    <row r="85" spans="1:11" x14ac:dyDescent="0.25">
      <c r="A85" s="615"/>
      <c r="B85" s="150">
        <v>3</v>
      </c>
      <c r="C85" s="1044" t="s">
        <v>1478</v>
      </c>
      <c r="D85" s="1044"/>
      <c r="E85" s="1044"/>
      <c r="F85" s="1044"/>
      <c r="G85" s="1044"/>
      <c r="H85" s="1044"/>
      <c r="I85" s="1044"/>
      <c r="J85" s="1044"/>
      <c r="K85" s="1045"/>
    </row>
    <row r="86" spans="1:11" x14ac:dyDescent="0.25">
      <c r="A86" s="615"/>
      <c r="B86" s="150"/>
      <c r="C86" s="622"/>
      <c r="D86" s="622"/>
      <c r="E86" s="622"/>
      <c r="F86" s="622"/>
      <c r="G86" s="622"/>
      <c r="H86" s="622"/>
      <c r="I86" s="622"/>
      <c r="J86" s="622"/>
      <c r="K86" s="623"/>
    </row>
    <row r="87" spans="1:11" x14ac:dyDescent="0.25">
      <c r="A87" s="620" t="s">
        <v>1479</v>
      </c>
      <c r="B87" s="1059" t="s">
        <v>1480</v>
      </c>
      <c r="C87" s="1059"/>
      <c r="D87" s="1059"/>
      <c r="E87" s="1059"/>
      <c r="F87" s="1059"/>
      <c r="G87" s="1059"/>
      <c r="H87" s="1059"/>
      <c r="I87" s="1059"/>
      <c r="J87" s="1059"/>
      <c r="K87" s="1060"/>
    </row>
    <row r="88" spans="1:11" x14ac:dyDescent="0.25">
      <c r="A88" s="615"/>
      <c r="B88" s="150">
        <v>1</v>
      </c>
      <c r="C88" s="1044" t="s">
        <v>1423</v>
      </c>
      <c r="D88" s="1044"/>
      <c r="E88" s="1044"/>
      <c r="F88" s="1044"/>
      <c r="G88" s="1044"/>
      <c r="H88" s="1044"/>
      <c r="I88" s="1044"/>
      <c r="J88" s="1044"/>
      <c r="K88" s="1045"/>
    </row>
    <row r="89" spans="1:11" ht="32.25" customHeight="1" x14ac:dyDescent="0.25">
      <c r="A89" s="615"/>
      <c r="B89" s="624">
        <v>2</v>
      </c>
      <c r="C89" s="1044" t="s">
        <v>1424</v>
      </c>
      <c r="D89" s="1044"/>
      <c r="E89" s="1044"/>
      <c r="F89" s="1044"/>
      <c r="G89" s="1044"/>
      <c r="H89" s="1044"/>
      <c r="I89" s="1044"/>
      <c r="J89" s="1044"/>
      <c r="K89" s="1045"/>
    </row>
    <row r="90" spans="1:11" ht="29.25" customHeight="1" x14ac:dyDescent="0.25">
      <c r="A90" s="615"/>
      <c r="B90" s="624">
        <v>3</v>
      </c>
      <c r="C90" s="1044" t="s">
        <v>1669</v>
      </c>
      <c r="D90" s="1044"/>
      <c r="E90" s="1044"/>
      <c r="F90" s="1044"/>
      <c r="G90" s="1044"/>
      <c r="H90" s="1044"/>
      <c r="I90" s="1044"/>
      <c r="J90" s="1044"/>
      <c r="K90" s="1045"/>
    </row>
    <row r="91" spans="1:11" x14ac:dyDescent="0.25">
      <c r="A91" s="615"/>
      <c r="B91" s="150">
        <v>4</v>
      </c>
      <c r="C91" s="1044" t="s">
        <v>1486</v>
      </c>
      <c r="D91" s="1044"/>
      <c r="E91" s="1044"/>
      <c r="F91" s="1044"/>
      <c r="G91" s="1044"/>
      <c r="H91" s="1044"/>
      <c r="I91" s="1044"/>
      <c r="J91" s="1044"/>
      <c r="K91" s="1045"/>
    </row>
    <row r="92" spans="1:11" x14ac:dyDescent="0.25">
      <c r="A92" s="615"/>
      <c r="B92" s="616"/>
      <c r="C92" s="616"/>
      <c r="D92" s="616"/>
      <c r="E92" s="616"/>
      <c r="F92" s="616"/>
      <c r="G92" s="616"/>
      <c r="H92" s="616"/>
      <c r="I92" s="616"/>
      <c r="J92" s="616"/>
      <c r="K92" s="617"/>
    </row>
    <row r="93" spans="1:11" x14ac:dyDescent="0.25">
      <c r="A93" s="620" t="s">
        <v>1481</v>
      </c>
      <c r="B93" s="1059" t="s">
        <v>1482</v>
      </c>
      <c r="C93" s="1059"/>
      <c r="D93" s="1059"/>
      <c r="E93" s="1059"/>
      <c r="F93" s="1059"/>
      <c r="G93" s="1059"/>
      <c r="H93" s="1059"/>
      <c r="I93" s="1059"/>
      <c r="J93" s="1059"/>
      <c r="K93" s="1060"/>
    </row>
    <row r="94" spans="1:11" ht="31.5" customHeight="1" x14ac:dyDescent="0.25">
      <c r="A94" s="615"/>
      <c r="B94" s="624">
        <v>1</v>
      </c>
      <c r="C94" s="1044" t="s">
        <v>1483</v>
      </c>
      <c r="D94" s="1044"/>
      <c r="E94" s="1044"/>
      <c r="F94" s="1044"/>
      <c r="G94" s="1044"/>
      <c r="H94" s="1044"/>
      <c r="I94" s="1044"/>
      <c r="J94" s="1044"/>
      <c r="K94" s="1045"/>
    </row>
    <row r="95" spans="1:11" x14ac:dyDescent="0.25">
      <c r="A95" s="615"/>
      <c r="B95" s="624">
        <v>2</v>
      </c>
      <c r="C95" s="1044" t="s">
        <v>1484</v>
      </c>
      <c r="D95" s="1044"/>
      <c r="E95" s="1044"/>
      <c r="F95" s="1044"/>
      <c r="G95" s="1044"/>
      <c r="H95" s="1044"/>
      <c r="I95" s="1044"/>
      <c r="J95" s="1044"/>
      <c r="K95" s="1045"/>
    </row>
    <row r="96" spans="1:11" x14ac:dyDescent="0.25">
      <c r="A96" s="615"/>
      <c r="B96" s="689"/>
      <c r="C96" s="625" t="s">
        <v>1437</v>
      </c>
      <c r="D96" s="1052" t="s">
        <v>1425</v>
      </c>
      <c r="E96" s="1052"/>
      <c r="F96" s="1052"/>
      <c r="G96" s="1052"/>
      <c r="H96" s="1052"/>
      <c r="I96" s="1052"/>
      <c r="J96" s="1052"/>
      <c r="K96" s="1053"/>
    </row>
    <row r="97" spans="1:11" x14ac:dyDescent="0.25">
      <c r="A97" s="615"/>
      <c r="B97" s="624">
        <v>3</v>
      </c>
      <c r="C97" s="1052" t="s">
        <v>1487</v>
      </c>
      <c r="D97" s="1052"/>
      <c r="E97" s="1052"/>
      <c r="F97" s="1052"/>
      <c r="G97" s="1052"/>
      <c r="H97" s="1052"/>
      <c r="I97" s="1052"/>
      <c r="J97" s="1052"/>
      <c r="K97" s="1053"/>
    </row>
    <row r="98" spans="1:11" ht="15.75" thickBot="1" x14ac:dyDescent="0.3">
      <c r="A98" s="607"/>
      <c r="B98" s="608"/>
      <c r="C98" s="608"/>
      <c r="D98" s="608"/>
      <c r="E98" s="608"/>
      <c r="F98" s="608"/>
      <c r="G98" s="608"/>
      <c r="H98" s="608"/>
      <c r="I98" s="608"/>
      <c r="J98" s="608"/>
      <c r="K98" s="377"/>
    </row>
    <row r="99" spans="1:11" ht="15.75" thickBot="1" x14ac:dyDescent="0.3">
      <c r="A99" s="1134" t="s">
        <v>1010</v>
      </c>
      <c r="B99" s="1135"/>
      <c r="C99" s="1136"/>
      <c r="D99" s="1020"/>
      <c r="E99" s="1021"/>
      <c r="F99" s="1021"/>
      <c r="G99" s="1021"/>
      <c r="H99" s="1021"/>
      <c r="I99" s="1022"/>
      <c r="J99" s="645" t="s">
        <v>1008</v>
      </c>
      <c r="K99" s="631" t="s">
        <v>1416</v>
      </c>
    </row>
    <row r="100" spans="1:11" x14ac:dyDescent="0.25">
      <c r="A100" s="632">
        <v>1</v>
      </c>
      <c r="B100" s="616"/>
      <c r="C100" s="1057" t="s">
        <v>1489</v>
      </c>
      <c r="D100" s="1057"/>
      <c r="E100" s="1057"/>
      <c r="F100" s="1057"/>
      <c r="G100" s="1057"/>
      <c r="H100" s="1057"/>
      <c r="I100" s="1057"/>
      <c r="J100" s="1057"/>
      <c r="K100" s="1058"/>
    </row>
    <row r="101" spans="1:11" x14ac:dyDescent="0.25">
      <c r="A101" s="632">
        <v>2</v>
      </c>
      <c r="B101" s="616"/>
      <c r="C101" s="1044" t="s">
        <v>1030</v>
      </c>
      <c r="D101" s="1044"/>
      <c r="E101" s="1044"/>
      <c r="F101" s="1044"/>
      <c r="G101" s="1044"/>
      <c r="H101" s="1044"/>
      <c r="I101" s="1044"/>
      <c r="J101" s="1044"/>
      <c r="K101" s="1045"/>
    </row>
    <row r="102" spans="1:11" ht="30.75" customHeight="1" x14ac:dyDescent="0.25">
      <c r="A102" s="632">
        <v>3</v>
      </c>
      <c r="B102" s="616"/>
      <c r="C102" s="1044" t="s">
        <v>1490</v>
      </c>
      <c r="D102" s="1044"/>
      <c r="E102" s="1044"/>
      <c r="F102" s="1044"/>
      <c r="G102" s="1044"/>
      <c r="H102" s="1044"/>
      <c r="I102" s="1044"/>
      <c r="J102" s="1044"/>
      <c r="K102" s="1045"/>
    </row>
    <row r="103" spans="1:11" ht="28.5" customHeight="1" x14ac:dyDescent="0.25">
      <c r="A103" s="632">
        <v>4</v>
      </c>
      <c r="B103" s="616"/>
      <c r="C103" s="1044" t="s">
        <v>1491</v>
      </c>
      <c r="D103" s="1044"/>
      <c r="E103" s="1044"/>
      <c r="F103" s="1044"/>
      <c r="G103" s="1044"/>
      <c r="H103" s="1044"/>
      <c r="I103" s="1044"/>
      <c r="J103" s="1044"/>
      <c r="K103" s="1045"/>
    </row>
    <row r="104" spans="1:11" x14ac:dyDescent="0.25">
      <c r="A104" s="632">
        <v>5</v>
      </c>
      <c r="B104" s="616"/>
      <c r="C104" s="1044" t="s">
        <v>1492</v>
      </c>
      <c r="D104" s="1044"/>
      <c r="E104" s="1044"/>
      <c r="F104" s="1044"/>
      <c r="G104" s="1044"/>
      <c r="H104" s="1044"/>
      <c r="I104" s="1044"/>
      <c r="J104" s="1044"/>
      <c r="K104" s="1045"/>
    </row>
    <row r="105" spans="1:11" x14ac:dyDescent="0.25">
      <c r="A105" s="632">
        <v>6</v>
      </c>
      <c r="B105" s="616"/>
      <c r="C105" s="1044" t="s">
        <v>1493</v>
      </c>
      <c r="D105" s="1044"/>
      <c r="E105" s="1044"/>
      <c r="F105" s="1044"/>
      <c r="G105" s="1044"/>
      <c r="H105" s="1044"/>
      <c r="I105" s="1044"/>
      <c r="J105" s="1044"/>
      <c r="K105" s="1045"/>
    </row>
    <row r="106" spans="1:11" x14ac:dyDescent="0.25">
      <c r="A106" s="632">
        <v>7</v>
      </c>
      <c r="B106" s="616"/>
      <c r="C106" s="1044" t="s">
        <v>1494</v>
      </c>
      <c r="D106" s="1044"/>
      <c r="E106" s="1044"/>
      <c r="F106" s="1044"/>
      <c r="G106" s="1044"/>
      <c r="H106" s="1044"/>
      <c r="I106" s="1044"/>
      <c r="J106" s="1044"/>
      <c r="K106" s="1045"/>
    </row>
    <row r="107" spans="1:11" ht="29.25" customHeight="1" x14ac:dyDescent="0.25">
      <c r="A107" s="632">
        <v>8</v>
      </c>
      <c r="B107" s="616"/>
      <c r="C107" s="1044" t="s">
        <v>1488</v>
      </c>
      <c r="D107" s="1044"/>
      <c r="E107" s="1044"/>
      <c r="F107" s="1044"/>
      <c r="G107" s="1044"/>
      <c r="H107" s="1044"/>
      <c r="I107" s="1044"/>
      <c r="J107" s="1044"/>
      <c r="K107" s="1045"/>
    </row>
    <row r="108" spans="1:11" ht="15.75" thickBot="1" x14ac:dyDescent="0.3">
      <c r="A108" s="1046"/>
      <c r="B108" s="1047"/>
      <c r="C108" s="1047"/>
      <c r="D108" s="1047"/>
      <c r="E108" s="1047"/>
      <c r="F108" s="1047"/>
      <c r="G108" s="1047"/>
      <c r="H108" s="1047"/>
      <c r="I108" s="1047"/>
      <c r="J108" s="1047"/>
      <c r="K108" s="1048"/>
    </row>
    <row r="109" spans="1:11" ht="15.75" thickBot="1" x14ac:dyDescent="0.3">
      <c r="A109" s="1049" t="s">
        <v>1011</v>
      </c>
      <c r="B109" s="1050"/>
      <c r="C109" s="1050"/>
      <c r="D109" s="1050"/>
      <c r="E109" s="1050"/>
      <c r="F109" s="1050"/>
      <c r="G109" s="1050"/>
      <c r="H109" s="1050"/>
      <c r="I109" s="1050"/>
      <c r="J109" s="1050"/>
      <c r="K109" s="1051"/>
    </row>
    <row r="110" spans="1:11" ht="15.75" thickBot="1" x14ac:dyDescent="0.3">
      <c r="A110" s="629" t="s">
        <v>4</v>
      </c>
      <c r="B110" s="1041" t="s">
        <v>1012</v>
      </c>
      <c r="C110" s="1043"/>
      <c r="D110" s="1041" t="s">
        <v>1013</v>
      </c>
      <c r="E110" s="1043"/>
      <c r="F110" s="1041" t="s">
        <v>1014</v>
      </c>
      <c r="G110" s="1043"/>
      <c r="H110" s="1041" t="s">
        <v>1015</v>
      </c>
      <c r="I110" s="1042"/>
      <c r="J110" s="1042"/>
      <c r="K110" s="1043"/>
    </row>
    <row r="111" spans="1:11" ht="15.75" thickBot="1" x14ac:dyDescent="0.3">
      <c r="A111" s="630">
        <v>1</v>
      </c>
      <c r="B111" s="1020" t="s">
        <v>1016</v>
      </c>
      <c r="C111" s="1022"/>
      <c r="D111" s="1020" t="s">
        <v>1017</v>
      </c>
      <c r="E111" s="1022"/>
      <c r="F111" s="1020" t="s">
        <v>1018</v>
      </c>
      <c r="G111" s="1022"/>
      <c r="H111" s="1020" t="s">
        <v>1019</v>
      </c>
      <c r="I111" s="1021"/>
      <c r="J111" s="1021"/>
      <c r="K111" s="1022"/>
    </row>
    <row r="112" spans="1:11" ht="15.75" thickBot="1" x14ac:dyDescent="0.3">
      <c r="A112" s="630">
        <v>2</v>
      </c>
      <c r="B112" s="1020" t="s">
        <v>1020</v>
      </c>
      <c r="C112" s="1022"/>
      <c r="D112" s="1020" t="s">
        <v>1017</v>
      </c>
      <c r="E112" s="1022"/>
      <c r="F112" s="1020" t="s">
        <v>1021</v>
      </c>
      <c r="G112" s="1022"/>
      <c r="H112" s="1020" t="s">
        <v>1022</v>
      </c>
      <c r="I112" s="1021"/>
      <c r="J112" s="1021"/>
      <c r="K112" s="1022"/>
    </row>
    <row r="113" spans="1:11" ht="15.75" thickBot="1" x14ac:dyDescent="0.3">
      <c r="A113" s="630">
        <v>3</v>
      </c>
      <c r="B113" s="1020" t="s">
        <v>1023</v>
      </c>
      <c r="C113" s="1022"/>
      <c r="D113" s="1020" t="s">
        <v>1426</v>
      </c>
      <c r="E113" s="1022"/>
      <c r="F113" s="1020" t="s">
        <v>1024</v>
      </c>
      <c r="G113" s="1022"/>
      <c r="H113" s="1020" t="s">
        <v>1025</v>
      </c>
      <c r="I113" s="1021"/>
      <c r="J113" s="1021"/>
      <c r="K113" s="1022"/>
    </row>
    <row r="114" spans="1:11" ht="15.75" thickBot="1" x14ac:dyDescent="0.3">
      <c r="A114" s="1032" t="s">
        <v>1026</v>
      </c>
      <c r="B114" s="1033"/>
      <c r="C114" s="1033"/>
      <c r="D114" s="1033"/>
      <c r="E114" s="1033"/>
      <c r="F114" s="1033"/>
      <c r="G114" s="1033"/>
      <c r="H114" s="1033"/>
      <c r="I114" s="1033"/>
      <c r="J114" s="1033"/>
      <c r="K114" s="1034"/>
    </row>
    <row r="115" spans="1:11" ht="45" customHeight="1" thickBot="1" x14ac:dyDescent="0.3">
      <c r="A115" s="1134" t="s">
        <v>1027</v>
      </c>
      <c r="B115" s="1135"/>
      <c r="C115" s="1136"/>
      <c r="D115" s="1038" t="s">
        <v>1427</v>
      </c>
      <c r="E115" s="1039"/>
      <c r="F115" s="1039"/>
      <c r="G115" s="1039"/>
      <c r="H115" s="1039"/>
      <c r="I115" s="1039"/>
      <c r="J115" s="1039"/>
      <c r="K115" s="1040"/>
    </row>
    <row r="116" spans="1:11" ht="47.25" customHeight="1" thickBot="1" x14ac:dyDescent="0.3">
      <c r="A116" s="1134" t="s">
        <v>1028</v>
      </c>
      <c r="B116" s="1135"/>
      <c r="C116" s="1136"/>
      <c r="D116" s="1038" t="s">
        <v>1497</v>
      </c>
      <c r="E116" s="1039"/>
      <c r="F116" s="1039"/>
      <c r="G116" s="1039"/>
      <c r="H116" s="1039"/>
      <c r="I116" s="1039"/>
      <c r="J116" s="1039"/>
      <c r="K116" s="1040"/>
    </row>
    <row r="117" spans="1:11" ht="15.75" thickBot="1" x14ac:dyDescent="0.3">
      <c r="A117" s="1032" t="s">
        <v>1029</v>
      </c>
      <c r="B117" s="1033"/>
      <c r="C117" s="1033"/>
      <c r="D117" s="1033"/>
      <c r="E117" s="1033"/>
      <c r="F117" s="1033"/>
      <c r="G117" s="1033"/>
      <c r="H117" s="1033"/>
      <c r="I117" s="1033"/>
      <c r="J117" s="1033"/>
      <c r="K117" s="1034"/>
    </row>
    <row r="118" spans="1:11" ht="15.75" thickBot="1" x14ac:dyDescent="0.3">
      <c r="A118" s="629" t="s">
        <v>4</v>
      </c>
      <c r="B118" s="1041" t="s">
        <v>1012</v>
      </c>
      <c r="C118" s="1042"/>
      <c r="D118" s="1043"/>
      <c r="E118" s="1041" t="s">
        <v>1030</v>
      </c>
      <c r="F118" s="1042"/>
      <c r="G118" s="1042"/>
      <c r="H118" s="1042"/>
      <c r="I118" s="1042"/>
      <c r="J118" s="1042"/>
      <c r="K118" s="1043"/>
    </row>
    <row r="119" spans="1:11" ht="29.25" customHeight="1" thickBot="1" x14ac:dyDescent="0.3">
      <c r="A119" s="630">
        <v>1</v>
      </c>
      <c r="B119" s="1020" t="s">
        <v>1031</v>
      </c>
      <c r="C119" s="1021"/>
      <c r="D119" s="1022"/>
      <c r="E119" s="1020" t="s">
        <v>1032</v>
      </c>
      <c r="F119" s="1021"/>
      <c r="G119" s="1021"/>
      <c r="H119" s="1021"/>
      <c r="I119" s="1021"/>
      <c r="J119" s="1021"/>
      <c r="K119" s="1022"/>
    </row>
    <row r="120" spans="1:11" ht="35.25" customHeight="1" thickBot="1" x14ac:dyDescent="0.3">
      <c r="A120" s="630">
        <v>2</v>
      </c>
      <c r="B120" s="1020" t="s">
        <v>1033</v>
      </c>
      <c r="C120" s="1021"/>
      <c r="D120" s="1022"/>
      <c r="E120" s="1023" t="s">
        <v>1034</v>
      </c>
      <c r="F120" s="1024"/>
      <c r="G120" s="1024"/>
      <c r="H120" s="1024"/>
      <c r="I120" s="1024"/>
      <c r="J120" s="1024"/>
      <c r="K120" s="1025"/>
    </row>
    <row r="121" spans="1:11" ht="33" customHeight="1" thickBot="1" x14ac:dyDescent="0.3">
      <c r="A121" s="630">
        <v>3</v>
      </c>
      <c r="B121" s="1020" t="s">
        <v>1035</v>
      </c>
      <c r="C121" s="1021"/>
      <c r="D121" s="1022"/>
      <c r="E121" s="1023" t="s">
        <v>1036</v>
      </c>
      <c r="F121" s="1024"/>
      <c r="G121" s="1024"/>
      <c r="H121" s="1024"/>
      <c r="I121" s="1024"/>
      <c r="J121" s="1024"/>
      <c r="K121" s="1025"/>
    </row>
    <row r="122" spans="1:11" ht="15.75" thickBot="1" x14ac:dyDescent="0.3">
      <c r="A122" s="1026"/>
      <c r="B122" s="1027"/>
      <c r="C122" s="1027"/>
      <c r="D122" s="1027"/>
      <c r="E122" s="1027"/>
      <c r="F122" s="1027"/>
      <c r="G122" s="1027"/>
      <c r="H122" s="1027"/>
      <c r="I122" s="1027"/>
      <c r="J122" s="1027"/>
      <c r="K122" s="1028"/>
    </row>
    <row r="123" spans="1:11" x14ac:dyDescent="0.25">
      <c r="A123" s="691"/>
      <c r="B123" s="692"/>
      <c r="C123" s="692"/>
      <c r="D123" s="692"/>
      <c r="E123" s="692"/>
      <c r="F123" s="692"/>
      <c r="G123" s="692"/>
      <c r="H123" s="692"/>
      <c r="I123" s="692"/>
      <c r="J123" s="692"/>
      <c r="K123" s="693"/>
    </row>
    <row r="124" spans="1:11" ht="15" customHeight="1" x14ac:dyDescent="0.25">
      <c r="A124" s="615"/>
      <c r="D124" s="25"/>
      <c r="F124" s="616"/>
      <c r="G124" s="616"/>
      <c r="I124" s="27" t="s">
        <v>1145</v>
      </c>
      <c r="J124" s="616"/>
      <c r="K124" s="617"/>
    </row>
    <row r="125" spans="1:11" ht="15" customHeight="1" x14ac:dyDescent="0.25">
      <c r="A125" s="615"/>
      <c r="B125" s="28" t="s">
        <v>33</v>
      </c>
      <c r="D125" s="25"/>
      <c r="F125" s="616"/>
      <c r="G125" s="616"/>
      <c r="J125" s="616"/>
      <c r="K125" s="617"/>
    </row>
    <row r="126" spans="1:11" ht="15" customHeight="1" x14ac:dyDescent="0.25">
      <c r="A126" s="615"/>
      <c r="B126" s="28" t="s">
        <v>1623</v>
      </c>
      <c r="D126" s="25"/>
      <c r="F126" s="616"/>
      <c r="G126" s="616"/>
      <c r="I126" s="28" t="s">
        <v>41</v>
      </c>
      <c r="J126" s="616"/>
      <c r="K126" s="617"/>
    </row>
    <row r="127" spans="1:11" ht="15" customHeight="1" x14ac:dyDescent="0.25">
      <c r="A127" s="615"/>
      <c r="B127" s="28"/>
      <c r="D127" s="25"/>
      <c r="F127" s="616"/>
      <c r="G127" s="616"/>
      <c r="I127" s="28"/>
      <c r="J127" s="616"/>
      <c r="K127" s="617"/>
    </row>
    <row r="128" spans="1:11" ht="15.75" x14ac:dyDescent="0.25">
      <c r="A128" s="615"/>
      <c r="B128" s="28"/>
      <c r="D128" s="25"/>
      <c r="F128" s="616"/>
      <c r="G128" s="616"/>
      <c r="I128" s="28"/>
      <c r="J128" s="616"/>
      <c r="K128" s="617"/>
    </row>
    <row r="129" spans="1:11" ht="15.75" x14ac:dyDescent="0.25">
      <c r="A129" s="615"/>
      <c r="B129" s="28"/>
      <c r="D129" s="25"/>
      <c r="F129" s="616"/>
      <c r="G129" s="616"/>
      <c r="I129" s="28"/>
      <c r="J129" s="616"/>
      <c r="K129" s="617"/>
    </row>
    <row r="130" spans="1:11" ht="15.75" x14ac:dyDescent="0.25">
      <c r="A130" s="615"/>
      <c r="B130" s="34" t="s">
        <v>1622</v>
      </c>
      <c r="D130" s="25"/>
      <c r="F130" s="616"/>
      <c r="G130" s="616"/>
      <c r="I130" s="34" t="s">
        <v>1154</v>
      </c>
      <c r="J130" s="616"/>
      <c r="K130" s="617"/>
    </row>
    <row r="131" spans="1:11" ht="15" customHeight="1" x14ac:dyDescent="0.25">
      <c r="A131" s="615"/>
      <c r="B131" s="28" t="s">
        <v>1683</v>
      </c>
      <c r="D131" s="25"/>
      <c r="F131" s="616"/>
      <c r="G131" s="616"/>
      <c r="I131" s="28" t="s">
        <v>1155</v>
      </c>
      <c r="J131" s="616"/>
      <c r="K131" s="617"/>
    </row>
    <row r="132" spans="1:11" ht="15" customHeight="1" x14ac:dyDescent="0.25">
      <c r="A132" s="615"/>
      <c r="B132" s="28"/>
      <c r="D132" s="25"/>
      <c r="F132" s="616"/>
      <c r="G132" s="616"/>
      <c r="I132" s="27"/>
      <c r="J132" s="616"/>
      <c r="K132" s="617"/>
    </row>
    <row r="133" spans="1:11" ht="15.75" x14ac:dyDescent="0.25">
      <c r="A133" s="615"/>
      <c r="D133" s="25"/>
      <c r="F133" s="616"/>
      <c r="G133" s="616"/>
      <c r="J133" s="616"/>
      <c r="K133" s="617"/>
    </row>
    <row r="134" spans="1:11" ht="15.75" x14ac:dyDescent="0.25">
      <c r="A134" s="615"/>
      <c r="B134" s="28" t="s">
        <v>1624</v>
      </c>
      <c r="D134" s="25"/>
      <c r="F134" s="616"/>
      <c r="G134" s="616"/>
      <c r="I134" s="28" t="s">
        <v>1625</v>
      </c>
      <c r="J134" s="616"/>
      <c r="K134" s="617"/>
    </row>
    <row r="135" spans="1:11" ht="15.75" x14ac:dyDescent="0.25">
      <c r="A135" s="615"/>
      <c r="B135" s="28"/>
      <c r="D135" s="25"/>
      <c r="F135" s="616"/>
      <c r="G135" s="616"/>
      <c r="I135" s="28"/>
      <c r="J135" s="616"/>
      <c r="K135" s="617"/>
    </row>
    <row r="136" spans="1:11" ht="15.75" x14ac:dyDescent="0.25">
      <c r="A136" s="615"/>
      <c r="B136" s="28"/>
      <c r="D136" s="25"/>
      <c r="F136" s="616"/>
      <c r="G136" s="616"/>
      <c r="I136" s="28"/>
      <c r="J136" s="616"/>
      <c r="K136" s="617"/>
    </row>
    <row r="137" spans="1:11" ht="15.75" x14ac:dyDescent="0.25">
      <c r="A137" s="615"/>
      <c r="B137" s="28"/>
      <c r="D137" s="25"/>
      <c r="F137" s="616"/>
      <c r="G137" s="616"/>
      <c r="I137" s="28"/>
      <c r="J137" s="616"/>
      <c r="K137" s="617"/>
    </row>
    <row r="138" spans="1:11" ht="15.75" x14ac:dyDescent="0.25">
      <c r="A138" s="615"/>
      <c r="B138" s="34" t="s">
        <v>1156</v>
      </c>
      <c r="D138" s="25"/>
      <c r="F138" s="616"/>
      <c r="G138" s="616"/>
      <c r="I138" s="34" t="s">
        <v>1044</v>
      </c>
      <c r="J138" s="616"/>
      <c r="K138" s="617"/>
    </row>
    <row r="139" spans="1:11" ht="15.75" x14ac:dyDescent="0.25">
      <c r="A139" s="615"/>
      <c r="B139" s="34" t="s">
        <v>1620</v>
      </c>
      <c r="D139" s="25"/>
      <c r="F139" s="616"/>
      <c r="G139" s="616"/>
      <c r="I139" s="28" t="s">
        <v>1621</v>
      </c>
      <c r="J139" s="616"/>
      <c r="K139" s="617"/>
    </row>
    <row r="140" spans="1:11" ht="15.75" thickBot="1" x14ac:dyDescent="0.3">
      <c r="A140" s="607"/>
      <c r="B140" s="608"/>
      <c r="C140" s="608"/>
      <c r="D140" s="608"/>
      <c r="E140" s="608"/>
      <c r="F140" s="608"/>
      <c r="G140" s="608"/>
      <c r="H140" s="608"/>
      <c r="I140" s="608"/>
      <c r="J140" s="608"/>
      <c r="K140" s="377"/>
    </row>
  </sheetData>
  <mergeCells count="166">
    <mergeCell ref="B121:D121"/>
    <mergeCell ref="E121:K121"/>
    <mergeCell ref="A122:K122"/>
    <mergeCell ref="B118:D118"/>
    <mergeCell ref="E118:K118"/>
    <mergeCell ref="B119:D119"/>
    <mergeCell ref="E119:K119"/>
    <mergeCell ref="B120:D120"/>
    <mergeCell ref="E120:K120"/>
    <mergeCell ref="A114:K114"/>
    <mergeCell ref="A115:C115"/>
    <mergeCell ref="D115:K115"/>
    <mergeCell ref="A116:C116"/>
    <mergeCell ref="D116:K116"/>
    <mergeCell ref="A117:K117"/>
    <mergeCell ref="B112:C112"/>
    <mergeCell ref="D112:E112"/>
    <mergeCell ref="F112:G112"/>
    <mergeCell ref="H112:K112"/>
    <mergeCell ref="B113:C113"/>
    <mergeCell ref="D113:E113"/>
    <mergeCell ref="F113:G113"/>
    <mergeCell ref="H113:K113"/>
    <mergeCell ref="A109:K109"/>
    <mergeCell ref="B110:C110"/>
    <mergeCell ref="D110:E110"/>
    <mergeCell ref="F110:G110"/>
    <mergeCell ref="H110:K110"/>
    <mergeCell ref="B111:C111"/>
    <mergeCell ref="D111:E111"/>
    <mergeCell ref="F111:G111"/>
    <mergeCell ref="H111:K111"/>
    <mergeCell ref="C103:K103"/>
    <mergeCell ref="C104:K104"/>
    <mergeCell ref="C105:K105"/>
    <mergeCell ref="C106:K106"/>
    <mergeCell ref="C107:K107"/>
    <mergeCell ref="A108:K108"/>
    <mergeCell ref="C97:K97"/>
    <mergeCell ref="A99:C99"/>
    <mergeCell ref="D99:I99"/>
    <mergeCell ref="C100:K100"/>
    <mergeCell ref="C101:K101"/>
    <mergeCell ref="C102:K102"/>
    <mergeCell ref="C90:K90"/>
    <mergeCell ref="C91:K91"/>
    <mergeCell ref="B93:K93"/>
    <mergeCell ref="C94:K94"/>
    <mergeCell ref="C95:K95"/>
    <mergeCell ref="D96:K96"/>
    <mergeCell ref="C83:K83"/>
    <mergeCell ref="C84:K84"/>
    <mergeCell ref="C85:K85"/>
    <mergeCell ref="B87:K87"/>
    <mergeCell ref="C88:K88"/>
    <mergeCell ref="C89:K89"/>
    <mergeCell ref="B76:K76"/>
    <mergeCell ref="C77:K77"/>
    <mergeCell ref="C78:K78"/>
    <mergeCell ref="C79:K79"/>
    <mergeCell ref="C80:K80"/>
    <mergeCell ref="B82:K82"/>
    <mergeCell ref="B70:K70"/>
    <mergeCell ref="C71:K71"/>
    <mergeCell ref="C72:K72"/>
    <mergeCell ref="C73:K73"/>
    <mergeCell ref="C74:K74"/>
    <mergeCell ref="B75:K75"/>
    <mergeCell ref="D64:K64"/>
    <mergeCell ref="D65:K65"/>
    <mergeCell ref="D66:K66"/>
    <mergeCell ref="C67:K67"/>
    <mergeCell ref="D68:K68"/>
    <mergeCell ref="A69:K69"/>
    <mergeCell ref="D58:K58"/>
    <mergeCell ref="D59:K59"/>
    <mergeCell ref="D60:K60"/>
    <mergeCell ref="C61:K61"/>
    <mergeCell ref="C62:K62"/>
    <mergeCell ref="D63:K63"/>
    <mergeCell ref="A53:K53"/>
    <mergeCell ref="A54:C54"/>
    <mergeCell ref="D54:I54"/>
    <mergeCell ref="A55:K55"/>
    <mergeCell ref="B56:K56"/>
    <mergeCell ref="C57:K57"/>
    <mergeCell ref="C47:K47"/>
    <mergeCell ref="C48:K48"/>
    <mergeCell ref="C49:K49"/>
    <mergeCell ref="C50:K50"/>
    <mergeCell ref="C51:K51"/>
    <mergeCell ref="A52:K52"/>
    <mergeCell ref="A41:K41"/>
    <mergeCell ref="C42:K42"/>
    <mergeCell ref="C43:K43"/>
    <mergeCell ref="C44:K44"/>
    <mergeCell ref="C45:K45"/>
    <mergeCell ref="C46:K46"/>
    <mergeCell ref="A36:K36"/>
    <mergeCell ref="A37:K37"/>
    <mergeCell ref="A38:K38"/>
    <mergeCell ref="A39:C39"/>
    <mergeCell ref="D39:K39"/>
    <mergeCell ref="A40:C40"/>
    <mergeCell ref="D40:I40"/>
    <mergeCell ref="A33:C33"/>
    <mergeCell ref="D33:K33"/>
    <mergeCell ref="A34:C34"/>
    <mergeCell ref="D34:K34"/>
    <mergeCell ref="A35:C35"/>
    <mergeCell ref="D35:K35"/>
    <mergeCell ref="A26:K26"/>
    <mergeCell ref="A27:K27"/>
    <mergeCell ref="A28:C32"/>
    <mergeCell ref="D28:K28"/>
    <mergeCell ref="E29:K29"/>
    <mergeCell ref="E30:K30"/>
    <mergeCell ref="E31:K31"/>
    <mergeCell ref="E32:K32"/>
    <mergeCell ref="A23:C23"/>
    <mergeCell ref="D23:K23"/>
    <mergeCell ref="A24:C24"/>
    <mergeCell ref="D24:K24"/>
    <mergeCell ref="A25:C25"/>
    <mergeCell ref="D25:K25"/>
    <mergeCell ref="A14:C22"/>
    <mergeCell ref="D14:K14"/>
    <mergeCell ref="E15:K15"/>
    <mergeCell ref="E16:K16"/>
    <mergeCell ref="E17:K17"/>
    <mergeCell ref="E18:K18"/>
    <mergeCell ref="E19:K19"/>
    <mergeCell ref="E20:K20"/>
    <mergeCell ref="D21:K21"/>
    <mergeCell ref="E22:K22"/>
    <mergeCell ref="A10:C10"/>
    <mergeCell ref="D10:K10"/>
    <mergeCell ref="A11:C13"/>
    <mergeCell ref="D11:K11"/>
    <mergeCell ref="D12:K12"/>
    <mergeCell ref="D13:K13"/>
    <mergeCell ref="A6:B6"/>
    <mergeCell ref="C6:F6"/>
    <mergeCell ref="G6:H6"/>
    <mergeCell ref="I6:K6"/>
    <mergeCell ref="A7:K7"/>
    <mergeCell ref="A8:C8"/>
    <mergeCell ref="D8:K9"/>
    <mergeCell ref="A9:C9"/>
    <mergeCell ref="A4:B4"/>
    <mergeCell ref="C4:F4"/>
    <mergeCell ref="G4:H4"/>
    <mergeCell ref="I4:K4"/>
    <mergeCell ref="A5:B5"/>
    <mergeCell ref="C5:F5"/>
    <mergeCell ref="G5:H5"/>
    <mergeCell ref="I5:K5"/>
    <mergeCell ref="A1:K1"/>
    <mergeCell ref="A2:B2"/>
    <mergeCell ref="C2:F2"/>
    <mergeCell ref="G2:H2"/>
    <mergeCell ref="I2:K2"/>
    <mergeCell ref="A3:B3"/>
    <mergeCell ref="C3:F3"/>
    <mergeCell ref="G3:H3"/>
    <mergeCell ref="I3:K3"/>
  </mergeCells>
  <printOptions horizontalCentered="1"/>
  <pageMargins left="0.7" right="0.7" top="0.75" bottom="0.75" header="0.3" footer="0.3"/>
  <pageSetup paperSize="9" scale="85" fitToHeight="0"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0FCCB-370B-4D92-BA44-F52326745226}">
  <sheetPr>
    <tabColor theme="0"/>
    <pageSetUpPr fitToPage="1"/>
  </sheetPr>
  <dimension ref="A1:K141"/>
  <sheetViews>
    <sheetView topLeftCell="A117" workbookViewId="0">
      <selection activeCell="B131" sqref="B131:B132"/>
    </sheetView>
  </sheetViews>
  <sheetFormatPr defaultRowHeight="15" x14ac:dyDescent="0.25"/>
  <sheetData>
    <row r="1" spans="1:11" ht="15.75" thickBot="1" x14ac:dyDescent="0.3">
      <c r="A1" s="1032" t="s">
        <v>977</v>
      </c>
      <c r="B1" s="1033"/>
      <c r="C1" s="1033"/>
      <c r="D1" s="1033"/>
      <c r="E1" s="1033"/>
      <c r="F1" s="1033"/>
      <c r="G1" s="1033"/>
      <c r="H1" s="1033"/>
      <c r="I1" s="1033"/>
      <c r="J1" s="1033"/>
      <c r="K1" s="1034"/>
    </row>
    <row r="2" spans="1:11" ht="15.75" thickBot="1" x14ac:dyDescent="0.3">
      <c r="A2" s="1035" t="s">
        <v>313</v>
      </c>
      <c r="B2" s="1037"/>
      <c r="C2" s="1020" t="s">
        <v>871</v>
      </c>
      <c r="D2" s="1021"/>
      <c r="E2" s="1021"/>
      <c r="F2" s="1022"/>
      <c r="G2" s="1035" t="s">
        <v>978</v>
      </c>
      <c r="H2" s="1037"/>
      <c r="I2" s="1020" t="s">
        <v>979</v>
      </c>
      <c r="J2" s="1021"/>
      <c r="K2" s="1022"/>
    </row>
    <row r="3" spans="1:11" ht="15.75" thickBot="1" x14ac:dyDescent="0.3">
      <c r="A3" s="1035" t="s">
        <v>980</v>
      </c>
      <c r="B3" s="1037"/>
      <c r="C3" s="1020" t="s">
        <v>981</v>
      </c>
      <c r="D3" s="1021"/>
      <c r="E3" s="1021"/>
      <c r="F3" s="1022"/>
      <c r="G3" s="1035" t="s">
        <v>982</v>
      </c>
      <c r="H3" s="1037"/>
      <c r="I3" s="1020" t="s">
        <v>983</v>
      </c>
      <c r="J3" s="1021"/>
      <c r="K3" s="1022"/>
    </row>
    <row r="4" spans="1:11" ht="15.75" thickBot="1" x14ac:dyDescent="0.3">
      <c r="A4" s="1035" t="s">
        <v>984</v>
      </c>
      <c r="B4" s="1037"/>
      <c r="C4" s="1107" t="s">
        <v>1408</v>
      </c>
      <c r="D4" s="1122"/>
      <c r="E4" s="1122"/>
      <c r="F4" s="1123"/>
      <c r="G4" s="1035" t="s">
        <v>38</v>
      </c>
      <c r="H4" s="1037"/>
      <c r="I4" s="1020" t="s">
        <v>753</v>
      </c>
      <c r="J4" s="1021"/>
      <c r="K4" s="1022"/>
    </row>
    <row r="5" spans="1:11" ht="15.75" thickBot="1" x14ac:dyDescent="0.3">
      <c r="A5" s="1035" t="s">
        <v>315</v>
      </c>
      <c r="B5" s="1037"/>
      <c r="C5" s="1020" t="s">
        <v>1501</v>
      </c>
      <c r="D5" s="1021"/>
      <c r="E5" s="1021"/>
      <c r="F5" s="1022"/>
      <c r="G5" s="1035" t="s">
        <v>985</v>
      </c>
      <c r="H5" s="1037"/>
      <c r="I5" s="1020" t="s">
        <v>1154</v>
      </c>
      <c r="J5" s="1021"/>
      <c r="K5" s="1022"/>
    </row>
    <row r="6" spans="1:11" ht="15.75" thickBot="1" x14ac:dyDescent="0.3">
      <c r="A6" s="1035" t="s">
        <v>986</v>
      </c>
      <c r="B6" s="1037"/>
      <c r="C6" s="1020" t="s">
        <v>987</v>
      </c>
      <c r="D6" s="1021"/>
      <c r="E6" s="1021"/>
      <c r="F6" s="1022"/>
      <c r="G6" s="1035" t="s">
        <v>988</v>
      </c>
      <c r="H6" s="1037"/>
      <c r="I6" s="1020" t="s">
        <v>1154</v>
      </c>
      <c r="J6" s="1021"/>
      <c r="K6" s="1022"/>
    </row>
    <row r="7" spans="1:11" ht="15.75" thickBot="1" x14ac:dyDescent="0.3">
      <c r="A7" s="1020"/>
      <c r="B7" s="1021"/>
      <c r="C7" s="1021"/>
      <c r="D7" s="1021"/>
      <c r="E7" s="1021"/>
      <c r="F7" s="1021"/>
      <c r="G7" s="1021"/>
      <c r="H7" s="1021"/>
      <c r="I7" s="1021"/>
      <c r="J7" s="1021"/>
      <c r="K7" s="1022"/>
    </row>
    <row r="8" spans="1:11" x14ac:dyDescent="0.25">
      <c r="A8" s="1100" t="s">
        <v>989</v>
      </c>
      <c r="B8" s="1101"/>
      <c r="C8" s="1102"/>
      <c r="D8" s="1094" t="s">
        <v>1541</v>
      </c>
      <c r="E8" s="1057"/>
      <c r="F8" s="1057"/>
      <c r="G8" s="1057"/>
      <c r="H8" s="1057"/>
      <c r="I8" s="1057"/>
      <c r="J8" s="1057"/>
      <c r="K8" s="1058"/>
    </row>
    <row r="9" spans="1:11" ht="32.25" customHeight="1" thickBot="1" x14ac:dyDescent="0.3">
      <c r="A9" s="1104" t="s">
        <v>990</v>
      </c>
      <c r="B9" s="1105"/>
      <c r="C9" s="1106"/>
      <c r="D9" s="1103"/>
      <c r="E9" s="1098"/>
      <c r="F9" s="1098"/>
      <c r="G9" s="1098"/>
      <c r="H9" s="1098"/>
      <c r="I9" s="1098"/>
      <c r="J9" s="1098"/>
      <c r="K9" s="1099"/>
    </row>
    <row r="10" spans="1:11" ht="29.25" customHeight="1" thickBot="1" x14ac:dyDescent="0.3">
      <c r="A10" s="1035" t="s">
        <v>991</v>
      </c>
      <c r="B10" s="1036"/>
      <c r="C10" s="1037"/>
      <c r="D10" s="1076" t="s">
        <v>1542</v>
      </c>
      <c r="E10" s="1077"/>
      <c r="F10" s="1077"/>
      <c r="G10" s="1077"/>
      <c r="H10" s="1077"/>
      <c r="I10" s="1077"/>
      <c r="J10" s="1077"/>
      <c r="K10" s="1078"/>
    </row>
    <row r="11" spans="1:11" x14ac:dyDescent="0.25">
      <c r="A11" s="1085" t="s">
        <v>992</v>
      </c>
      <c r="B11" s="1086"/>
      <c r="C11" s="1087"/>
      <c r="D11" s="1094" t="s">
        <v>993</v>
      </c>
      <c r="E11" s="1057"/>
      <c r="F11" s="1057"/>
      <c r="G11" s="1057"/>
      <c r="H11" s="1057"/>
      <c r="I11" s="1057"/>
      <c r="J11" s="1057"/>
      <c r="K11" s="1058"/>
    </row>
    <row r="12" spans="1:11" x14ac:dyDescent="0.25">
      <c r="A12" s="1088"/>
      <c r="B12" s="1089"/>
      <c r="C12" s="1090"/>
      <c r="D12" s="1097" t="s">
        <v>994</v>
      </c>
      <c r="E12" s="1044"/>
      <c r="F12" s="1044"/>
      <c r="G12" s="1044"/>
      <c r="H12" s="1044"/>
      <c r="I12" s="1044"/>
      <c r="J12" s="1044"/>
      <c r="K12" s="1045"/>
    </row>
    <row r="13" spans="1:11" ht="15.75" thickBot="1" x14ac:dyDescent="0.3">
      <c r="A13" s="1091"/>
      <c r="B13" s="1092"/>
      <c r="C13" s="1093"/>
      <c r="D13" s="1103" t="s">
        <v>995</v>
      </c>
      <c r="E13" s="1098"/>
      <c r="F13" s="1098"/>
      <c r="G13" s="1098"/>
      <c r="H13" s="1098"/>
      <c r="I13" s="1098"/>
      <c r="J13" s="1098"/>
      <c r="K13" s="1099"/>
    </row>
    <row r="14" spans="1:11" x14ac:dyDescent="0.25">
      <c r="A14" s="1085" t="s">
        <v>996</v>
      </c>
      <c r="B14" s="1086"/>
      <c r="C14" s="1087"/>
      <c r="D14" s="1094" t="s">
        <v>997</v>
      </c>
      <c r="E14" s="1057"/>
      <c r="F14" s="1057"/>
      <c r="G14" s="1057"/>
      <c r="H14" s="1057"/>
      <c r="I14" s="1057"/>
      <c r="J14" s="1057"/>
      <c r="K14" s="1058"/>
    </row>
    <row r="15" spans="1:11" x14ac:dyDescent="0.25">
      <c r="A15" s="1088"/>
      <c r="B15" s="1089"/>
      <c r="C15" s="1090"/>
      <c r="D15" s="621">
        <v>1</v>
      </c>
      <c r="E15" s="1044" t="s">
        <v>1457</v>
      </c>
      <c r="F15" s="1044"/>
      <c r="G15" s="1044"/>
      <c r="H15" s="1044"/>
      <c r="I15" s="1044"/>
      <c r="J15" s="1044"/>
      <c r="K15" s="1045"/>
    </row>
    <row r="16" spans="1:11" x14ac:dyDescent="0.25">
      <c r="A16" s="1088"/>
      <c r="B16" s="1089"/>
      <c r="C16" s="1090"/>
      <c r="D16" s="621">
        <v>2</v>
      </c>
      <c r="E16" s="1044" t="s">
        <v>1458</v>
      </c>
      <c r="F16" s="1044"/>
      <c r="G16" s="1044"/>
      <c r="H16" s="1044"/>
      <c r="I16" s="1044"/>
      <c r="J16" s="1044"/>
      <c r="K16" s="1045"/>
    </row>
    <row r="17" spans="1:11" x14ac:dyDescent="0.25">
      <c r="A17" s="1088"/>
      <c r="B17" s="1089"/>
      <c r="C17" s="1090"/>
      <c r="D17" s="621">
        <v>3</v>
      </c>
      <c r="E17" s="1044" t="s">
        <v>1459</v>
      </c>
      <c r="F17" s="1044"/>
      <c r="G17" s="1044"/>
      <c r="H17" s="1044"/>
      <c r="I17" s="1044"/>
      <c r="J17" s="1044"/>
      <c r="K17" s="1045"/>
    </row>
    <row r="18" spans="1:11" x14ac:dyDescent="0.25">
      <c r="A18" s="1088"/>
      <c r="B18" s="1089"/>
      <c r="C18" s="1090"/>
      <c r="D18" s="621">
        <v>4</v>
      </c>
      <c r="E18" s="1044" t="s">
        <v>1039</v>
      </c>
      <c r="F18" s="1044"/>
      <c r="G18" s="1044"/>
      <c r="H18" s="1044"/>
      <c r="I18" s="1044"/>
      <c r="J18" s="1044"/>
      <c r="K18" s="1045"/>
    </row>
    <row r="19" spans="1:11" x14ac:dyDescent="0.25">
      <c r="A19" s="1088"/>
      <c r="B19" s="1089"/>
      <c r="C19" s="1090"/>
      <c r="D19" s="621">
        <v>5</v>
      </c>
      <c r="E19" s="1044" t="s">
        <v>1460</v>
      </c>
      <c r="F19" s="1044"/>
      <c r="G19" s="1044"/>
      <c r="H19" s="1044"/>
      <c r="I19" s="1044"/>
      <c r="J19" s="1044"/>
      <c r="K19" s="1045"/>
    </row>
    <row r="20" spans="1:11" x14ac:dyDescent="0.25">
      <c r="A20" s="1088"/>
      <c r="B20" s="1089"/>
      <c r="C20" s="1090"/>
      <c r="D20" s="621">
        <v>6</v>
      </c>
      <c r="E20" s="1044" t="s">
        <v>1461</v>
      </c>
      <c r="F20" s="1044"/>
      <c r="G20" s="1044"/>
      <c r="H20" s="1044"/>
      <c r="I20" s="1044"/>
      <c r="J20" s="1044"/>
      <c r="K20" s="1045"/>
    </row>
    <row r="21" spans="1:11" x14ac:dyDescent="0.25">
      <c r="A21" s="1088"/>
      <c r="B21" s="1089"/>
      <c r="C21" s="1090"/>
      <c r="D21" s="1097" t="s">
        <v>998</v>
      </c>
      <c r="E21" s="1044"/>
      <c r="F21" s="1044"/>
      <c r="G21" s="1044"/>
      <c r="H21" s="1044"/>
      <c r="I21" s="1044"/>
      <c r="J21" s="1044"/>
      <c r="K21" s="1045"/>
    </row>
    <row r="22" spans="1:11" ht="15.75" thickBot="1" x14ac:dyDescent="0.3">
      <c r="A22" s="1091"/>
      <c r="B22" s="1092"/>
      <c r="C22" s="1093"/>
      <c r="D22" s="626">
        <v>1</v>
      </c>
      <c r="E22" s="1098" t="s">
        <v>1462</v>
      </c>
      <c r="F22" s="1098"/>
      <c r="G22" s="1098"/>
      <c r="H22" s="1098"/>
      <c r="I22" s="1098"/>
      <c r="J22" s="1098"/>
      <c r="K22" s="1099"/>
    </row>
    <row r="23" spans="1:11" ht="30" customHeight="1" thickBot="1" x14ac:dyDescent="0.3">
      <c r="A23" s="1035" t="s">
        <v>999</v>
      </c>
      <c r="B23" s="1036"/>
      <c r="C23" s="1037"/>
      <c r="D23" s="1076" t="s">
        <v>1410</v>
      </c>
      <c r="E23" s="1077"/>
      <c r="F23" s="1077"/>
      <c r="G23" s="1077"/>
      <c r="H23" s="1077"/>
      <c r="I23" s="1077"/>
      <c r="J23" s="1077"/>
      <c r="K23" s="1078"/>
    </row>
    <row r="24" spans="1:11" ht="15.75" thickBot="1" x14ac:dyDescent="0.3">
      <c r="A24" s="1035" t="s">
        <v>629</v>
      </c>
      <c r="B24" s="1036"/>
      <c r="C24" s="1037"/>
      <c r="D24" s="1082" t="s">
        <v>1421</v>
      </c>
      <c r="E24" s="1083"/>
      <c r="F24" s="1083"/>
      <c r="G24" s="1083"/>
      <c r="H24" s="1083"/>
      <c r="I24" s="1083"/>
      <c r="J24" s="1083"/>
      <c r="K24" s="1084"/>
    </row>
    <row r="25" spans="1:11" ht="15.75" thickBot="1" x14ac:dyDescent="0.3">
      <c r="A25" s="1035" t="s">
        <v>1000</v>
      </c>
      <c r="B25" s="1036"/>
      <c r="C25" s="1037"/>
      <c r="D25" s="1076" t="s">
        <v>1420</v>
      </c>
      <c r="E25" s="1077"/>
      <c r="F25" s="1077"/>
      <c r="G25" s="1077"/>
      <c r="H25" s="1077"/>
      <c r="I25" s="1077"/>
      <c r="J25" s="1077"/>
      <c r="K25" s="1078"/>
    </row>
    <row r="26" spans="1:11" ht="15.75" thickBot="1" x14ac:dyDescent="0.3">
      <c r="A26" s="1020"/>
      <c r="B26" s="1021"/>
      <c r="C26" s="1021"/>
      <c r="D26" s="1021"/>
      <c r="E26" s="1021"/>
      <c r="F26" s="1021"/>
      <c r="G26" s="1021"/>
      <c r="H26" s="1021"/>
      <c r="I26" s="1021"/>
      <c r="J26" s="1021"/>
      <c r="K26" s="1022"/>
    </row>
    <row r="27" spans="1:11" ht="15.75" thickBot="1" x14ac:dyDescent="0.3">
      <c r="A27" s="1032" t="s">
        <v>1001</v>
      </c>
      <c r="B27" s="1033"/>
      <c r="C27" s="1033"/>
      <c r="D27" s="1033"/>
      <c r="E27" s="1033"/>
      <c r="F27" s="1033"/>
      <c r="G27" s="1033"/>
      <c r="H27" s="1033"/>
      <c r="I27" s="1033"/>
      <c r="J27" s="1033"/>
      <c r="K27" s="1034"/>
    </row>
    <row r="28" spans="1:11" x14ac:dyDescent="0.25">
      <c r="A28" s="1085" t="s">
        <v>627</v>
      </c>
      <c r="B28" s="1086"/>
      <c r="C28" s="1087"/>
      <c r="D28" s="1094" t="s">
        <v>1463</v>
      </c>
      <c r="E28" s="1057"/>
      <c r="F28" s="1057"/>
      <c r="G28" s="1057"/>
      <c r="H28" s="1057"/>
      <c r="I28" s="1057"/>
      <c r="J28" s="1057"/>
      <c r="K28" s="1058"/>
    </row>
    <row r="29" spans="1:11" ht="30.75" customHeight="1" x14ac:dyDescent="0.25">
      <c r="A29" s="1088"/>
      <c r="B29" s="1089"/>
      <c r="C29" s="1090"/>
      <c r="D29" s="627">
        <v>1</v>
      </c>
      <c r="E29" s="1095" t="s">
        <v>1543</v>
      </c>
      <c r="F29" s="1095"/>
      <c r="G29" s="1095"/>
      <c r="H29" s="1095"/>
      <c r="I29" s="1095"/>
      <c r="J29" s="1095"/>
      <c r="K29" s="1096"/>
    </row>
    <row r="30" spans="1:11" ht="30" customHeight="1" x14ac:dyDescent="0.25">
      <c r="A30" s="1088"/>
      <c r="B30" s="1089"/>
      <c r="C30" s="1090"/>
      <c r="D30" s="627">
        <v>2</v>
      </c>
      <c r="E30" s="1095" t="s">
        <v>1544</v>
      </c>
      <c r="F30" s="1095"/>
      <c r="G30" s="1095"/>
      <c r="H30" s="1095"/>
      <c r="I30" s="1095"/>
      <c r="J30" s="1095"/>
      <c r="K30" s="1096"/>
    </row>
    <row r="31" spans="1:11" ht="30" customHeight="1" x14ac:dyDescent="0.25">
      <c r="A31" s="1088"/>
      <c r="B31" s="1089"/>
      <c r="C31" s="1090"/>
      <c r="D31" s="627">
        <v>3</v>
      </c>
      <c r="E31" s="1095" t="s">
        <v>1545</v>
      </c>
      <c r="F31" s="1095"/>
      <c r="G31" s="1095"/>
      <c r="H31" s="1095"/>
      <c r="I31" s="1095"/>
      <c r="J31" s="1095"/>
      <c r="K31" s="1096"/>
    </row>
    <row r="32" spans="1:11" ht="44.25" customHeight="1" thickBot="1" x14ac:dyDescent="0.3">
      <c r="A32" s="1091"/>
      <c r="B32" s="1092"/>
      <c r="C32" s="1093"/>
      <c r="D32" s="627">
        <v>4</v>
      </c>
      <c r="E32" s="1095" t="s">
        <v>1546</v>
      </c>
      <c r="F32" s="1095"/>
      <c r="G32" s="1095"/>
      <c r="H32" s="1095"/>
      <c r="I32" s="1095"/>
      <c r="J32" s="1095"/>
      <c r="K32" s="1096"/>
    </row>
    <row r="33" spans="1:11" ht="15.75" thickBot="1" x14ac:dyDescent="0.3">
      <c r="A33" s="1035" t="s">
        <v>1002</v>
      </c>
      <c r="B33" s="1036"/>
      <c r="C33" s="1037"/>
      <c r="D33" s="1076" t="s">
        <v>1547</v>
      </c>
      <c r="E33" s="1077"/>
      <c r="F33" s="1077"/>
      <c r="G33" s="1077"/>
      <c r="H33" s="1077"/>
      <c r="I33" s="1077"/>
      <c r="J33" s="1077"/>
      <c r="K33" s="1078"/>
    </row>
    <row r="34" spans="1:11" ht="15.75" thickBot="1" x14ac:dyDescent="0.3">
      <c r="A34" s="1035" t="s">
        <v>1003</v>
      </c>
      <c r="B34" s="1036"/>
      <c r="C34" s="1037"/>
      <c r="D34" s="1076" t="s">
        <v>1004</v>
      </c>
      <c r="E34" s="1077"/>
      <c r="F34" s="1077"/>
      <c r="G34" s="1077"/>
      <c r="H34" s="1077"/>
      <c r="I34" s="1077"/>
      <c r="J34" s="1077"/>
      <c r="K34" s="1078"/>
    </row>
    <row r="35" spans="1:11" ht="60" customHeight="1" thickBot="1" x14ac:dyDescent="0.3">
      <c r="A35" s="1035" t="s">
        <v>626</v>
      </c>
      <c r="B35" s="1036"/>
      <c r="C35" s="1037"/>
      <c r="D35" s="1079" t="s">
        <v>1548</v>
      </c>
      <c r="E35" s="1080"/>
      <c r="F35" s="1080"/>
      <c r="G35" s="1080"/>
      <c r="H35" s="1080"/>
      <c r="I35" s="1080"/>
      <c r="J35" s="1080"/>
      <c r="K35" s="1081"/>
    </row>
    <row r="36" spans="1:11" ht="15.75" thickBot="1" x14ac:dyDescent="0.3">
      <c r="A36" s="1020"/>
      <c r="B36" s="1021"/>
      <c r="C36" s="1021"/>
      <c r="D36" s="1021"/>
      <c r="E36" s="1021"/>
      <c r="F36" s="1021"/>
      <c r="G36" s="1021"/>
      <c r="H36" s="1021"/>
      <c r="I36" s="1021"/>
      <c r="J36" s="1021"/>
      <c r="K36" s="1022"/>
    </row>
    <row r="37" spans="1:11" ht="15.75" thickBot="1" x14ac:dyDescent="0.3">
      <c r="A37" s="1032" t="s">
        <v>1005</v>
      </c>
      <c r="B37" s="1033"/>
      <c r="C37" s="1033"/>
      <c r="D37" s="1033"/>
      <c r="E37" s="1033"/>
      <c r="F37" s="1033"/>
      <c r="G37" s="1033"/>
      <c r="H37" s="1033"/>
      <c r="I37" s="1033"/>
      <c r="J37" s="1033"/>
      <c r="K37" s="1034"/>
    </row>
    <row r="38" spans="1:11" ht="15.75" thickBot="1" x14ac:dyDescent="0.3">
      <c r="A38" s="1035" t="s">
        <v>1672</v>
      </c>
      <c r="B38" s="1036"/>
      <c r="C38" s="1036"/>
      <c r="D38" s="1036"/>
      <c r="E38" s="1036"/>
      <c r="F38" s="1036"/>
      <c r="G38" s="1036"/>
      <c r="H38" s="1036"/>
      <c r="I38" s="1036"/>
      <c r="J38" s="1036"/>
      <c r="K38" s="1037"/>
    </row>
    <row r="39" spans="1:11" ht="15.75" thickBot="1" x14ac:dyDescent="0.3">
      <c r="A39" s="1035" t="s">
        <v>1006</v>
      </c>
      <c r="B39" s="1036"/>
      <c r="C39" s="1037"/>
      <c r="D39" s="1020" t="s">
        <v>1412</v>
      </c>
      <c r="E39" s="1021"/>
      <c r="F39" s="1021"/>
      <c r="G39" s="1021"/>
      <c r="H39" s="1021"/>
      <c r="I39" s="1021"/>
      <c r="J39" s="1021"/>
      <c r="K39" s="1022"/>
    </row>
    <row r="40" spans="1:11" ht="30.75" thickBot="1" x14ac:dyDescent="0.3">
      <c r="A40" s="1035" t="s">
        <v>1007</v>
      </c>
      <c r="B40" s="1036"/>
      <c r="C40" s="1037"/>
      <c r="D40" s="1070"/>
      <c r="E40" s="1071"/>
      <c r="F40" s="1071"/>
      <c r="G40" s="1071"/>
      <c r="H40" s="1071"/>
      <c r="I40" s="1072"/>
      <c r="J40" s="378" t="s">
        <v>1008</v>
      </c>
      <c r="K40" s="631" t="s">
        <v>1417</v>
      </c>
    </row>
    <row r="41" spans="1:11" x14ac:dyDescent="0.25">
      <c r="A41" s="1073"/>
      <c r="B41" s="1074"/>
      <c r="C41" s="1074"/>
      <c r="D41" s="1074"/>
      <c r="E41" s="1074"/>
      <c r="F41" s="1074"/>
      <c r="G41" s="1074"/>
      <c r="H41" s="1074"/>
      <c r="I41" s="1074"/>
      <c r="J41" s="1074"/>
      <c r="K41" s="1075"/>
    </row>
    <row r="42" spans="1:11" ht="30.75" customHeight="1" x14ac:dyDescent="0.25">
      <c r="A42" s="632">
        <v>1</v>
      </c>
      <c r="B42" s="624"/>
      <c r="C42" s="1044" t="s">
        <v>1441</v>
      </c>
      <c r="D42" s="1044"/>
      <c r="E42" s="1044"/>
      <c r="F42" s="1044"/>
      <c r="G42" s="1044"/>
      <c r="H42" s="1044"/>
      <c r="I42" s="1044"/>
      <c r="J42" s="1044"/>
      <c r="K42" s="1045"/>
    </row>
    <row r="43" spans="1:11" x14ac:dyDescent="0.25">
      <c r="A43" s="628">
        <v>2</v>
      </c>
      <c r="B43" s="624"/>
      <c r="C43" s="1044" t="s">
        <v>1432</v>
      </c>
      <c r="D43" s="1044"/>
      <c r="E43" s="1044"/>
      <c r="F43" s="1044"/>
      <c r="G43" s="1044"/>
      <c r="H43" s="1044"/>
      <c r="I43" s="1044"/>
      <c r="J43" s="1044"/>
      <c r="K43" s="1045"/>
    </row>
    <row r="44" spans="1:11" x14ac:dyDescent="0.25">
      <c r="A44" s="628">
        <v>3</v>
      </c>
      <c r="B44" s="624"/>
      <c r="C44" s="1044" t="s">
        <v>1438</v>
      </c>
      <c r="D44" s="1044"/>
      <c r="E44" s="1044"/>
      <c r="F44" s="1044"/>
      <c r="G44" s="1044"/>
      <c r="H44" s="1044"/>
      <c r="I44" s="1044"/>
      <c r="J44" s="1044"/>
      <c r="K44" s="1045"/>
    </row>
    <row r="45" spans="1:11" x14ac:dyDescent="0.25">
      <c r="A45" s="628">
        <v>4</v>
      </c>
      <c r="B45" s="624"/>
      <c r="C45" s="1044" t="s">
        <v>1433</v>
      </c>
      <c r="D45" s="1044"/>
      <c r="E45" s="1044"/>
      <c r="F45" s="1044"/>
      <c r="G45" s="1044"/>
      <c r="H45" s="1044"/>
      <c r="I45" s="1044"/>
      <c r="J45" s="1044"/>
      <c r="K45" s="1045"/>
    </row>
    <row r="46" spans="1:11" x14ac:dyDescent="0.25">
      <c r="A46" s="628">
        <v>5</v>
      </c>
      <c r="B46" s="150"/>
      <c r="C46" s="1044" t="s">
        <v>1439</v>
      </c>
      <c r="D46" s="1044"/>
      <c r="E46" s="1044"/>
      <c r="F46" s="1044"/>
      <c r="G46" s="1044"/>
      <c r="H46" s="1044"/>
      <c r="I46" s="1044"/>
      <c r="J46" s="1044"/>
      <c r="K46" s="1045"/>
    </row>
    <row r="47" spans="1:11" x14ac:dyDescent="0.25">
      <c r="A47" s="628">
        <v>6</v>
      </c>
      <c r="B47" s="624"/>
      <c r="C47" s="1044" t="s">
        <v>1442</v>
      </c>
      <c r="D47" s="1044"/>
      <c r="E47" s="1044"/>
      <c r="F47" s="1044"/>
      <c r="G47" s="1044"/>
      <c r="H47" s="1044"/>
      <c r="I47" s="1044"/>
      <c r="J47" s="1044"/>
      <c r="K47" s="1045"/>
    </row>
    <row r="48" spans="1:11" x14ac:dyDescent="0.25">
      <c r="A48" s="628">
        <v>7</v>
      </c>
      <c r="B48" s="624"/>
      <c r="C48" s="1044" t="s">
        <v>1443</v>
      </c>
      <c r="D48" s="1044"/>
      <c r="E48" s="1044"/>
      <c r="F48" s="1044"/>
      <c r="G48" s="1044"/>
      <c r="H48" s="1044"/>
      <c r="I48" s="1044"/>
      <c r="J48" s="1044"/>
      <c r="K48" s="1045"/>
    </row>
    <row r="49" spans="1:11" x14ac:dyDescent="0.25">
      <c r="A49" s="628">
        <v>8</v>
      </c>
      <c r="B49" s="624"/>
      <c r="C49" s="1044" t="s">
        <v>1434</v>
      </c>
      <c r="D49" s="1044"/>
      <c r="E49" s="1044"/>
      <c r="F49" s="1044"/>
      <c r="G49" s="1044"/>
      <c r="H49" s="1044"/>
      <c r="I49" s="1044"/>
      <c r="J49" s="1044"/>
      <c r="K49" s="1045"/>
    </row>
    <row r="50" spans="1:11" x14ac:dyDescent="0.25">
      <c r="A50" s="628" t="s">
        <v>1435</v>
      </c>
      <c r="B50" s="624" t="s">
        <v>1437</v>
      </c>
      <c r="C50" s="1044" t="s">
        <v>1549</v>
      </c>
      <c r="D50" s="1044"/>
      <c r="E50" s="1044"/>
      <c r="F50" s="1044"/>
      <c r="G50" s="1044"/>
      <c r="H50" s="1044"/>
      <c r="I50" s="1044"/>
      <c r="J50" s="1044"/>
      <c r="K50" s="1045"/>
    </row>
    <row r="51" spans="1:11" x14ac:dyDescent="0.25">
      <c r="A51" s="628">
        <v>9</v>
      </c>
      <c r="B51" s="242"/>
      <c r="C51" s="1044" t="s">
        <v>1440</v>
      </c>
      <c r="D51" s="1044"/>
      <c r="E51" s="1044"/>
      <c r="F51" s="1044"/>
      <c r="G51" s="1044"/>
      <c r="H51" s="1044"/>
      <c r="I51" s="1044"/>
      <c r="J51" s="1044"/>
      <c r="K51" s="1045"/>
    </row>
    <row r="52" spans="1:11" x14ac:dyDescent="0.25">
      <c r="A52" s="1067"/>
      <c r="B52" s="1068"/>
      <c r="C52" s="1068"/>
      <c r="D52" s="1068"/>
      <c r="E52" s="1068"/>
      <c r="F52" s="1068"/>
      <c r="G52" s="1068"/>
      <c r="H52" s="1068"/>
      <c r="I52" s="1068"/>
      <c r="J52" s="1068"/>
      <c r="K52" s="1069"/>
    </row>
    <row r="53" spans="1:11" ht="15.75" thickBot="1" x14ac:dyDescent="0.3">
      <c r="A53" s="1046"/>
      <c r="B53" s="1047"/>
      <c r="C53" s="1047"/>
      <c r="D53" s="1047"/>
      <c r="E53" s="1047"/>
      <c r="F53" s="1047"/>
      <c r="G53" s="1047"/>
      <c r="H53" s="1047"/>
      <c r="I53" s="1047"/>
      <c r="J53" s="1047"/>
      <c r="K53" s="1048"/>
    </row>
    <row r="54" spans="1:11" ht="30.75" thickBot="1" x14ac:dyDescent="0.3">
      <c r="A54" s="1054" t="s">
        <v>1009</v>
      </c>
      <c r="B54" s="1055"/>
      <c r="C54" s="1056"/>
      <c r="D54" s="1020"/>
      <c r="E54" s="1021"/>
      <c r="F54" s="1021"/>
      <c r="G54" s="1021"/>
      <c r="H54" s="1021"/>
      <c r="I54" s="1022"/>
      <c r="J54" s="378" t="s">
        <v>1008</v>
      </c>
      <c r="K54" s="631" t="s">
        <v>1415</v>
      </c>
    </row>
    <row r="55" spans="1:11" x14ac:dyDescent="0.25">
      <c r="A55" s="1064"/>
      <c r="B55" s="1065"/>
      <c r="C55" s="1065"/>
      <c r="D55" s="1065"/>
      <c r="E55" s="1065"/>
      <c r="F55" s="1065"/>
      <c r="G55" s="1065"/>
      <c r="H55" s="1065"/>
      <c r="I55" s="1065"/>
      <c r="J55" s="1065"/>
      <c r="K55" s="1066"/>
    </row>
    <row r="56" spans="1:11" x14ac:dyDescent="0.25">
      <c r="A56" s="620" t="s">
        <v>1</v>
      </c>
      <c r="B56" s="1059" t="s">
        <v>1444</v>
      </c>
      <c r="C56" s="1059"/>
      <c r="D56" s="1059"/>
      <c r="E56" s="1059"/>
      <c r="F56" s="1059"/>
      <c r="G56" s="1059"/>
      <c r="H56" s="1059"/>
      <c r="I56" s="1059"/>
      <c r="J56" s="1059"/>
      <c r="K56" s="1060"/>
    </row>
    <row r="57" spans="1:11" ht="27.75" customHeight="1" x14ac:dyDescent="0.25">
      <c r="A57" s="615"/>
      <c r="B57" s="624">
        <v>1</v>
      </c>
      <c r="C57" s="1044" t="s">
        <v>1550</v>
      </c>
      <c r="D57" s="1044"/>
      <c r="E57" s="1044"/>
      <c r="F57" s="1044"/>
      <c r="G57" s="1044"/>
      <c r="H57" s="1044"/>
      <c r="I57" s="1044"/>
      <c r="J57" s="1044"/>
      <c r="K57" s="1045"/>
    </row>
    <row r="58" spans="1:11" x14ac:dyDescent="0.25">
      <c r="A58" s="615"/>
      <c r="B58" s="150"/>
      <c r="C58" s="142" t="s">
        <v>1437</v>
      </c>
      <c r="D58" s="1044" t="s">
        <v>1446</v>
      </c>
      <c r="E58" s="1044"/>
      <c r="F58" s="1044"/>
      <c r="G58" s="1044"/>
      <c r="H58" s="1044"/>
      <c r="I58" s="1044"/>
      <c r="J58" s="1044"/>
      <c r="K58" s="1045"/>
    </row>
    <row r="59" spans="1:11" ht="29.25" customHeight="1" x14ac:dyDescent="0.25">
      <c r="A59" s="615"/>
      <c r="B59" s="150"/>
      <c r="C59" s="625" t="s">
        <v>1466</v>
      </c>
      <c r="D59" s="1044" t="s">
        <v>1447</v>
      </c>
      <c r="E59" s="1044"/>
      <c r="F59" s="1044"/>
      <c r="G59" s="1044"/>
      <c r="H59" s="1044"/>
      <c r="I59" s="1044"/>
      <c r="J59" s="1044"/>
      <c r="K59" s="1045"/>
    </row>
    <row r="60" spans="1:11" ht="29.25" customHeight="1" x14ac:dyDescent="0.25">
      <c r="A60" s="615"/>
      <c r="B60" s="150"/>
      <c r="C60" s="625" t="s">
        <v>1464</v>
      </c>
      <c r="D60" s="1044" t="s">
        <v>1448</v>
      </c>
      <c r="E60" s="1044"/>
      <c r="F60" s="1044"/>
      <c r="G60" s="1044"/>
      <c r="H60" s="1044"/>
      <c r="I60" s="1044"/>
      <c r="J60" s="1044"/>
      <c r="K60" s="1045"/>
    </row>
    <row r="61" spans="1:11" ht="27.75" customHeight="1" x14ac:dyDescent="0.25">
      <c r="A61" s="615"/>
      <c r="B61" s="624">
        <v>2</v>
      </c>
      <c r="C61" s="1044" t="s">
        <v>1449</v>
      </c>
      <c r="D61" s="1044"/>
      <c r="E61" s="1044"/>
      <c r="F61" s="1044"/>
      <c r="G61" s="1044"/>
      <c r="H61" s="1044"/>
      <c r="I61" s="1044"/>
      <c r="J61" s="1044"/>
      <c r="K61" s="1045"/>
    </row>
    <row r="62" spans="1:11" x14ac:dyDescent="0.25">
      <c r="A62" s="615"/>
      <c r="B62" s="150">
        <v>3</v>
      </c>
      <c r="C62" s="1044" t="s">
        <v>1450</v>
      </c>
      <c r="D62" s="1044"/>
      <c r="E62" s="1044"/>
      <c r="F62" s="1044"/>
      <c r="G62" s="1044"/>
      <c r="H62" s="1044"/>
      <c r="I62" s="1044"/>
      <c r="J62" s="1044"/>
      <c r="K62" s="1045"/>
    </row>
    <row r="63" spans="1:11" ht="30" customHeight="1" x14ac:dyDescent="0.25">
      <c r="A63" s="615"/>
      <c r="B63" s="150"/>
      <c r="C63" s="625" t="s">
        <v>1437</v>
      </c>
      <c r="D63" s="1044" t="s">
        <v>1671</v>
      </c>
      <c r="E63" s="1044"/>
      <c r="F63" s="1044"/>
      <c r="G63" s="1044"/>
      <c r="H63" s="1044"/>
      <c r="I63" s="1044"/>
      <c r="J63" s="1044"/>
      <c r="K63" s="1045"/>
    </row>
    <row r="64" spans="1:11" ht="28.5" customHeight="1" x14ac:dyDescent="0.25">
      <c r="A64" s="615"/>
      <c r="B64" s="150"/>
      <c r="C64" s="625" t="s">
        <v>1466</v>
      </c>
      <c r="D64" s="1044" t="s">
        <v>1452</v>
      </c>
      <c r="E64" s="1044"/>
      <c r="F64" s="1044"/>
      <c r="G64" s="1044"/>
      <c r="H64" s="1044"/>
      <c r="I64" s="1044"/>
      <c r="J64" s="1044"/>
      <c r="K64" s="1045"/>
    </row>
    <row r="65" spans="1:11" x14ac:dyDescent="0.25">
      <c r="A65" s="615"/>
      <c r="B65" s="150"/>
      <c r="C65" s="142" t="s">
        <v>1464</v>
      </c>
      <c r="D65" s="1044" t="s">
        <v>1453</v>
      </c>
      <c r="E65" s="1044"/>
      <c r="F65" s="1044"/>
      <c r="G65" s="1044"/>
      <c r="H65" s="1044"/>
      <c r="I65" s="1044"/>
      <c r="J65" s="1044"/>
      <c r="K65" s="1045"/>
    </row>
    <row r="66" spans="1:11" x14ac:dyDescent="0.25">
      <c r="A66" s="615"/>
      <c r="B66" s="150"/>
      <c r="C66" s="142" t="s">
        <v>1465</v>
      </c>
      <c r="D66" s="1044" t="s">
        <v>1454</v>
      </c>
      <c r="E66" s="1044"/>
      <c r="F66" s="1044"/>
      <c r="G66" s="1044"/>
      <c r="H66" s="1044"/>
      <c r="I66" s="1044"/>
      <c r="J66" s="1044"/>
      <c r="K66" s="1045"/>
    </row>
    <row r="67" spans="1:11" ht="28.5" customHeight="1" x14ac:dyDescent="0.25">
      <c r="A67" s="615"/>
      <c r="B67" s="624">
        <v>4</v>
      </c>
      <c r="C67" s="1044" t="s">
        <v>1551</v>
      </c>
      <c r="D67" s="1044"/>
      <c r="E67" s="1044"/>
      <c r="F67" s="1044"/>
      <c r="G67" s="1044"/>
      <c r="H67" s="1044"/>
      <c r="I67" s="1044"/>
      <c r="J67" s="1044"/>
      <c r="K67" s="1045"/>
    </row>
    <row r="68" spans="1:11" x14ac:dyDescent="0.25">
      <c r="A68" s="615"/>
      <c r="B68" s="150"/>
      <c r="C68" s="142" t="s">
        <v>1437</v>
      </c>
      <c r="D68" s="1044" t="s">
        <v>1456</v>
      </c>
      <c r="E68" s="1044"/>
      <c r="F68" s="1044"/>
      <c r="G68" s="1044"/>
      <c r="H68" s="1044"/>
      <c r="I68" s="1044"/>
      <c r="J68" s="1044"/>
      <c r="K68" s="1045"/>
    </row>
    <row r="69" spans="1:11" x14ac:dyDescent="0.25">
      <c r="A69" s="1063"/>
      <c r="B69" s="1059"/>
      <c r="C69" s="1059"/>
      <c r="D69" s="1059"/>
      <c r="E69" s="1059"/>
      <c r="F69" s="1059"/>
      <c r="G69" s="1059"/>
      <c r="H69" s="1059"/>
      <c r="I69" s="1059"/>
      <c r="J69" s="1059"/>
      <c r="K69" s="1060"/>
    </row>
    <row r="70" spans="1:11" x14ac:dyDescent="0.25">
      <c r="A70" s="620" t="s">
        <v>2</v>
      </c>
      <c r="B70" s="1059" t="s">
        <v>1467</v>
      </c>
      <c r="C70" s="1059"/>
      <c r="D70" s="1059"/>
      <c r="E70" s="1059"/>
      <c r="F70" s="1059"/>
      <c r="G70" s="1059"/>
      <c r="H70" s="1059"/>
      <c r="I70" s="1059"/>
      <c r="J70" s="1059"/>
      <c r="K70" s="1060"/>
    </row>
    <row r="71" spans="1:11" ht="30" customHeight="1" x14ac:dyDescent="0.25">
      <c r="A71" s="615"/>
      <c r="B71" s="624">
        <v>1</v>
      </c>
      <c r="C71" s="1052" t="s">
        <v>1552</v>
      </c>
      <c r="D71" s="1052"/>
      <c r="E71" s="1052"/>
      <c r="F71" s="1052"/>
      <c r="G71" s="1052"/>
      <c r="H71" s="1052"/>
      <c r="I71" s="1052"/>
      <c r="J71" s="1052"/>
      <c r="K71" s="1053"/>
    </row>
    <row r="72" spans="1:11" x14ac:dyDescent="0.25">
      <c r="A72" s="615"/>
      <c r="B72" s="150">
        <v>2</v>
      </c>
      <c r="C72" s="1052" t="s">
        <v>1468</v>
      </c>
      <c r="D72" s="1052"/>
      <c r="E72" s="1052"/>
      <c r="F72" s="1052"/>
      <c r="G72" s="1052"/>
      <c r="H72" s="1052"/>
      <c r="I72" s="1052"/>
      <c r="J72" s="1052"/>
      <c r="K72" s="1053"/>
    </row>
    <row r="73" spans="1:11" x14ac:dyDescent="0.25">
      <c r="A73" s="615"/>
      <c r="B73" s="150">
        <v>3</v>
      </c>
      <c r="C73" s="1052" t="s">
        <v>1469</v>
      </c>
      <c r="D73" s="1052"/>
      <c r="E73" s="1052"/>
      <c r="F73" s="1052"/>
      <c r="G73" s="1052"/>
      <c r="H73" s="1052"/>
      <c r="I73" s="1052"/>
      <c r="J73" s="1052"/>
      <c r="K73" s="1053"/>
    </row>
    <row r="74" spans="1:11" x14ac:dyDescent="0.25">
      <c r="A74" s="615"/>
      <c r="B74" s="150">
        <v>4</v>
      </c>
      <c r="C74" s="1052" t="s">
        <v>1470</v>
      </c>
      <c r="D74" s="1052"/>
      <c r="E74" s="1052"/>
      <c r="F74" s="1052"/>
      <c r="G74" s="1052"/>
      <c r="H74" s="1052"/>
      <c r="I74" s="1052"/>
      <c r="J74" s="1052"/>
      <c r="K74" s="1053"/>
    </row>
    <row r="75" spans="1:11" x14ac:dyDescent="0.25">
      <c r="A75" s="615"/>
      <c r="B75" s="1061"/>
      <c r="C75" s="1061"/>
      <c r="D75" s="1061"/>
      <c r="E75" s="1061"/>
      <c r="F75" s="1061"/>
      <c r="G75" s="1061"/>
      <c r="H75" s="1061"/>
      <c r="I75" s="1061"/>
      <c r="J75" s="1061"/>
      <c r="K75" s="1062"/>
    </row>
    <row r="76" spans="1:11" x14ac:dyDescent="0.25">
      <c r="A76" s="620" t="s">
        <v>3</v>
      </c>
      <c r="B76" s="1059" t="s">
        <v>1471</v>
      </c>
      <c r="C76" s="1059"/>
      <c r="D76" s="1059"/>
      <c r="E76" s="1059"/>
      <c r="F76" s="1059"/>
      <c r="G76" s="1059"/>
      <c r="H76" s="1059"/>
      <c r="I76" s="1059"/>
      <c r="J76" s="1059"/>
      <c r="K76" s="1060"/>
    </row>
    <row r="77" spans="1:11" x14ac:dyDescent="0.25">
      <c r="A77" s="615"/>
      <c r="B77" s="150">
        <v>1</v>
      </c>
      <c r="C77" s="1044" t="s">
        <v>1472</v>
      </c>
      <c r="D77" s="1044"/>
      <c r="E77" s="1044"/>
      <c r="F77" s="1044"/>
      <c r="G77" s="1044"/>
      <c r="H77" s="1044"/>
      <c r="I77" s="1044"/>
      <c r="J77" s="1044"/>
      <c r="K77" s="1045"/>
    </row>
    <row r="78" spans="1:11" ht="33" customHeight="1" x14ac:dyDescent="0.25">
      <c r="A78" s="615"/>
      <c r="B78" s="624">
        <v>2</v>
      </c>
      <c r="C78" s="1044" t="s">
        <v>1473</v>
      </c>
      <c r="D78" s="1044"/>
      <c r="E78" s="1044"/>
      <c r="F78" s="1044"/>
      <c r="G78" s="1044"/>
      <c r="H78" s="1044"/>
      <c r="I78" s="1044"/>
      <c r="J78" s="1044"/>
      <c r="K78" s="1045"/>
    </row>
    <row r="79" spans="1:11" ht="44.25" customHeight="1" x14ac:dyDescent="0.25">
      <c r="A79" s="615"/>
      <c r="B79" s="624">
        <v>3</v>
      </c>
      <c r="C79" s="1044" t="s">
        <v>1553</v>
      </c>
      <c r="D79" s="1044"/>
      <c r="E79" s="1044"/>
      <c r="F79" s="1044"/>
      <c r="G79" s="1044"/>
      <c r="H79" s="1044"/>
      <c r="I79" s="1044"/>
      <c r="J79" s="1044"/>
      <c r="K79" s="1045"/>
    </row>
    <row r="80" spans="1:11" x14ac:dyDescent="0.25">
      <c r="A80" s="615"/>
      <c r="B80" s="150">
        <v>4</v>
      </c>
      <c r="C80" s="1044" t="s">
        <v>1475</v>
      </c>
      <c r="D80" s="1044"/>
      <c r="E80" s="1044"/>
      <c r="F80" s="1044"/>
      <c r="G80" s="1044"/>
      <c r="H80" s="1044"/>
      <c r="I80" s="1044"/>
      <c r="J80" s="1044"/>
      <c r="K80" s="1045"/>
    </row>
    <row r="81" spans="1:11" x14ac:dyDescent="0.25">
      <c r="A81" s="615"/>
      <c r="B81" s="616"/>
      <c r="C81" s="616"/>
      <c r="D81" s="616"/>
      <c r="E81" s="616"/>
      <c r="F81" s="616"/>
      <c r="G81" s="616"/>
      <c r="H81" s="616"/>
      <c r="I81" s="616"/>
      <c r="J81" s="616"/>
      <c r="K81" s="617"/>
    </row>
    <row r="82" spans="1:11" x14ac:dyDescent="0.25">
      <c r="A82" s="620" t="s">
        <v>67</v>
      </c>
      <c r="B82" s="1059" t="s">
        <v>1476</v>
      </c>
      <c r="C82" s="1059"/>
      <c r="D82" s="1059"/>
      <c r="E82" s="1059"/>
      <c r="F82" s="1059"/>
      <c r="G82" s="1059"/>
      <c r="H82" s="1059"/>
      <c r="I82" s="1059"/>
      <c r="J82" s="1059"/>
      <c r="K82" s="1060"/>
    </row>
    <row r="83" spans="1:11" ht="30.75" customHeight="1" x14ac:dyDescent="0.25">
      <c r="A83" s="615"/>
      <c r="B83" s="624">
        <v>1</v>
      </c>
      <c r="C83" s="1044" t="s">
        <v>1554</v>
      </c>
      <c r="D83" s="1044"/>
      <c r="E83" s="1044"/>
      <c r="F83" s="1044"/>
      <c r="G83" s="1044"/>
      <c r="H83" s="1044"/>
      <c r="I83" s="1044"/>
      <c r="J83" s="1044"/>
      <c r="K83" s="1045"/>
    </row>
    <row r="84" spans="1:11" ht="48.75" customHeight="1" x14ac:dyDescent="0.25">
      <c r="A84" s="615"/>
      <c r="B84" s="624">
        <v>2</v>
      </c>
      <c r="C84" s="1044" t="s">
        <v>1555</v>
      </c>
      <c r="D84" s="1044"/>
      <c r="E84" s="1044"/>
      <c r="F84" s="1044"/>
      <c r="G84" s="1044"/>
      <c r="H84" s="1044"/>
      <c r="I84" s="1044"/>
      <c r="J84" s="1044"/>
      <c r="K84" s="1045"/>
    </row>
    <row r="85" spans="1:11" x14ac:dyDescent="0.25">
      <c r="A85" s="615"/>
      <c r="B85" s="150">
        <v>3</v>
      </c>
      <c r="C85" s="1044" t="s">
        <v>1478</v>
      </c>
      <c r="D85" s="1044"/>
      <c r="E85" s="1044"/>
      <c r="F85" s="1044"/>
      <c r="G85" s="1044"/>
      <c r="H85" s="1044"/>
      <c r="I85" s="1044"/>
      <c r="J85" s="1044"/>
      <c r="K85" s="1045"/>
    </row>
    <row r="86" spans="1:11" x14ac:dyDescent="0.25">
      <c r="A86" s="615"/>
      <c r="B86" s="150"/>
      <c r="C86" s="622"/>
      <c r="D86" s="622"/>
      <c r="E86" s="622"/>
      <c r="F86" s="622"/>
      <c r="G86" s="622"/>
      <c r="H86" s="622"/>
      <c r="I86" s="622"/>
      <c r="J86" s="622"/>
      <c r="K86" s="623"/>
    </row>
    <row r="87" spans="1:11" x14ac:dyDescent="0.25">
      <c r="A87" s="620" t="s">
        <v>1479</v>
      </c>
      <c r="B87" s="1059" t="s">
        <v>1480</v>
      </c>
      <c r="C87" s="1059"/>
      <c r="D87" s="1059"/>
      <c r="E87" s="1059"/>
      <c r="F87" s="1059"/>
      <c r="G87" s="1059"/>
      <c r="H87" s="1059"/>
      <c r="I87" s="1059"/>
      <c r="J87" s="1059"/>
      <c r="K87" s="1060"/>
    </row>
    <row r="88" spans="1:11" x14ac:dyDescent="0.25">
      <c r="A88" s="615"/>
      <c r="B88" s="150">
        <v>1</v>
      </c>
      <c r="C88" s="1044" t="s">
        <v>1423</v>
      </c>
      <c r="D88" s="1044"/>
      <c r="E88" s="1044"/>
      <c r="F88" s="1044"/>
      <c r="G88" s="1044"/>
      <c r="H88" s="1044"/>
      <c r="I88" s="1044"/>
      <c r="J88" s="1044"/>
      <c r="K88" s="1045"/>
    </row>
    <row r="89" spans="1:11" ht="30" customHeight="1" x14ac:dyDescent="0.25">
      <c r="A89" s="615"/>
      <c r="B89" s="150">
        <v>2</v>
      </c>
      <c r="C89" s="1095" t="s">
        <v>1556</v>
      </c>
      <c r="D89" s="1095"/>
      <c r="E89" s="1095"/>
      <c r="F89" s="1095"/>
      <c r="G89" s="1095"/>
      <c r="H89" s="1095"/>
      <c r="I89" s="1095"/>
      <c r="J89" s="1095"/>
      <c r="K89" s="1096"/>
    </row>
    <row r="90" spans="1:11" ht="31.5" customHeight="1" x14ac:dyDescent="0.25">
      <c r="A90" s="615"/>
      <c r="B90" s="150">
        <v>3</v>
      </c>
      <c r="C90" s="1044" t="s">
        <v>1424</v>
      </c>
      <c r="D90" s="1044"/>
      <c r="E90" s="1044"/>
      <c r="F90" s="1044"/>
      <c r="G90" s="1044"/>
      <c r="H90" s="1044"/>
      <c r="I90" s="1044"/>
      <c r="J90" s="1044"/>
      <c r="K90" s="1045"/>
    </row>
    <row r="91" spans="1:11" ht="32.25" customHeight="1" x14ac:dyDescent="0.25">
      <c r="A91" s="615"/>
      <c r="B91" s="150">
        <v>4</v>
      </c>
      <c r="C91" s="1044" t="s">
        <v>1485</v>
      </c>
      <c r="D91" s="1044"/>
      <c r="E91" s="1044"/>
      <c r="F91" s="1044"/>
      <c r="G91" s="1044"/>
      <c r="H91" s="1044"/>
      <c r="I91" s="1044"/>
      <c r="J91" s="1044"/>
      <c r="K91" s="1045"/>
    </row>
    <row r="92" spans="1:11" x14ac:dyDescent="0.25">
      <c r="A92" s="615"/>
      <c r="B92" s="150">
        <v>5</v>
      </c>
      <c r="C92" s="1044" t="s">
        <v>1486</v>
      </c>
      <c r="D92" s="1044"/>
      <c r="E92" s="1044"/>
      <c r="F92" s="1044"/>
      <c r="G92" s="1044"/>
      <c r="H92" s="1044"/>
      <c r="I92" s="1044"/>
      <c r="J92" s="1044"/>
      <c r="K92" s="1045"/>
    </row>
    <row r="93" spans="1:11" x14ac:dyDescent="0.25">
      <c r="A93" s="615"/>
      <c r="B93" s="616"/>
      <c r="C93" s="616"/>
      <c r="D93" s="616"/>
      <c r="E93" s="616"/>
      <c r="F93" s="616"/>
      <c r="G93" s="616"/>
      <c r="H93" s="616"/>
      <c r="I93" s="616"/>
      <c r="J93" s="616"/>
      <c r="K93" s="617"/>
    </row>
    <row r="94" spans="1:11" x14ac:dyDescent="0.25">
      <c r="A94" s="620" t="s">
        <v>1481</v>
      </c>
      <c r="B94" s="1059" t="s">
        <v>1482</v>
      </c>
      <c r="C94" s="1059"/>
      <c r="D94" s="1059"/>
      <c r="E94" s="1059"/>
      <c r="F94" s="1059"/>
      <c r="G94" s="1059"/>
      <c r="H94" s="1059"/>
      <c r="I94" s="1059"/>
      <c r="J94" s="1059"/>
      <c r="K94" s="1060"/>
    </row>
    <row r="95" spans="1:11" ht="32.25" customHeight="1" x14ac:dyDescent="0.25">
      <c r="A95" s="619"/>
      <c r="B95" s="634">
        <v>1</v>
      </c>
      <c r="C95" s="1044" t="s">
        <v>1483</v>
      </c>
      <c r="D95" s="1044"/>
      <c r="E95" s="1044"/>
      <c r="F95" s="1044"/>
      <c r="G95" s="1044"/>
      <c r="H95" s="1044"/>
      <c r="I95" s="1044"/>
      <c r="J95" s="1044"/>
      <c r="K95" s="1045"/>
    </row>
    <row r="96" spans="1:11" x14ac:dyDescent="0.25">
      <c r="A96" s="615"/>
      <c r="B96" s="150">
        <v>2</v>
      </c>
      <c r="C96" s="1044" t="s">
        <v>1484</v>
      </c>
      <c r="D96" s="1044"/>
      <c r="E96" s="1044"/>
      <c r="F96" s="1044"/>
      <c r="G96" s="1044"/>
      <c r="H96" s="1044"/>
      <c r="I96" s="1044"/>
      <c r="J96" s="1044"/>
      <c r="K96" s="1045"/>
    </row>
    <row r="97" spans="1:11" x14ac:dyDescent="0.25">
      <c r="A97" s="615"/>
      <c r="B97" s="616"/>
      <c r="C97" s="142" t="s">
        <v>1437</v>
      </c>
      <c r="D97" s="1052" t="s">
        <v>1557</v>
      </c>
      <c r="E97" s="1052"/>
      <c r="F97" s="1052"/>
      <c r="G97" s="1052"/>
      <c r="H97" s="1052"/>
      <c r="I97" s="1052"/>
      <c r="J97" s="1052"/>
      <c r="K97" s="1053"/>
    </row>
    <row r="98" spans="1:11" x14ac:dyDescent="0.25">
      <c r="A98" s="615"/>
      <c r="B98" s="150">
        <v>3</v>
      </c>
      <c r="C98" s="1052" t="s">
        <v>1487</v>
      </c>
      <c r="D98" s="1052"/>
      <c r="E98" s="1052"/>
      <c r="F98" s="1052"/>
      <c r="G98" s="1052"/>
      <c r="H98" s="1052"/>
      <c r="I98" s="1052"/>
      <c r="J98" s="1052"/>
      <c r="K98" s="1053"/>
    </row>
    <row r="99" spans="1:11" ht="15.75" thickBot="1" x14ac:dyDescent="0.3">
      <c r="A99" s="607"/>
      <c r="B99" s="608"/>
      <c r="C99" s="608"/>
      <c r="D99" s="608"/>
      <c r="E99" s="608"/>
      <c r="F99" s="608"/>
      <c r="G99" s="608"/>
      <c r="H99" s="608"/>
      <c r="I99" s="608"/>
      <c r="J99" s="608"/>
      <c r="K99" s="377"/>
    </row>
    <row r="100" spans="1:11" ht="30.75" thickBot="1" x14ac:dyDescent="0.3">
      <c r="A100" s="1054" t="s">
        <v>1010</v>
      </c>
      <c r="B100" s="1055"/>
      <c r="C100" s="1056"/>
      <c r="D100" s="1020"/>
      <c r="E100" s="1021"/>
      <c r="F100" s="1021"/>
      <c r="G100" s="1021"/>
      <c r="H100" s="1021"/>
      <c r="I100" s="1022"/>
      <c r="J100" s="378" t="s">
        <v>1008</v>
      </c>
      <c r="K100" s="631" t="s">
        <v>1416</v>
      </c>
    </row>
    <row r="101" spans="1:11" ht="30" customHeight="1" x14ac:dyDescent="0.25">
      <c r="A101" s="615">
        <v>1</v>
      </c>
      <c r="B101" s="616"/>
      <c r="C101" s="1057" t="s">
        <v>1558</v>
      </c>
      <c r="D101" s="1057"/>
      <c r="E101" s="1057"/>
      <c r="F101" s="1057"/>
      <c r="G101" s="1057"/>
      <c r="H101" s="1057"/>
      <c r="I101" s="1057"/>
      <c r="J101" s="1057"/>
      <c r="K101" s="1058"/>
    </row>
    <row r="102" spans="1:11" x14ac:dyDescent="0.25">
      <c r="A102" s="615">
        <v>2</v>
      </c>
      <c r="B102" s="616"/>
      <c r="C102" s="1044" t="s">
        <v>1030</v>
      </c>
      <c r="D102" s="1044"/>
      <c r="E102" s="1044"/>
      <c r="F102" s="1044"/>
      <c r="G102" s="1044"/>
      <c r="H102" s="1044"/>
      <c r="I102" s="1044"/>
      <c r="J102" s="1044"/>
      <c r="K102" s="1045"/>
    </row>
    <row r="103" spans="1:11" ht="29.25" customHeight="1" x14ac:dyDescent="0.25">
      <c r="A103" s="633">
        <v>3</v>
      </c>
      <c r="B103" s="616"/>
      <c r="C103" s="1044" t="s">
        <v>1490</v>
      </c>
      <c r="D103" s="1044"/>
      <c r="E103" s="1044"/>
      <c r="F103" s="1044"/>
      <c r="G103" s="1044"/>
      <c r="H103" s="1044"/>
      <c r="I103" s="1044"/>
      <c r="J103" s="1044"/>
      <c r="K103" s="1045"/>
    </row>
    <row r="104" spans="1:11" ht="29.25" customHeight="1" x14ac:dyDescent="0.25">
      <c r="A104" s="633">
        <v>4</v>
      </c>
      <c r="B104" s="616"/>
      <c r="C104" s="1044" t="s">
        <v>1491</v>
      </c>
      <c r="D104" s="1044"/>
      <c r="E104" s="1044"/>
      <c r="F104" s="1044"/>
      <c r="G104" s="1044"/>
      <c r="H104" s="1044"/>
      <c r="I104" s="1044"/>
      <c r="J104" s="1044"/>
      <c r="K104" s="1045"/>
    </row>
    <row r="105" spans="1:11" x14ac:dyDescent="0.25">
      <c r="A105" s="615">
        <v>5</v>
      </c>
      <c r="B105" s="616"/>
      <c r="C105" s="1044" t="s">
        <v>1492</v>
      </c>
      <c r="D105" s="1044"/>
      <c r="E105" s="1044"/>
      <c r="F105" s="1044"/>
      <c r="G105" s="1044"/>
      <c r="H105" s="1044"/>
      <c r="I105" s="1044"/>
      <c r="J105" s="1044"/>
      <c r="K105" s="1045"/>
    </row>
    <row r="106" spans="1:11" x14ac:dyDescent="0.25">
      <c r="A106" s="615">
        <v>6</v>
      </c>
      <c r="B106" s="616"/>
      <c r="C106" s="1044" t="s">
        <v>1493</v>
      </c>
      <c r="D106" s="1044"/>
      <c r="E106" s="1044"/>
      <c r="F106" s="1044"/>
      <c r="G106" s="1044"/>
      <c r="H106" s="1044"/>
      <c r="I106" s="1044"/>
      <c r="J106" s="1044"/>
      <c r="K106" s="1045"/>
    </row>
    <row r="107" spans="1:11" x14ac:dyDescent="0.25">
      <c r="A107" s="615">
        <v>7</v>
      </c>
      <c r="B107" s="616"/>
      <c r="C107" s="1044" t="s">
        <v>1494</v>
      </c>
      <c r="D107" s="1044"/>
      <c r="E107" s="1044"/>
      <c r="F107" s="1044"/>
      <c r="G107" s="1044"/>
      <c r="H107" s="1044"/>
      <c r="I107" s="1044"/>
      <c r="J107" s="1044"/>
      <c r="K107" s="1045"/>
    </row>
    <row r="108" spans="1:11" ht="29.25" customHeight="1" x14ac:dyDescent="0.25">
      <c r="A108" s="633">
        <v>8</v>
      </c>
      <c r="B108" s="616"/>
      <c r="C108" s="1044" t="s">
        <v>1488</v>
      </c>
      <c r="D108" s="1044"/>
      <c r="E108" s="1044"/>
      <c r="F108" s="1044"/>
      <c r="G108" s="1044"/>
      <c r="H108" s="1044"/>
      <c r="I108" s="1044"/>
      <c r="J108" s="1044"/>
      <c r="K108" s="1045"/>
    </row>
    <row r="109" spans="1:11" ht="15.75" thickBot="1" x14ac:dyDescent="0.3">
      <c r="A109" s="1046"/>
      <c r="B109" s="1047"/>
      <c r="C109" s="1047"/>
      <c r="D109" s="1047"/>
      <c r="E109" s="1047"/>
      <c r="F109" s="1047"/>
      <c r="G109" s="1047"/>
      <c r="H109" s="1047"/>
      <c r="I109" s="1047"/>
      <c r="J109" s="1047"/>
      <c r="K109" s="1048"/>
    </row>
    <row r="110" spans="1:11" ht="15.75" thickBot="1" x14ac:dyDescent="0.3">
      <c r="A110" s="1049" t="s">
        <v>1011</v>
      </c>
      <c r="B110" s="1050"/>
      <c r="C110" s="1050"/>
      <c r="D110" s="1050"/>
      <c r="E110" s="1050"/>
      <c r="F110" s="1050"/>
      <c r="G110" s="1050"/>
      <c r="H110" s="1050"/>
      <c r="I110" s="1050"/>
      <c r="J110" s="1050"/>
      <c r="K110" s="1051"/>
    </row>
    <row r="111" spans="1:11" ht="15.75" thickBot="1" x14ac:dyDescent="0.3">
      <c r="A111" s="629" t="s">
        <v>4</v>
      </c>
      <c r="B111" s="1041" t="s">
        <v>1012</v>
      </c>
      <c r="C111" s="1043"/>
      <c r="D111" s="1041" t="s">
        <v>1013</v>
      </c>
      <c r="E111" s="1043"/>
      <c r="F111" s="1041" t="s">
        <v>1014</v>
      </c>
      <c r="G111" s="1043"/>
      <c r="H111" s="1041" t="s">
        <v>1015</v>
      </c>
      <c r="I111" s="1042"/>
      <c r="J111" s="1042"/>
      <c r="K111" s="1043"/>
    </row>
    <row r="112" spans="1:11" ht="15.75" thickBot="1" x14ac:dyDescent="0.3">
      <c r="A112" s="630">
        <v>1</v>
      </c>
      <c r="B112" s="1020" t="s">
        <v>1016</v>
      </c>
      <c r="C112" s="1022"/>
      <c r="D112" s="1020" t="s">
        <v>1017</v>
      </c>
      <c r="E112" s="1022"/>
      <c r="F112" s="1020" t="s">
        <v>1018</v>
      </c>
      <c r="G112" s="1022"/>
      <c r="H112" s="1020" t="s">
        <v>1019</v>
      </c>
      <c r="I112" s="1021"/>
      <c r="J112" s="1021"/>
      <c r="K112" s="1022"/>
    </row>
    <row r="113" spans="1:11" ht="15.75" thickBot="1" x14ac:dyDescent="0.3">
      <c r="A113" s="630">
        <v>2</v>
      </c>
      <c r="B113" s="1020" t="s">
        <v>1020</v>
      </c>
      <c r="C113" s="1022"/>
      <c r="D113" s="1020" t="s">
        <v>1017</v>
      </c>
      <c r="E113" s="1022"/>
      <c r="F113" s="1020" t="s">
        <v>1021</v>
      </c>
      <c r="G113" s="1022"/>
      <c r="H113" s="1020" t="s">
        <v>1022</v>
      </c>
      <c r="I113" s="1021"/>
      <c r="J113" s="1021"/>
      <c r="K113" s="1022"/>
    </row>
    <row r="114" spans="1:11" ht="15.75" thickBot="1" x14ac:dyDescent="0.3">
      <c r="A114" s="630">
        <v>3</v>
      </c>
      <c r="B114" s="1020" t="s">
        <v>1023</v>
      </c>
      <c r="C114" s="1022"/>
      <c r="D114" s="1020" t="s">
        <v>1426</v>
      </c>
      <c r="E114" s="1022"/>
      <c r="F114" s="1020" t="s">
        <v>1024</v>
      </c>
      <c r="G114" s="1022"/>
      <c r="H114" s="1020" t="s">
        <v>1025</v>
      </c>
      <c r="I114" s="1021"/>
      <c r="J114" s="1021"/>
      <c r="K114" s="1022"/>
    </row>
    <row r="115" spans="1:11" ht="15.75" thickBot="1" x14ac:dyDescent="0.3">
      <c r="A115" s="1032" t="s">
        <v>1026</v>
      </c>
      <c r="B115" s="1033"/>
      <c r="C115" s="1033"/>
      <c r="D115" s="1033"/>
      <c r="E115" s="1033"/>
      <c r="F115" s="1033"/>
      <c r="G115" s="1033"/>
      <c r="H115" s="1033"/>
      <c r="I115" s="1033"/>
      <c r="J115" s="1033"/>
      <c r="K115" s="1034"/>
    </row>
    <row r="116" spans="1:11" ht="48.75" customHeight="1" thickBot="1" x14ac:dyDescent="0.3">
      <c r="A116" s="1035" t="s">
        <v>1027</v>
      </c>
      <c r="B116" s="1036"/>
      <c r="C116" s="1037"/>
      <c r="D116" s="1110" t="s">
        <v>1559</v>
      </c>
      <c r="E116" s="1111"/>
      <c r="F116" s="1111"/>
      <c r="G116" s="1111"/>
      <c r="H116" s="1111"/>
      <c r="I116" s="1111"/>
      <c r="J116" s="1111"/>
      <c r="K116" s="1112"/>
    </row>
    <row r="117" spans="1:11" ht="47.25" customHeight="1" thickBot="1" x14ac:dyDescent="0.3">
      <c r="A117" s="1035" t="s">
        <v>1028</v>
      </c>
      <c r="B117" s="1036"/>
      <c r="C117" s="1037"/>
      <c r="D117" s="1110" t="s">
        <v>1560</v>
      </c>
      <c r="E117" s="1111"/>
      <c r="F117" s="1111"/>
      <c r="G117" s="1111"/>
      <c r="H117" s="1111"/>
      <c r="I117" s="1111"/>
      <c r="J117" s="1111"/>
      <c r="K117" s="1112"/>
    </row>
    <row r="118" spans="1:11" ht="15.75" thickBot="1" x14ac:dyDescent="0.3">
      <c r="A118" s="1032" t="s">
        <v>1029</v>
      </c>
      <c r="B118" s="1033"/>
      <c r="C118" s="1033"/>
      <c r="D118" s="1033"/>
      <c r="E118" s="1033"/>
      <c r="F118" s="1033"/>
      <c r="G118" s="1033"/>
      <c r="H118" s="1033"/>
      <c r="I118" s="1033"/>
      <c r="J118" s="1033"/>
      <c r="K118" s="1034"/>
    </row>
    <row r="119" spans="1:11" ht="15.75" thickBot="1" x14ac:dyDescent="0.3">
      <c r="A119" s="629" t="s">
        <v>4</v>
      </c>
      <c r="B119" s="1041" t="s">
        <v>1012</v>
      </c>
      <c r="C119" s="1042"/>
      <c r="D119" s="1043"/>
      <c r="E119" s="1041" t="s">
        <v>1030</v>
      </c>
      <c r="F119" s="1042"/>
      <c r="G119" s="1042"/>
      <c r="H119" s="1042"/>
      <c r="I119" s="1042"/>
      <c r="J119" s="1042"/>
      <c r="K119" s="1043"/>
    </row>
    <row r="120" spans="1:11" ht="30" customHeight="1" thickBot="1" x14ac:dyDescent="0.3">
      <c r="A120" s="630">
        <v>1</v>
      </c>
      <c r="B120" s="1020" t="s">
        <v>1031</v>
      </c>
      <c r="C120" s="1021"/>
      <c r="D120" s="1022"/>
      <c r="E120" s="1020" t="s">
        <v>1032</v>
      </c>
      <c r="F120" s="1021"/>
      <c r="G120" s="1021"/>
      <c r="H120" s="1021"/>
      <c r="I120" s="1021"/>
      <c r="J120" s="1021"/>
      <c r="K120" s="1022"/>
    </row>
    <row r="121" spans="1:11" ht="30.75" customHeight="1" thickBot="1" x14ac:dyDescent="0.3">
      <c r="A121" s="630">
        <v>2</v>
      </c>
      <c r="B121" s="1020" t="s">
        <v>1033</v>
      </c>
      <c r="C121" s="1021"/>
      <c r="D121" s="1022"/>
      <c r="E121" s="1023" t="s">
        <v>1034</v>
      </c>
      <c r="F121" s="1024"/>
      <c r="G121" s="1024"/>
      <c r="H121" s="1024"/>
      <c r="I121" s="1024"/>
      <c r="J121" s="1024"/>
      <c r="K121" s="1025"/>
    </row>
    <row r="122" spans="1:11" ht="30.75" customHeight="1" thickBot="1" x14ac:dyDescent="0.3">
      <c r="A122" s="630">
        <v>3</v>
      </c>
      <c r="B122" s="1020" t="s">
        <v>1035</v>
      </c>
      <c r="C122" s="1021"/>
      <c r="D122" s="1022"/>
      <c r="E122" s="1023" t="s">
        <v>1036</v>
      </c>
      <c r="F122" s="1024"/>
      <c r="G122" s="1024"/>
      <c r="H122" s="1024"/>
      <c r="I122" s="1024"/>
      <c r="J122" s="1024"/>
      <c r="K122" s="1025"/>
    </row>
    <row r="123" spans="1:11" ht="15.75" thickBot="1" x14ac:dyDescent="0.3">
      <c r="A123" s="1026"/>
      <c r="B123" s="1027"/>
      <c r="C123" s="1027"/>
      <c r="D123" s="1027"/>
      <c r="E123" s="1027"/>
      <c r="F123" s="1027"/>
      <c r="G123" s="1027"/>
      <c r="H123" s="1027"/>
      <c r="I123" s="1027"/>
      <c r="J123" s="1027"/>
      <c r="K123" s="1028"/>
    </row>
    <row r="124" spans="1:11" x14ac:dyDescent="0.25">
      <c r="A124" s="691"/>
      <c r="B124" s="692"/>
      <c r="C124" s="692"/>
      <c r="D124" s="692"/>
      <c r="E124" s="692"/>
      <c r="F124" s="692"/>
      <c r="G124" s="692"/>
      <c r="H124" s="692"/>
      <c r="I124" s="692"/>
      <c r="J124" s="692"/>
      <c r="K124" s="693"/>
    </row>
    <row r="125" spans="1:11" ht="15" customHeight="1" x14ac:dyDescent="0.25">
      <c r="A125" s="615"/>
      <c r="D125" s="25"/>
      <c r="F125" s="616"/>
      <c r="G125" s="616"/>
      <c r="H125" s="27" t="s">
        <v>1145</v>
      </c>
      <c r="J125" s="616"/>
      <c r="K125" s="617"/>
    </row>
    <row r="126" spans="1:11" ht="15" customHeight="1" x14ac:dyDescent="0.25">
      <c r="A126" s="615"/>
      <c r="B126" s="28" t="s">
        <v>33</v>
      </c>
      <c r="D126" s="25"/>
      <c r="F126" s="616"/>
      <c r="G126" s="616"/>
      <c r="J126" s="616"/>
      <c r="K126" s="617"/>
    </row>
    <row r="127" spans="1:11" ht="15" customHeight="1" x14ac:dyDescent="0.25">
      <c r="A127" s="615"/>
      <c r="B127" s="28" t="s">
        <v>1623</v>
      </c>
      <c r="D127" s="25"/>
      <c r="F127" s="616"/>
      <c r="G127" s="616"/>
      <c r="H127" s="28" t="s">
        <v>41</v>
      </c>
      <c r="J127" s="616"/>
      <c r="K127" s="617"/>
    </row>
    <row r="128" spans="1:11" ht="15" customHeight="1" x14ac:dyDescent="0.25">
      <c r="A128" s="615"/>
      <c r="B128" s="28"/>
      <c r="D128" s="25"/>
      <c r="F128" s="616"/>
      <c r="G128" s="616"/>
      <c r="H128" s="28"/>
      <c r="J128" s="616"/>
      <c r="K128" s="617"/>
    </row>
    <row r="129" spans="1:11" ht="15.75" x14ac:dyDescent="0.25">
      <c r="A129" s="615"/>
      <c r="B129" s="28"/>
      <c r="D129" s="25"/>
      <c r="F129" s="616"/>
      <c r="G129" s="616"/>
      <c r="H129" s="28"/>
      <c r="J129" s="616"/>
      <c r="K129" s="617"/>
    </row>
    <row r="130" spans="1:11" ht="15.75" x14ac:dyDescent="0.25">
      <c r="A130" s="615"/>
      <c r="B130" s="28"/>
      <c r="D130" s="25"/>
      <c r="F130" s="616"/>
      <c r="G130" s="616"/>
      <c r="H130" s="28"/>
      <c r="J130" s="616"/>
      <c r="K130" s="617"/>
    </row>
    <row r="131" spans="1:11" ht="15.75" x14ac:dyDescent="0.25">
      <c r="A131" s="615"/>
      <c r="B131" s="34" t="s">
        <v>1622</v>
      </c>
      <c r="D131" s="25"/>
      <c r="F131" s="616"/>
      <c r="G131" s="616"/>
      <c r="H131" s="34" t="s">
        <v>1154</v>
      </c>
      <c r="J131" s="616"/>
      <c r="K131" s="617"/>
    </row>
    <row r="132" spans="1:11" ht="15" customHeight="1" x14ac:dyDescent="0.25">
      <c r="A132" s="615"/>
      <c r="B132" s="28" t="s">
        <v>1683</v>
      </c>
      <c r="D132" s="25"/>
      <c r="F132" s="616"/>
      <c r="G132" s="616"/>
      <c r="H132" s="28" t="s">
        <v>1155</v>
      </c>
      <c r="J132" s="616"/>
      <c r="K132" s="617"/>
    </row>
    <row r="133" spans="1:11" ht="15" customHeight="1" x14ac:dyDescent="0.25">
      <c r="A133" s="615"/>
      <c r="B133" s="28"/>
      <c r="D133" s="25"/>
      <c r="F133" s="616"/>
      <c r="G133" s="616"/>
      <c r="H133" s="27"/>
      <c r="J133" s="616"/>
      <c r="K133" s="617"/>
    </row>
    <row r="134" spans="1:11" ht="15.75" x14ac:dyDescent="0.25">
      <c r="A134" s="615"/>
      <c r="D134" s="25"/>
      <c r="F134" s="616"/>
      <c r="G134" s="616"/>
      <c r="J134" s="616"/>
      <c r="K134" s="617"/>
    </row>
    <row r="135" spans="1:11" ht="15.75" x14ac:dyDescent="0.25">
      <c r="A135" s="615"/>
      <c r="B135" s="28" t="s">
        <v>1624</v>
      </c>
      <c r="D135" s="25"/>
      <c r="F135" s="616"/>
      <c r="G135" s="616"/>
      <c r="H135" s="28" t="s">
        <v>1625</v>
      </c>
      <c r="J135" s="616"/>
      <c r="K135" s="617"/>
    </row>
    <row r="136" spans="1:11" ht="15.75" x14ac:dyDescent="0.25">
      <c r="A136" s="615"/>
      <c r="B136" s="28"/>
      <c r="D136" s="25"/>
      <c r="F136" s="616"/>
      <c r="G136" s="616"/>
      <c r="H136" s="28"/>
      <c r="J136" s="616"/>
      <c r="K136" s="617"/>
    </row>
    <row r="137" spans="1:11" ht="15.75" x14ac:dyDescent="0.25">
      <c r="A137" s="615"/>
      <c r="B137" s="28"/>
      <c r="D137" s="25"/>
      <c r="F137" s="616"/>
      <c r="G137" s="616"/>
      <c r="H137" s="28"/>
      <c r="J137" s="616"/>
      <c r="K137" s="617"/>
    </row>
    <row r="138" spans="1:11" ht="15.75" x14ac:dyDescent="0.25">
      <c r="A138" s="615"/>
      <c r="B138" s="28"/>
      <c r="D138" s="25"/>
      <c r="F138" s="616"/>
      <c r="G138" s="616"/>
      <c r="H138" s="28"/>
      <c r="J138" s="616"/>
      <c r="K138" s="617"/>
    </row>
    <row r="139" spans="1:11" ht="15.75" x14ac:dyDescent="0.25">
      <c r="A139" s="615"/>
      <c r="B139" s="34" t="s">
        <v>1156</v>
      </c>
      <c r="D139" s="25"/>
      <c r="F139" s="616"/>
      <c r="G139" s="616"/>
      <c r="H139" s="34" t="s">
        <v>1044</v>
      </c>
      <c r="J139" s="616"/>
      <c r="K139" s="617"/>
    </row>
    <row r="140" spans="1:11" ht="15.75" x14ac:dyDescent="0.25">
      <c r="A140" s="615"/>
      <c r="B140" s="34" t="s">
        <v>1620</v>
      </c>
      <c r="D140" s="25"/>
      <c r="F140" s="616"/>
      <c r="G140" s="616"/>
      <c r="H140" s="28" t="s">
        <v>1621</v>
      </c>
      <c r="J140" s="616"/>
      <c r="K140" s="617"/>
    </row>
    <row r="141" spans="1:11" ht="15.75" thickBot="1" x14ac:dyDescent="0.3">
      <c r="A141" s="607"/>
      <c r="B141" s="608"/>
      <c r="C141" s="608"/>
      <c r="D141" s="608"/>
      <c r="E141" s="608"/>
      <c r="F141" s="608"/>
      <c r="G141" s="608"/>
      <c r="H141" s="608"/>
      <c r="I141" s="608"/>
      <c r="J141" s="608"/>
      <c r="K141" s="377"/>
    </row>
  </sheetData>
  <mergeCells count="167">
    <mergeCell ref="B121:D121"/>
    <mergeCell ref="E121:K121"/>
    <mergeCell ref="B122:D122"/>
    <mergeCell ref="E122:K122"/>
    <mergeCell ref="A123:K123"/>
    <mergeCell ref="A117:C117"/>
    <mergeCell ref="D117:K117"/>
    <mergeCell ref="A118:K118"/>
    <mergeCell ref="B119:D119"/>
    <mergeCell ref="E119:K119"/>
    <mergeCell ref="B120:D120"/>
    <mergeCell ref="E120:K120"/>
    <mergeCell ref="B114:C114"/>
    <mergeCell ref="D114:E114"/>
    <mergeCell ref="F114:G114"/>
    <mergeCell ref="H114:K114"/>
    <mergeCell ref="A115:K115"/>
    <mergeCell ref="A116:C116"/>
    <mergeCell ref="D116:K116"/>
    <mergeCell ref="B112:C112"/>
    <mergeCell ref="D112:E112"/>
    <mergeCell ref="F112:G112"/>
    <mergeCell ref="H112:K112"/>
    <mergeCell ref="B113:C113"/>
    <mergeCell ref="D113:E113"/>
    <mergeCell ref="F113:G113"/>
    <mergeCell ref="H113:K113"/>
    <mergeCell ref="A109:K109"/>
    <mergeCell ref="A110:K110"/>
    <mergeCell ref="B111:C111"/>
    <mergeCell ref="D111:E111"/>
    <mergeCell ref="F111:G111"/>
    <mergeCell ref="H111:K111"/>
    <mergeCell ref="C103:K103"/>
    <mergeCell ref="C104:K104"/>
    <mergeCell ref="C105:K105"/>
    <mergeCell ref="C106:K106"/>
    <mergeCell ref="C107:K107"/>
    <mergeCell ref="C108:K108"/>
    <mergeCell ref="D97:K97"/>
    <mergeCell ref="C98:K98"/>
    <mergeCell ref="A100:C100"/>
    <mergeCell ref="D100:I100"/>
    <mergeCell ref="C101:K101"/>
    <mergeCell ref="C102:K102"/>
    <mergeCell ref="C90:K90"/>
    <mergeCell ref="C91:K91"/>
    <mergeCell ref="C92:K92"/>
    <mergeCell ref="B94:K94"/>
    <mergeCell ref="C95:K95"/>
    <mergeCell ref="C96:K96"/>
    <mergeCell ref="C83:K83"/>
    <mergeCell ref="C84:K84"/>
    <mergeCell ref="C85:K85"/>
    <mergeCell ref="B87:K87"/>
    <mergeCell ref="C88:K88"/>
    <mergeCell ref="C89:K89"/>
    <mergeCell ref="B76:K76"/>
    <mergeCell ref="C77:K77"/>
    <mergeCell ref="C78:K78"/>
    <mergeCell ref="C79:K79"/>
    <mergeCell ref="C80:K80"/>
    <mergeCell ref="B82:K82"/>
    <mergeCell ref="B70:K70"/>
    <mergeCell ref="C71:K71"/>
    <mergeCell ref="C72:K72"/>
    <mergeCell ref="C73:K73"/>
    <mergeCell ref="C74:K74"/>
    <mergeCell ref="B75:K75"/>
    <mergeCell ref="D64:K64"/>
    <mergeCell ref="D65:K65"/>
    <mergeCell ref="D66:K66"/>
    <mergeCell ref="C67:K67"/>
    <mergeCell ref="D68:K68"/>
    <mergeCell ref="A69:K69"/>
    <mergeCell ref="D58:K58"/>
    <mergeCell ref="D59:K59"/>
    <mergeCell ref="D60:K60"/>
    <mergeCell ref="C61:K61"/>
    <mergeCell ref="C62:K62"/>
    <mergeCell ref="D63:K63"/>
    <mergeCell ref="A53:K53"/>
    <mergeCell ref="A54:C54"/>
    <mergeCell ref="D54:I54"/>
    <mergeCell ref="A55:K55"/>
    <mergeCell ref="B56:K56"/>
    <mergeCell ref="C57:K57"/>
    <mergeCell ref="C47:K47"/>
    <mergeCell ref="C48:K48"/>
    <mergeCell ref="C49:K49"/>
    <mergeCell ref="C50:K50"/>
    <mergeCell ref="C51:K51"/>
    <mergeCell ref="A52:K52"/>
    <mergeCell ref="A41:K41"/>
    <mergeCell ref="C42:K42"/>
    <mergeCell ref="C43:K43"/>
    <mergeCell ref="C44:K44"/>
    <mergeCell ref="C45:K45"/>
    <mergeCell ref="C46:K46"/>
    <mergeCell ref="A36:K36"/>
    <mergeCell ref="A37:K37"/>
    <mergeCell ref="A38:K38"/>
    <mergeCell ref="A39:C39"/>
    <mergeCell ref="D39:K39"/>
    <mergeCell ref="A40:C40"/>
    <mergeCell ref="D40:I40"/>
    <mergeCell ref="A33:C33"/>
    <mergeCell ref="D33:K33"/>
    <mergeCell ref="A34:C34"/>
    <mergeCell ref="D34:K34"/>
    <mergeCell ref="A35:C35"/>
    <mergeCell ref="D35:K35"/>
    <mergeCell ref="A26:K26"/>
    <mergeCell ref="A27:K27"/>
    <mergeCell ref="A28:C32"/>
    <mergeCell ref="D28:K28"/>
    <mergeCell ref="E29:K29"/>
    <mergeCell ref="E30:K30"/>
    <mergeCell ref="E31:K31"/>
    <mergeCell ref="E32:K32"/>
    <mergeCell ref="A23:C23"/>
    <mergeCell ref="D23:K23"/>
    <mergeCell ref="A24:C24"/>
    <mergeCell ref="D24:K24"/>
    <mergeCell ref="A25:C25"/>
    <mergeCell ref="D25:K25"/>
    <mergeCell ref="A14:C22"/>
    <mergeCell ref="D14:K14"/>
    <mergeCell ref="E15:K15"/>
    <mergeCell ref="E16:K16"/>
    <mergeCell ref="E17:K17"/>
    <mergeCell ref="E18:K18"/>
    <mergeCell ref="E19:K19"/>
    <mergeCell ref="E20:K20"/>
    <mergeCell ref="D21:K21"/>
    <mergeCell ref="E22:K22"/>
    <mergeCell ref="A10:C10"/>
    <mergeCell ref="D10:K10"/>
    <mergeCell ref="A11:C13"/>
    <mergeCell ref="D11:K11"/>
    <mergeCell ref="D12:K12"/>
    <mergeCell ref="D13:K13"/>
    <mergeCell ref="A6:B6"/>
    <mergeCell ref="C6:F6"/>
    <mergeCell ref="G6:H6"/>
    <mergeCell ref="I6:K6"/>
    <mergeCell ref="A7:K7"/>
    <mergeCell ref="A8:C8"/>
    <mergeCell ref="D8:K9"/>
    <mergeCell ref="A9:C9"/>
    <mergeCell ref="A4:B4"/>
    <mergeCell ref="C4:F4"/>
    <mergeCell ref="G4:H4"/>
    <mergeCell ref="I4:K4"/>
    <mergeCell ref="A5:B5"/>
    <mergeCell ref="C5:F5"/>
    <mergeCell ref="G5:H5"/>
    <mergeCell ref="I5:K5"/>
    <mergeCell ref="A1:K1"/>
    <mergeCell ref="A2:B2"/>
    <mergeCell ref="C2:F2"/>
    <mergeCell ref="G2:H2"/>
    <mergeCell ref="I2:K2"/>
    <mergeCell ref="A3:B3"/>
    <mergeCell ref="C3:F3"/>
    <mergeCell ref="G3:H3"/>
    <mergeCell ref="I3:K3"/>
  </mergeCells>
  <pageMargins left="0.7" right="0.7" top="0.75" bottom="0.75" header="0.3" footer="0.3"/>
  <pageSetup paperSize="9" scale="86" fitToHeight="0"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F2B1A-22BA-44B3-9386-8A8AC5AA2C85}">
  <sheetPr>
    <tabColor theme="0"/>
    <pageSetUpPr fitToPage="1"/>
  </sheetPr>
  <dimension ref="A1:K142"/>
  <sheetViews>
    <sheetView topLeftCell="A117" workbookViewId="0">
      <selection activeCell="G143" sqref="G143"/>
    </sheetView>
  </sheetViews>
  <sheetFormatPr defaultRowHeight="15" x14ac:dyDescent="0.25"/>
  <sheetData>
    <row r="1" spans="1:11" ht="15.75" thickBot="1" x14ac:dyDescent="0.3">
      <c r="A1" s="1032" t="s">
        <v>977</v>
      </c>
      <c r="B1" s="1033"/>
      <c r="C1" s="1033"/>
      <c r="D1" s="1033"/>
      <c r="E1" s="1033"/>
      <c r="F1" s="1033"/>
      <c r="G1" s="1033"/>
      <c r="H1" s="1033"/>
      <c r="I1" s="1033"/>
      <c r="J1" s="1033"/>
      <c r="K1" s="1034"/>
    </row>
    <row r="2" spans="1:11" ht="15.75" thickBot="1" x14ac:dyDescent="0.3">
      <c r="A2" s="1035" t="s">
        <v>313</v>
      </c>
      <c r="B2" s="1037"/>
      <c r="C2" s="1020" t="s">
        <v>871</v>
      </c>
      <c r="D2" s="1021"/>
      <c r="E2" s="1021"/>
      <c r="F2" s="1022"/>
      <c r="G2" s="1035" t="s">
        <v>978</v>
      </c>
      <c r="H2" s="1037"/>
      <c r="I2" s="1020" t="s">
        <v>979</v>
      </c>
      <c r="J2" s="1021"/>
      <c r="K2" s="1022"/>
    </row>
    <row r="3" spans="1:11" ht="15.75" thickBot="1" x14ac:dyDescent="0.3">
      <c r="A3" s="1035" t="s">
        <v>980</v>
      </c>
      <c r="B3" s="1037"/>
      <c r="C3" s="1020" t="s">
        <v>981</v>
      </c>
      <c r="D3" s="1021"/>
      <c r="E3" s="1021"/>
      <c r="F3" s="1022"/>
      <c r="G3" s="1035" t="s">
        <v>982</v>
      </c>
      <c r="H3" s="1037"/>
      <c r="I3" s="1020" t="s">
        <v>983</v>
      </c>
      <c r="J3" s="1021"/>
      <c r="K3" s="1022"/>
    </row>
    <row r="4" spans="1:11" ht="15.75" thickBot="1" x14ac:dyDescent="0.3">
      <c r="A4" s="1035" t="s">
        <v>984</v>
      </c>
      <c r="B4" s="1037"/>
      <c r="C4" s="1107" t="s">
        <v>1408</v>
      </c>
      <c r="D4" s="1108"/>
      <c r="E4" s="1108"/>
      <c r="F4" s="1109"/>
      <c r="G4" s="1035" t="s">
        <v>38</v>
      </c>
      <c r="H4" s="1037"/>
      <c r="I4" s="1020" t="s">
        <v>753</v>
      </c>
      <c r="J4" s="1021"/>
      <c r="K4" s="1022"/>
    </row>
    <row r="5" spans="1:11" ht="15.75" thickBot="1" x14ac:dyDescent="0.3">
      <c r="A5" s="1035" t="s">
        <v>315</v>
      </c>
      <c r="B5" s="1037"/>
      <c r="C5" s="1020" t="s">
        <v>1501</v>
      </c>
      <c r="D5" s="1021"/>
      <c r="E5" s="1021"/>
      <c r="F5" s="1022"/>
      <c r="G5" s="1035" t="s">
        <v>985</v>
      </c>
      <c r="H5" s="1037"/>
      <c r="I5" s="1020" t="s">
        <v>1154</v>
      </c>
      <c r="J5" s="1021"/>
      <c r="K5" s="1022"/>
    </row>
    <row r="6" spans="1:11" ht="15.75" thickBot="1" x14ac:dyDescent="0.3">
      <c r="A6" s="1035" t="s">
        <v>986</v>
      </c>
      <c r="B6" s="1037"/>
      <c r="C6" s="1020" t="s">
        <v>987</v>
      </c>
      <c r="D6" s="1021"/>
      <c r="E6" s="1021"/>
      <c r="F6" s="1022"/>
      <c r="G6" s="1035" t="s">
        <v>988</v>
      </c>
      <c r="H6" s="1037"/>
      <c r="I6" s="1020" t="s">
        <v>1154</v>
      </c>
      <c r="J6" s="1021"/>
      <c r="K6" s="1022"/>
    </row>
    <row r="7" spans="1:11" ht="15.75" thickBot="1" x14ac:dyDescent="0.3">
      <c r="A7" s="1020"/>
      <c r="B7" s="1021"/>
      <c r="C7" s="1021"/>
      <c r="D7" s="1021"/>
      <c r="E7" s="1021"/>
      <c r="F7" s="1021"/>
      <c r="G7" s="1021"/>
      <c r="H7" s="1021"/>
      <c r="I7" s="1021"/>
      <c r="J7" s="1021"/>
      <c r="K7" s="1022"/>
    </row>
    <row r="8" spans="1:11" x14ac:dyDescent="0.25">
      <c r="A8" s="1100" t="s">
        <v>989</v>
      </c>
      <c r="B8" s="1101"/>
      <c r="C8" s="1102"/>
      <c r="D8" s="1094" t="s">
        <v>1563</v>
      </c>
      <c r="E8" s="1057"/>
      <c r="F8" s="1057"/>
      <c r="G8" s="1057"/>
      <c r="H8" s="1057"/>
      <c r="I8" s="1057"/>
      <c r="J8" s="1057"/>
      <c r="K8" s="1058"/>
    </row>
    <row r="9" spans="1:11" ht="31.5" customHeight="1" thickBot="1" x14ac:dyDescent="0.3">
      <c r="A9" s="1104" t="s">
        <v>990</v>
      </c>
      <c r="B9" s="1105"/>
      <c r="C9" s="1106"/>
      <c r="D9" s="1103"/>
      <c r="E9" s="1098"/>
      <c r="F9" s="1098"/>
      <c r="G9" s="1098"/>
      <c r="H9" s="1098"/>
      <c r="I9" s="1098"/>
      <c r="J9" s="1098"/>
      <c r="K9" s="1099"/>
    </row>
    <row r="10" spans="1:11" ht="31.5" customHeight="1" thickBot="1" x14ac:dyDescent="0.3">
      <c r="A10" s="1035" t="s">
        <v>991</v>
      </c>
      <c r="B10" s="1036"/>
      <c r="C10" s="1037"/>
      <c r="D10" s="1076" t="s">
        <v>1564</v>
      </c>
      <c r="E10" s="1077"/>
      <c r="F10" s="1077"/>
      <c r="G10" s="1077"/>
      <c r="H10" s="1077"/>
      <c r="I10" s="1077"/>
      <c r="J10" s="1077"/>
      <c r="K10" s="1078"/>
    </row>
    <row r="11" spans="1:11" x14ac:dyDescent="0.25">
      <c r="A11" s="1085" t="s">
        <v>992</v>
      </c>
      <c r="B11" s="1086"/>
      <c r="C11" s="1087"/>
      <c r="D11" s="1094" t="s">
        <v>993</v>
      </c>
      <c r="E11" s="1057"/>
      <c r="F11" s="1057"/>
      <c r="G11" s="1057"/>
      <c r="H11" s="1057"/>
      <c r="I11" s="1057"/>
      <c r="J11" s="1057"/>
      <c r="K11" s="1058"/>
    </row>
    <row r="12" spans="1:11" x14ac:dyDescent="0.25">
      <c r="A12" s="1088"/>
      <c r="B12" s="1089"/>
      <c r="C12" s="1090"/>
      <c r="D12" s="1097" t="s">
        <v>994</v>
      </c>
      <c r="E12" s="1044"/>
      <c r="F12" s="1044"/>
      <c r="G12" s="1044"/>
      <c r="H12" s="1044"/>
      <c r="I12" s="1044"/>
      <c r="J12" s="1044"/>
      <c r="K12" s="1045"/>
    </row>
    <row r="13" spans="1:11" ht="15.75" thickBot="1" x14ac:dyDescent="0.3">
      <c r="A13" s="1091"/>
      <c r="B13" s="1092"/>
      <c r="C13" s="1093"/>
      <c r="D13" s="1097" t="s">
        <v>995</v>
      </c>
      <c r="E13" s="1044"/>
      <c r="F13" s="1044"/>
      <c r="G13" s="1044"/>
      <c r="H13" s="1044"/>
      <c r="I13" s="1044"/>
      <c r="J13" s="1044"/>
      <c r="K13" s="1045"/>
    </row>
    <row r="14" spans="1:11" x14ac:dyDescent="0.25">
      <c r="A14" s="1085" t="s">
        <v>996</v>
      </c>
      <c r="B14" s="1086"/>
      <c r="C14" s="1087"/>
      <c r="D14" s="1094" t="s">
        <v>997</v>
      </c>
      <c r="E14" s="1057"/>
      <c r="F14" s="1057"/>
      <c r="G14" s="1057"/>
      <c r="H14" s="1057"/>
      <c r="I14" s="1057"/>
      <c r="J14" s="1057"/>
      <c r="K14" s="1058"/>
    </row>
    <row r="15" spans="1:11" x14ac:dyDescent="0.25">
      <c r="A15" s="1088"/>
      <c r="B15" s="1089"/>
      <c r="C15" s="1090"/>
      <c r="D15" s="621">
        <v>1</v>
      </c>
      <c r="E15" s="1044" t="s">
        <v>1457</v>
      </c>
      <c r="F15" s="1044"/>
      <c r="G15" s="1044"/>
      <c r="H15" s="1044"/>
      <c r="I15" s="1044"/>
      <c r="J15" s="1044"/>
      <c r="K15" s="1045"/>
    </row>
    <row r="16" spans="1:11" x14ac:dyDescent="0.25">
      <c r="A16" s="1088"/>
      <c r="B16" s="1089"/>
      <c r="C16" s="1090"/>
      <c r="D16" s="621">
        <v>2</v>
      </c>
      <c r="E16" s="1044" t="s">
        <v>1458</v>
      </c>
      <c r="F16" s="1044"/>
      <c r="G16" s="1044"/>
      <c r="H16" s="1044"/>
      <c r="I16" s="1044"/>
      <c r="J16" s="1044"/>
      <c r="K16" s="1045"/>
    </row>
    <row r="17" spans="1:11" x14ac:dyDescent="0.25">
      <c r="A17" s="1088"/>
      <c r="B17" s="1089"/>
      <c r="C17" s="1090"/>
      <c r="D17" s="621">
        <v>3</v>
      </c>
      <c r="E17" s="1044" t="s">
        <v>1459</v>
      </c>
      <c r="F17" s="1044"/>
      <c r="G17" s="1044"/>
      <c r="H17" s="1044"/>
      <c r="I17" s="1044"/>
      <c r="J17" s="1044"/>
      <c r="K17" s="1045"/>
    </row>
    <row r="18" spans="1:11" x14ac:dyDescent="0.25">
      <c r="A18" s="1088"/>
      <c r="B18" s="1089"/>
      <c r="C18" s="1090"/>
      <c r="D18" s="621">
        <v>4</v>
      </c>
      <c r="E18" s="1044" t="s">
        <v>1039</v>
      </c>
      <c r="F18" s="1044"/>
      <c r="G18" s="1044"/>
      <c r="H18" s="1044"/>
      <c r="I18" s="1044"/>
      <c r="J18" s="1044"/>
      <c r="K18" s="1045"/>
    </row>
    <row r="19" spans="1:11" x14ac:dyDescent="0.25">
      <c r="A19" s="1088"/>
      <c r="B19" s="1089"/>
      <c r="C19" s="1090"/>
      <c r="D19" s="621">
        <v>5</v>
      </c>
      <c r="E19" s="1044" t="s">
        <v>1460</v>
      </c>
      <c r="F19" s="1044"/>
      <c r="G19" s="1044"/>
      <c r="H19" s="1044"/>
      <c r="I19" s="1044"/>
      <c r="J19" s="1044"/>
      <c r="K19" s="1045"/>
    </row>
    <row r="20" spans="1:11" x14ac:dyDescent="0.25">
      <c r="A20" s="1088"/>
      <c r="B20" s="1089"/>
      <c r="C20" s="1090"/>
      <c r="D20" s="621">
        <v>6</v>
      </c>
      <c r="E20" s="1044" t="s">
        <v>1461</v>
      </c>
      <c r="F20" s="1044"/>
      <c r="G20" s="1044"/>
      <c r="H20" s="1044"/>
      <c r="I20" s="1044"/>
      <c r="J20" s="1044"/>
      <c r="K20" s="1045"/>
    </row>
    <row r="21" spans="1:11" x14ac:dyDescent="0.25">
      <c r="A21" s="1088"/>
      <c r="B21" s="1089"/>
      <c r="C21" s="1090"/>
      <c r="D21" s="1097" t="s">
        <v>998</v>
      </c>
      <c r="E21" s="1044"/>
      <c r="F21" s="1044"/>
      <c r="G21" s="1044"/>
      <c r="H21" s="1044"/>
      <c r="I21" s="1044"/>
      <c r="J21" s="1044"/>
      <c r="K21" s="1045"/>
    </row>
    <row r="22" spans="1:11" ht="15.75" thickBot="1" x14ac:dyDescent="0.3">
      <c r="A22" s="1091"/>
      <c r="B22" s="1092"/>
      <c r="C22" s="1093"/>
      <c r="D22" s="626">
        <v>1</v>
      </c>
      <c r="E22" s="1098" t="s">
        <v>1462</v>
      </c>
      <c r="F22" s="1098"/>
      <c r="G22" s="1098"/>
      <c r="H22" s="1098"/>
      <c r="I22" s="1098"/>
      <c r="J22" s="1098"/>
      <c r="K22" s="1099"/>
    </row>
    <row r="23" spans="1:11" ht="30.75" customHeight="1" thickBot="1" x14ac:dyDescent="0.3">
      <c r="A23" s="1035" t="s">
        <v>999</v>
      </c>
      <c r="B23" s="1036"/>
      <c r="C23" s="1037"/>
      <c r="D23" s="1076" t="s">
        <v>1410</v>
      </c>
      <c r="E23" s="1077"/>
      <c r="F23" s="1077"/>
      <c r="G23" s="1077"/>
      <c r="H23" s="1077"/>
      <c r="I23" s="1077"/>
      <c r="J23" s="1077"/>
      <c r="K23" s="1078"/>
    </row>
    <row r="24" spans="1:11" ht="15.75" thickBot="1" x14ac:dyDescent="0.3">
      <c r="A24" s="1035" t="s">
        <v>629</v>
      </c>
      <c r="B24" s="1036"/>
      <c r="C24" s="1037"/>
      <c r="D24" s="1082" t="s">
        <v>1421</v>
      </c>
      <c r="E24" s="1083"/>
      <c r="F24" s="1083"/>
      <c r="G24" s="1083"/>
      <c r="H24" s="1083"/>
      <c r="I24" s="1083"/>
      <c r="J24" s="1083"/>
      <c r="K24" s="1084"/>
    </row>
    <row r="25" spans="1:11" ht="15.75" thickBot="1" x14ac:dyDescent="0.3">
      <c r="A25" s="1035" t="s">
        <v>1000</v>
      </c>
      <c r="B25" s="1036"/>
      <c r="C25" s="1037"/>
      <c r="D25" s="1076" t="s">
        <v>1420</v>
      </c>
      <c r="E25" s="1077"/>
      <c r="F25" s="1077"/>
      <c r="G25" s="1077"/>
      <c r="H25" s="1077"/>
      <c r="I25" s="1077"/>
      <c r="J25" s="1077"/>
      <c r="K25" s="1078"/>
    </row>
    <row r="26" spans="1:11" ht="15.75" thickBot="1" x14ac:dyDescent="0.3">
      <c r="A26" s="1020"/>
      <c r="B26" s="1021"/>
      <c r="C26" s="1021"/>
      <c r="D26" s="1021"/>
      <c r="E26" s="1021"/>
      <c r="F26" s="1021"/>
      <c r="G26" s="1021"/>
      <c r="H26" s="1021"/>
      <c r="I26" s="1021"/>
      <c r="J26" s="1021"/>
      <c r="K26" s="1022"/>
    </row>
    <row r="27" spans="1:11" ht="15.75" thickBot="1" x14ac:dyDescent="0.3">
      <c r="A27" s="1032" t="s">
        <v>1001</v>
      </c>
      <c r="B27" s="1033"/>
      <c r="C27" s="1033"/>
      <c r="D27" s="1033"/>
      <c r="E27" s="1033"/>
      <c r="F27" s="1033"/>
      <c r="G27" s="1033"/>
      <c r="H27" s="1033"/>
      <c r="I27" s="1033"/>
      <c r="J27" s="1033"/>
      <c r="K27" s="1034"/>
    </row>
    <row r="28" spans="1:11" ht="28.5" customHeight="1" x14ac:dyDescent="0.25">
      <c r="A28" s="1085" t="s">
        <v>627</v>
      </c>
      <c r="B28" s="1086"/>
      <c r="C28" s="1087"/>
      <c r="D28" s="1094" t="s">
        <v>1463</v>
      </c>
      <c r="E28" s="1057"/>
      <c r="F28" s="1057"/>
      <c r="G28" s="1057"/>
      <c r="H28" s="1057"/>
      <c r="I28" s="1057"/>
      <c r="J28" s="1057"/>
      <c r="K28" s="1058"/>
    </row>
    <row r="29" spans="1:11" ht="46.5" customHeight="1" x14ac:dyDescent="0.25">
      <c r="A29" s="1088"/>
      <c r="B29" s="1089"/>
      <c r="C29" s="1090"/>
      <c r="D29" s="627">
        <v>1</v>
      </c>
      <c r="E29" s="1095" t="s">
        <v>1565</v>
      </c>
      <c r="F29" s="1095"/>
      <c r="G29" s="1095"/>
      <c r="H29" s="1095"/>
      <c r="I29" s="1095"/>
      <c r="J29" s="1095"/>
      <c r="K29" s="1096"/>
    </row>
    <row r="30" spans="1:11" ht="45" customHeight="1" x14ac:dyDescent="0.25">
      <c r="A30" s="1088"/>
      <c r="B30" s="1089"/>
      <c r="C30" s="1090"/>
      <c r="D30" s="627">
        <v>2</v>
      </c>
      <c r="E30" s="1095" t="s">
        <v>1566</v>
      </c>
      <c r="F30" s="1095"/>
      <c r="G30" s="1095"/>
      <c r="H30" s="1095"/>
      <c r="I30" s="1095"/>
      <c r="J30" s="1095"/>
      <c r="K30" s="1096"/>
    </row>
    <row r="31" spans="1:11" ht="45.75" customHeight="1" x14ac:dyDescent="0.25">
      <c r="A31" s="1088"/>
      <c r="B31" s="1089"/>
      <c r="C31" s="1090"/>
      <c r="D31" s="627">
        <v>3</v>
      </c>
      <c r="E31" s="1095" t="s">
        <v>1567</v>
      </c>
      <c r="F31" s="1095"/>
      <c r="G31" s="1095"/>
      <c r="H31" s="1095"/>
      <c r="I31" s="1095"/>
      <c r="J31" s="1095"/>
      <c r="K31" s="1096"/>
    </row>
    <row r="32" spans="1:11" ht="46.5" customHeight="1" thickBot="1" x14ac:dyDescent="0.3">
      <c r="A32" s="1091"/>
      <c r="B32" s="1092"/>
      <c r="C32" s="1093"/>
      <c r="D32" s="627">
        <v>4</v>
      </c>
      <c r="E32" s="1095" t="s">
        <v>1568</v>
      </c>
      <c r="F32" s="1095"/>
      <c r="G32" s="1095"/>
      <c r="H32" s="1095"/>
      <c r="I32" s="1095"/>
      <c r="J32" s="1095"/>
      <c r="K32" s="1096"/>
    </row>
    <row r="33" spans="1:11" ht="15.75" thickBot="1" x14ac:dyDescent="0.3">
      <c r="A33" s="1035" t="s">
        <v>1002</v>
      </c>
      <c r="B33" s="1036"/>
      <c r="C33" s="1037"/>
      <c r="D33" s="1076" t="s">
        <v>1569</v>
      </c>
      <c r="E33" s="1077"/>
      <c r="F33" s="1077"/>
      <c r="G33" s="1077"/>
      <c r="H33" s="1077"/>
      <c r="I33" s="1077"/>
      <c r="J33" s="1077"/>
      <c r="K33" s="1078"/>
    </row>
    <row r="34" spans="1:11" ht="15.75" thickBot="1" x14ac:dyDescent="0.3">
      <c r="A34" s="1035" t="s">
        <v>1003</v>
      </c>
      <c r="B34" s="1036"/>
      <c r="C34" s="1037"/>
      <c r="D34" s="1076" t="s">
        <v>1004</v>
      </c>
      <c r="E34" s="1077"/>
      <c r="F34" s="1077"/>
      <c r="G34" s="1077"/>
      <c r="H34" s="1077"/>
      <c r="I34" s="1077"/>
      <c r="J34" s="1077"/>
      <c r="K34" s="1078"/>
    </row>
    <row r="35" spans="1:11" ht="59.25" customHeight="1" thickBot="1" x14ac:dyDescent="0.3">
      <c r="A35" s="1035" t="s">
        <v>626</v>
      </c>
      <c r="B35" s="1036"/>
      <c r="C35" s="1037"/>
      <c r="D35" s="1079" t="s">
        <v>1570</v>
      </c>
      <c r="E35" s="1080"/>
      <c r="F35" s="1080"/>
      <c r="G35" s="1080"/>
      <c r="H35" s="1080"/>
      <c r="I35" s="1080"/>
      <c r="J35" s="1080"/>
      <c r="K35" s="1081"/>
    </row>
    <row r="36" spans="1:11" ht="15.75" thickBot="1" x14ac:dyDescent="0.3">
      <c r="A36" s="1020"/>
      <c r="B36" s="1021"/>
      <c r="C36" s="1021"/>
      <c r="D36" s="1021"/>
      <c r="E36" s="1021"/>
      <c r="F36" s="1021"/>
      <c r="G36" s="1021"/>
      <c r="H36" s="1021"/>
      <c r="I36" s="1021"/>
      <c r="J36" s="1021"/>
      <c r="K36" s="1022"/>
    </row>
    <row r="37" spans="1:11" ht="15.75" thickBot="1" x14ac:dyDescent="0.3">
      <c r="A37" s="1032" t="s">
        <v>1005</v>
      </c>
      <c r="B37" s="1033"/>
      <c r="C37" s="1033"/>
      <c r="D37" s="1033"/>
      <c r="E37" s="1033"/>
      <c r="F37" s="1033"/>
      <c r="G37" s="1033"/>
      <c r="H37" s="1033"/>
      <c r="I37" s="1033"/>
      <c r="J37" s="1033"/>
      <c r="K37" s="1034"/>
    </row>
    <row r="38" spans="1:11" ht="15.75" thickBot="1" x14ac:dyDescent="0.3">
      <c r="A38" s="1035" t="s">
        <v>1673</v>
      </c>
      <c r="B38" s="1036"/>
      <c r="C38" s="1036"/>
      <c r="D38" s="1036"/>
      <c r="E38" s="1036"/>
      <c r="F38" s="1036"/>
      <c r="G38" s="1036"/>
      <c r="H38" s="1036"/>
      <c r="I38" s="1036"/>
      <c r="J38" s="1036"/>
      <c r="K38" s="1037"/>
    </row>
    <row r="39" spans="1:11" ht="46.5" customHeight="1" thickBot="1" x14ac:dyDescent="0.3">
      <c r="A39" s="1035" t="s">
        <v>1006</v>
      </c>
      <c r="B39" s="1036"/>
      <c r="C39" s="1037"/>
      <c r="D39" s="1020" t="s">
        <v>1571</v>
      </c>
      <c r="E39" s="1021"/>
      <c r="F39" s="1021"/>
      <c r="G39" s="1021"/>
      <c r="H39" s="1021"/>
      <c r="I39" s="1021"/>
      <c r="J39" s="1021"/>
      <c r="K39" s="1022"/>
    </row>
    <row r="40" spans="1:11" ht="30.75" thickBot="1" x14ac:dyDescent="0.3">
      <c r="A40" s="1035" t="s">
        <v>1007</v>
      </c>
      <c r="B40" s="1036"/>
      <c r="C40" s="1037"/>
      <c r="D40" s="1070"/>
      <c r="E40" s="1071"/>
      <c r="F40" s="1071"/>
      <c r="G40" s="1071"/>
      <c r="H40" s="1071"/>
      <c r="I40" s="1072"/>
      <c r="J40" s="378" t="s">
        <v>1008</v>
      </c>
      <c r="K40" s="631" t="s">
        <v>1417</v>
      </c>
    </row>
    <row r="41" spans="1:11" x14ac:dyDescent="0.25">
      <c r="A41" s="1073"/>
      <c r="B41" s="1074"/>
      <c r="C41" s="1074"/>
      <c r="D41" s="1074"/>
      <c r="E41" s="1074"/>
      <c r="F41" s="1074"/>
      <c r="G41" s="1074"/>
      <c r="H41" s="1074"/>
      <c r="I41" s="1074"/>
      <c r="J41" s="1074"/>
      <c r="K41" s="1075"/>
    </row>
    <row r="42" spans="1:11" ht="31.5" customHeight="1" x14ac:dyDescent="0.25">
      <c r="A42" s="632">
        <v>1</v>
      </c>
      <c r="B42" s="624"/>
      <c r="C42" s="1044" t="s">
        <v>1441</v>
      </c>
      <c r="D42" s="1044"/>
      <c r="E42" s="1044"/>
      <c r="F42" s="1044"/>
      <c r="G42" s="1044"/>
      <c r="H42" s="1044"/>
      <c r="I42" s="1044"/>
      <c r="J42" s="1044"/>
      <c r="K42" s="1045"/>
    </row>
    <row r="43" spans="1:11" x14ac:dyDescent="0.25">
      <c r="A43" s="628">
        <v>2</v>
      </c>
      <c r="B43" s="624"/>
      <c r="C43" s="1044" t="s">
        <v>1432</v>
      </c>
      <c r="D43" s="1044"/>
      <c r="E43" s="1044"/>
      <c r="F43" s="1044"/>
      <c r="G43" s="1044"/>
      <c r="H43" s="1044"/>
      <c r="I43" s="1044"/>
      <c r="J43" s="1044"/>
      <c r="K43" s="1045"/>
    </row>
    <row r="44" spans="1:11" x14ac:dyDescent="0.25">
      <c r="A44" s="628">
        <v>3</v>
      </c>
      <c r="B44" s="624"/>
      <c r="C44" s="1044" t="s">
        <v>1438</v>
      </c>
      <c r="D44" s="1044"/>
      <c r="E44" s="1044"/>
      <c r="F44" s="1044"/>
      <c r="G44" s="1044"/>
      <c r="H44" s="1044"/>
      <c r="I44" s="1044"/>
      <c r="J44" s="1044"/>
      <c r="K44" s="1045"/>
    </row>
    <row r="45" spans="1:11" x14ac:dyDescent="0.25">
      <c r="A45" s="628">
        <v>4</v>
      </c>
      <c r="B45" s="624"/>
      <c r="C45" s="1044" t="s">
        <v>1433</v>
      </c>
      <c r="D45" s="1044"/>
      <c r="E45" s="1044"/>
      <c r="F45" s="1044"/>
      <c r="G45" s="1044"/>
      <c r="H45" s="1044"/>
      <c r="I45" s="1044"/>
      <c r="J45" s="1044"/>
      <c r="K45" s="1045"/>
    </row>
    <row r="46" spans="1:11" x14ac:dyDescent="0.25">
      <c r="A46" s="628">
        <v>5</v>
      </c>
      <c r="B46" s="150"/>
      <c r="C46" s="1044" t="s">
        <v>1439</v>
      </c>
      <c r="D46" s="1044"/>
      <c r="E46" s="1044"/>
      <c r="F46" s="1044"/>
      <c r="G46" s="1044"/>
      <c r="H46" s="1044"/>
      <c r="I46" s="1044"/>
      <c r="J46" s="1044"/>
      <c r="K46" s="1045"/>
    </row>
    <row r="47" spans="1:11" x14ac:dyDescent="0.25">
      <c r="A47" s="628">
        <v>6</v>
      </c>
      <c r="B47" s="624"/>
      <c r="C47" s="1044" t="s">
        <v>1442</v>
      </c>
      <c r="D47" s="1044"/>
      <c r="E47" s="1044"/>
      <c r="F47" s="1044"/>
      <c r="G47" s="1044"/>
      <c r="H47" s="1044"/>
      <c r="I47" s="1044"/>
      <c r="J47" s="1044"/>
      <c r="K47" s="1045"/>
    </row>
    <row r="48" spans="1:11" x14ac:dyDescent="0.25">
      <c r="A48" s="628">
        <v>7</v>
      </c>
      <c r="B48" s="624"/>
      <c r="C48" s="1044" t="s">
        <v>1443</v>
      </c>
      <c r="D48" s="1044"/>
      <c r="E48" s="1044"/>
      <c r="F48" s="1044"/>
      <c r="G48" s="1044"/>
      <c r="H48" s="1044"/>
      <c r="I48" s="1044"/>
      <c r="J48" s="1044"/>
      <c r="K48" s="1045"/>
    </row>
    <row r="49" spans="1:11" x14ac:dyDescent="0.25">
      <c r="A49" s="628">
        <v>8</v>
      </c>
      <c r="B49" s="624"/>
      <c r="C49" s="1044" t="s">
        <v>1434</v>
      </c>
      <c r="D49" s="1044"/>
      <c r="E49" s="1044"/>
      <c r="F49" s="1044"/>
      <c r="G49" s="1044"/>
      <c r="H49" s="1044"/>
      <c r="I49" s="1044"/>
      <c r="J49" s="1044"/>
      <c r="K49" s="1045"/>
    </row>
    <row r="50" spans="1:11" ht="30.75" customHeight="1" x14ac:dyDescent="0.25">
      <c r="A50" s="628" t="s">
        <v>1435</v>
      </c>
      <c r="B50" s="624" t="s">
        <v>1437</v>
      </c>
      <c r="C50" s="1044" t="s">
        <v>1571</v>
      </c>
      <c r="D50" s="1044"/>
      <c r="E50" s="1044"/>
      <c r="F50" s="1044"/>
      <c r="G50" s="1044"/>
      <c r="H50" s="1044"/>
      <c r="I50" s="1044"/>
      <c r="J50" s="1044"/>
      <c r="K50" s="1045"/>
    </row>
    <row r="51" spans="1:11" x14ac:dyDescent="0.25">
      <c r="A51" s="628">
        <v>9</v>
      </c>
      <c r="B51" s="242"/>
      <c r="C51" s="1044" t="s">
        <v>1440</v>
      </c>
      <c r="D51" s="1044"/>
      <c r="E51" s="1044"/>
      <c r="F51" s="1044"/>
      <c r="G51" s="1044"/>
      <c r="H51" s="1044"/>
      <c r="I51" s="1044"/>
      <c r="J51" s="1044"/>
      <c r="K51" s="1045"/>
    </row>
    <row r="52" spans="1:11" x14ac:dyDescent="0.25">
      <c r="A52" s="1067"/>
      <c r="B52" s="1068"/>
      <c r="C52" s="1068"/>
      <c r="D52" s="1068"/>
      <c r="E52" s="1068"/>
      <c r="F52" s="1068"/>
      <c r="G52" s="1068"/>
      <c r="H52" s="1068"/>
      <c r="I52" s="1068"/>
      <c r="J52" s="1068"/>
      <c r="K52" s="1069"/>
    </row>
    <row r="53" spans="1:11" ht="15.75" thickBot="1" x14ac:dyDescent="0.3">
      <c r="A53" s="1046"/>
      <c r="B53" s="1047"/>
      <c r="C53" s="1047"/>
      <c r="D53" s="1047"/>
      <c r="E53" s="1047"/>
      <c r="F53" s="1047"/>
      <c r="G53" s="1047"/>
      <c r="H53" s="1047"/>
      <c r="I53" s="1047"/>
      <c r="J53" s="1047"/>
      <c r="K53" s="1048"/>
    </row>
    <row r="54" spans="1:11" ht="30.75" thickBot="1" x14ac:dyDescent="0.3">
      <c r="A54" s="1054" t="s">
        <v>1009</v>
      </c>
      <c r="B54" s="1055"/>
      <c r="C54" s="1056"/>
      <c r="D54" s="1020"/>
      <c r="E54" s="1021"/>
      <c r="F54" s="1021"/>
      <c r="G54" s="1021"/>
      <c r="H54" s="1021"/>
      <c r="I54" s="1022"/>
      <c r="J54" s="378" t="s">
        <v>1008</v>
      </c>
      <c r="K54" s="631" t="s">
        <v>1415</v>
      </c>
    </row>
    <row r="55" spans="1:11" x14ac:dyDescent="0.25">
      <c r="A55" s="1064"/>
      <c r="B55" s="1065"/>
      <c r="C55" s="1065"/>
      <c r="D55" s="1065"/>
      <c r="E55" s="1065"/>
      <c r="F55" s="1065"/>
      <c r="G55" s="1065"/>
      <c r="H55" s="1065"/>
      <c r="I55" s="1065"/>
      <c r="J55" s="1065"/>
      <c r="K55" s="1066"/>
    </row>
    <row r="56" spans="1:11" x14ac:dyDescent="0.25">
      <c r="A56" s="620" t="s">
        <v>1</v>
      </c>
      <c r="B56" s="1059" t="s">
        <v>1444</v>
      </c>
      <c r="C56" s="1059"/>
      <c r="D56" s="1059"/>
      <c r="E56" s="1059"/>
      <c r="F56" s="1059"/>
      <c r="G56" s="1059"/>
      <c r="H56" s="1059"/>
      <c r="I56" s="1059"/>
      <c r="J56" s="1059"/>
      <c r="K56" s="1060"/>
    </row>
    <row r="57" spans="1:11" ht="45.75" customHeight="1" x14ac:dyDescent="0.25">
      <c r="A57" s="615"/>
      <c r="B57" s="624">
        <v>1</v>
      </c>
      <c r="C57" s="1044" t="s">
        <v>1572</v>
      </c>
      <c r="D57" s="1044"/>
      <c r="E57" s="1044"/>
      <c r="F57" s="1044"/>
      <c r="G57" s="1044"/>
      <c r="H57" s="1044"/>
      <c r="I57" s="1044"/>
      <c r="J57" s="1044"/>
      <c r="K57" s="1045"/>
    </row>
    <row r="58" spans="1:11" x14ac:dyDescent="0.25">
      <c r="A58" s="615"/>
      <c r="B58" s="150"/>
      <c r="C58" s="142" t="s">
        <v>1437</v>
      </c>
      <c r="D58" s="1044" t="s">
        <v>1446</v>
      </c>
      <c r="E58" s="1044"/>
      <c r="F58" s="1044"/>
      <c r="G58" s="1044"/>
      <c r="H58" s="1044"/>
      <c r="I58" s="1044"/>
      <c r="J58" s="1044"/>
      <c r="K58" s="1045"/>
    </row>
    <row r="59" spans="1:11" ht="33" customHeight="1" x14ac:dyDescent="0.25">
      <c r="A59" s="615"/>
      <c r="B59" s="150"/>
      <c r="C59" s="625" t="s">
        <v>1466</v>
      </c>
      <c r="D59" s="1044" t="s">
        <v>1447</v>
      </c>
      <c r="E59" s="1044"/>
      <c r="F59" s="1044"/>
      <c r="G59" s="1044"/>
      <c r="H59" s="1044"/>
      <c r="I59" s="1044"/>
      <c r="J59" s="1044"/>
      <c r="K59" s="1045"/>
    </row>
    <row r="60" spans="1:11" ht="30" customHeight="1" x14ac:dyDescent="0.25">
      <c r="A60" s="615"/>
      <c r="B60" s="150"/>
      <c r="C60" s="625" t="s">
        <v>1464</v>
      </c>
      <c r="D60" s="1044" t="s">
        <v>1448</v>
      </c>
      <c r="E60" s="1044"/>
      <c r="F60" s="1044"/>
      <c r="G60" s="1044"/>
      <c r="H60" s="1044"/>
      <c r="I60" s="1044"/>
      <c r="J60" s="1044"/>
      <c r="K60" s="1045"/>
    </row>
    <row r="61" spans="1:11" x14ac:dyDescent="0.25">
      <c r="A61" s="615"/>
      <c r="B61" s="624">
        <v>2</v>
      </c>
      <c r="C61" s="1044" t="s">
        <v>1573</v>
      </c>
      <c r="D61" s="1044"/>
      <c r="E61" s="1044"/>
      <c r="F61" s="1044"/>
      <c r="G61" s="1044"/>
      <c r="H61" s="1044"/>
      <c r="I61" s="1044"/>
      <c r="J61" s="1044"/>
      <c r="K61" s="1045"/>
    </row>
    <row r="62" spans="1:11" x14ac:dyDescent="0.25">
      <c r="A62" s="615"/>
      <c r="B62" s="150">
        <v>3</v>
      </c>
      <c r="C62" s="1044" t="s">
        <v>1450</v>
      </c>
      <c r="D62" s="1044"/>
      <c r="E62" s="1044"/>
      <c r="F62" s="1044"/>
      <c r="G62" s="1044"/>
      <c r="H62" s="1044"/>
      <c r="I62" s="1044"/>
      <c r="J62" s="1044"/>
      <c r="K62" s="1045"/>
    </row>
    <row r="63" spans="1:11" ht="32.25" customHeight="1" x14ac:dyDescent="0.25">
      <c r="A63" s="615"/>
      <c r="B63" s="150"/>
      <c r="C63" s="625" t="s">
        <v>1437</v>
      </c>
      <c r="D63" s="1044" t="s">
        <v>1670</v>
      </c>
      <c r="E63" s="1044"/>
      <c r="F63" s="1044"/>
      <c r="G63" s="1044"/>
      <c r="H63" s="1044"/>
      <c r="I63" s="1044"/>
      <c r="J63" s="1044"/>
      <c r="K63" s="1045"/>
    </row>
    <row r="64" spans="1:11" ht="28.5" customHeight="1" x14ac:dyDescent="0.25">
      <c r="A64" s="615"/>
      <c r="B64" s="150"/>
      <c r="C64" s="625" t="s">
        <v>1466</v>
      </c>
      <c r="D64" s="1044" t="s">
        <v>1452</v>
      </c>
      <c r="E64" s="1044"/>
      <c r="F64" s="1044"/>
      <c r="G64" s="1044"/>
      <c r="H64" s="1044"/>
      <c r="I64" s="1044"/>
      <c r="J64" s="1044"/>
      <c r="K64" s="1045"/>
    </row>
    <row r="65" spans="1:11" x14ac:dyDescent="0.25">
      <c r="A65" s="615"/>
      <c r="B65" s="150"/>
      <c r="C65" s="142" t="s">
        <v>1464</v>
      </c>
      <c r="D65" s="1044" t="s">
        <v>1453</v>
      </c>
      <c r="E65" s="1044"/>
      <c r="F65" s="1044"/>
      <c r="G65" s="1044"/>
      <c r="H65" s="1044"/>
      <c r="I65" s="1044"/>
      <c r="J65" s="1044"/>
      <c r="K65" s="1045"/>
    </row>
    <row r="66" spans="1:11" x14ac:dyDescent="0.25">
      <c r="A66" s="615"/>
      <c r="B66" s="150"/>
      <c r="C66" s="142" t="s">
        <v>1465</v>
      </c>
      <c r="D66" s="1044" t="s">
        <v>1454</v>
      </c>
      <c r="E66" s="1044"/>
      <c r="F66" s="1044"/>
      <c r="G66" s="1044"/>
      <c r="H66" s="1044"/>
      <c r="I66" s="1044"/>
      <c r="J66" s="1044"/>
      <c r="K66" s="1045"/>
    </row>
    <row r="67" spans="1:11" ht="30" customHeight="1" x14ac:dyDescent="0.25">
      <c r="A67" s="615"/>
      <c r="B67" s="624">
        <v>4</v>
      </c>
      <c r="C67" s="1044" t="s">
        <v>1551</v>
      </c>
      <c r="D67" s="1044"/>
      <c r="E67" s="1044"/>
      <c r="F67" s="1044"/>
      <c r="G67" s="1044"/>
      <c r="H67" s="1044"/>
      <c r="I67" s="1044"/>
      <c r="J67" s="1044"/>
      <c r="K67" s="1045"/>
    </row>
    <row r="68" spans="1:11" x14ac:dyDescent="0.25">
      <c r="A68" s="615"/>
      <c r="B68" s="150"/>
      <c r="C68" s="142" t="s">
        <v>1437</v>
      </c>
      <c r="D68" s="1044" t="s">
        <v>1456</v>
      </c>
      <c r="E68" s="1044"/>
      <c r="F68" s="1044"/>
      <c r="G68" s="1044"/>
      <c r="H68" s="1044"/>
      <c r="I68" s="1044"/>
      <c r="J68" s="1044"/>
      <c r="K68" s="1045"/>
    </row>
    <row r="69" spans="1:11" x14ac:dyDescent="0.25">
      <c r="A69" s="1063"/>
      <c r="B69" s="1059"/>
      <c r="C69" s="1059"/>
      <c r="D69" s="1059"/>
      <c r="E69" s="1059"/>
      <c r="F69" s="1059"/>
      <c r="G69" s="1059"/>
      <c r="H69" s="1059"/>
      <c r="I69" s="1059"/>
      <c r="J69" s="1059"/>
      <c r="K69" s="1060"/>
    </row>
    <row r="70" spans="1:11" x14ac:dyDescent="0.25">
      <c r="A70" s="620" t="s">
        <v>2</v>
      </c>
      <c r="B70" s="1059" t="s">
        <v>1467</v>
      </c>
      <c r="C70" s="1059"/>
      <c r="D70" s="1059"/>
      <c r="E70" s="1059"/>
      <c r="F70" s="1059"/>
      <c r="G70" s="1059"/>
      <c r="H70" s="1059"/>
      <c r="I70" s="1059"/>
      <c r="J70" s="1059"/>
      <c r="K70" s="1060"/>
    </row>
    <row r="71" spans="1:11" ht="29.25" customHeight="1" x14ac:dyDescent="0.25">
      <c r="A71" s="615"/>
      <c r="B71" s="624">
        <v>1</v>
      </c>
      <c r="C71" s="1052" t="s">
        <v>1552</v>
      </c>
      <c r="D71" s="1052"/>
      <c r="E71" s="1052"/>
      <c r="F71" s="1052"/>
      <c r="G71" s="1052"/>
      <c r="H71" s="1052"/>
      <c r="I71" s="1052"/>
      <c r="J71" s="1052"/>
      <c r="K71" s="1053"/>
    </row>
    <row r="72" spans="1:11" x14ac:dyDescent="0.25">
      <c r="A72" s="615"/>
      <c r="B72" s="150">
        <v>2</v>
      </c>
      <c r="C72" s="1052" t="s">
        <v>1468</v>
      </c>
      <c r="D72" s="1052"/>
      <c r="E72" s="1052"/>
      <c r="F72" s="1052"/>
      <c r="G72" s="1052"/>
      <c r="H72" s="1052"/>
      <c r="I72" s="1052"/>
      <c r="J72" s="1052"/>
      <c r="K72" s="1053"/>
    </row>
    <row r="73" spans="1:11" x14ac:dyDescent="0.25">
      <c r="A73" s="615"/>
      <c r="B73" s="150">
        <v>3</v>
      </c>
      <c r="C73" s="1052" t="s">
        <v>1469</v>
      </c>
      <c r="D73" s="1052"/>
      <c r="E73" s="1052"/>
      <c r="F73" s="1052"/>
      <c r="G73" s="1052"/>
      <c r="H73" s="1052"/>
      <c r="I73" s="1052"/>
      <c r="J73" s="1052"/>
      <c r="K73" s="1053"/>
    </row>
    <row r="74" spans="1:11" x14ac:dyDescent="0.25">
      <c r="A74" s="615"/>
      <c r="B74" s="150">
        <v>4</v>
      </c>
      <c r="C74" s="1052" t="s">
        <v>1470</v>
      </c>
      <c r="D74" s="1052"/>
      <c r="E74" s="1052"/>
      <c r="F74" s="1052"/>
      <c r="G74" s="1052"/>
      <c r="H74" s="1052"/>
      <c r="I74" s="1052"/>
      <c r="J74" s="1052"/>
      <c r="K74" s="1053"/>
    </row>
    <row r="75" spans="1:11" x14ac:dyDescent="0.25">
      <c r="A75" s="615"/>
      <c r="B75" s="1061"/>
      <c r="C75" s="1061"/>
      <c r="D75" s="1061"/>
      <c r="E75" s="1061"/>
      <c r="F75" s="1061"/>
      <c r="G75" s="1061"/>
      <c r="H75" s="1061"/>
      <c r="I75" s="1061"/>
      <c r="J75" s="1061"/>
      <c r="K75" s="1062"/>
    </row>
    <row r="76" spans="1:11" x14ac:dyDescent="0.25">
      <c r="A76" s="620" t="s">
        <v>3</v>
      </c>
      <c r="B76" s="1059" t="s">
        <v>1471</v>
      </c>
      <c r="C76" s="1059"/>
      <c r="D76" s="1059"/>
      <c r="E76" s="1059"/>
      <c r="F76" s="1059"/>
      <c r="G76" s="1059"/>
      <c r="H76" s="1059"/>
      <c r="I76" s="1059"/>
      <c r="J76" s="1059"/>
      <c r="K76" s="1060"/>
    </row>
    <row r="77" spans="1:11" x14ac:dyDescent="0.25">
      <c r="A77" s="615"/>
      <c r="B77" s="150">
        <v>1</v>
      </c>
      <c r="C77" s="1044" t="s">
        <v>1472</v>
      </c>
      <c r="D77" s="1044"/>
      <c r="E77" s="1044"/>
      <c r="F77" s="1044"/>
      <c r="G77" s="1044"/>
      <c r="H77" s="1044"/>
      <c r="I77" s="1044"/>
      <c r="J77" s="1044"/>
      <c r="K77" s="1045"/>
    </row>
    <row r="78" spans="1:11" ht="31.5" customHeight="1" x14ac:dyDescent="0.25">
      <c r="A78" s="615"/>
      <c r="B78" s="624">
        <v>2</v>
      </c>
      <c r="C78" s="1044" t="s">
        <v>1473</v>
      </c>
      <c r="D78" s="1044"/>
      <c r="E78" s="1044"/>
      <c r="F78" s="1044"/>
      <c r="G78" s="1044"/>
      <c r="H78" s="1044"/>
      <c r="I78" s="1044"/>
      <c r="J78" s="1044"/>
      <c r="K78" s="1045"/>
    </row>
    <row r="79" spans="1:11" ht="45.75" customHeight="1" x14ac:dyDescent="0.25">
      <c r="A79" s="615"/>
      <c r="B79" s="624">
        <v>3</v>
      </c>
      <c r="C79" s="1044" t="s">
        <v>1574</v>
      </c>
      <c r="D79" s="1044"/>
      <c r="E79" s="1044"/>
      <c r="F79" s="1044"/>
      <c r="G79" s="1044"/>
      <c r="H79" s="1044"/>
      <c r="I79" s="1044"/>
      <c r="J79" s="1044"/>
      <c r="K79" s="1045"/>
    </row>
    <row r="80" spans="1:11" ht="26.25" customHeight="1" x14ac:dyDescent="0.25">
      <c r="A80" s="615"/>
      <c r="B80" s="150">
        <v>4</v>
      </c>
      <c r="C80" s="1044" t="s">
        <v>1575</v>
      </c>
      <c r="D80" s="1044"/>
      <c r="E80" s="1044"/>
      <c r="F80" s="1044"/>
      <c r="G80" s="1044"/>
      <c r="H80" s="1044"/>
      <c r="I80" s="1044"/>
      <c r="J80" s="1044"/>
      <c r="K80" s="1045"/>
    </row>
    <row r="81" spans="1:11" x14ac:dyDescent="0.25">
      <c r="A81" s="615"/>
      <c r="B81" s="616"/>
      <c r="C81" s="616"/>
      <c r="D81" s="616"/>
      <c r="E81" s="616"/>
      <c r="F81" s="616"/>
      <c r="G81" s="616"/>
      <c r="H81" s="616"/>
      <c r="I81" s="616"/>
      <c r="J81" s="616"/>
      <c r="K81" s="617"/>
    </row>
    <row r="82" spans="1:11" x14ac:dyDescent="0.25">
      <c r="A82" s="620" t="s">
        <v>67</v>
      </c>
      <c r="B82" s="1059" t="s">
        <v>1476</v>
      </c>
      <c r="C82" s="1059"/>
      <c r="D82" s="1059"/>
      <c r="E82" s="1059"/>
      <c r="F82" s="1059"/>
      <c r="G82" s="1059"/>
      <c r="H82" s="1059"/>
      <c r="I82" s="1059"/>
      <c r="J82" s="1059"/>
      <c r="K82" s="1060"/>
    </row>
    <row r="83" spans="1:11" x14ac:dyDescent="0.25">
      <c r="A83" s="615"/>
      <c r="B83" s="624">
        <v>1</v>
      </c>
      <c r="C83" s="1044" t="s">
        <v>1576</v>
      </c>
      <c r="D83" s="1044"/>
      <c r="E83" s="1044"/>
      <c r="F83" s="1044"/>
      <c r="G83" s="1044"/>
      <c r="H83" s="1044"/>
      <c r="I83" s="1044"/>
      <c r="J83" s="1044"/>
      <c r="K83" s="1045"/>
    </row>
    <row r="84" spans="1:11" ht="30" customHeight="1" x14ac:dyDescent="0.25">
      <c r="A84" s="615"/>
      <c r="B84" s="624">
        <v>2</v>
      </c>
      <c r="C84" s="1044" t="s">
        <v>1577</v>
      </c>
      <c r="D84" s="1044"/>
      <c r="E84" s="1044"/>
      <c r="F84" s="1044"/>
      <c r="G84" s="1044"/>
      <c r="H84" s="1044"/>
      <c r="I84" s="1044"/>
      <c r="J84" s="1044"/>
      <c r="K84" s="1045"/>
    </row>
    <row r="85" spans="1:11" x14ac:dyDescent="0.25">
      <c r="A85" s="615"/>
      <c r="B85" s="150">
        <v>3</v>
      </c>
      <c r="C85" s="1044" t="s">
        <v>1478</v>
      </c>
      <c r="D85" s="1044"/>
      <c r="E85" s="1044"/>
      <c r="F85" s="1044"/>
      <c r="G85" s="1044"/>
      <c r="H85" s="1044"/>
      <c r="I85" s="1044"/>
      <c r="J85" s="1044"/>
      <c r="K85" s="1045"/>
    </row>
    <row r="86" spans="1:11" x14ac:dyDescent="0.25">
      <c r="A86" s="615"/>
      <c r="B86" s="150"/>
      <c r="C86" s="622"/>
      <c r="D86" s="622"/>
      <c r="E86" s="622"/>
      <c r="F86" s="622"/>
      <c r="G86" s="622"/>
      <c r="H86" s="622"/>
      <c r="I86" s="622"/>
      <c r="J86" s="622"/>
      <c r="K86" s="623"/>
    </row>
    <row r="87" spans="1:11" x14ac:dyDescent="0.25">
      <c r="A87" s="620" t="s">
        <v>1479</v>
      </c>
      <c r="B87" s="1059" t="s">
        <v>1480</v>
      </c>
      <c r="C87" s="1059"/>
      <c r="D87" s="1059"/>
      <c r="E87" s="1059"/>
      <c r="F87" s="1059"/>
      <c r="G87" s="1059"/>
      <c r="H87" s="1059"/>
      <c r="I87" s="1059"/>
      <c r="J87" s="1059"/>
      <c r="K87" s="1060"/>
    </row>
    <row r="88" spans="1:11" x14ac:dyDescent="0.25">
      <c r="A88" s="615"/>
      <c r="B88" s="150">
        <v>1</v>
      </c>
      <c r="C88" s="1044" t="s">
        <v>1423</v>
      </c>
      <c r="D88" s="1044"/>
      <c r="E88" s="1044"/>
      <c r="F88" s="1044"/>
      <c r="G88" s="1044"/>
      <c r="H88" s="1044"/>
      <c r="I88" s="1044"/>
      <c r="J88" s="1044"/>
      <c r="K88" s="1045"/>
    </row>
    <row r="89" spans="1:11" ht="30.75" customHeight="1" x14ac:dyDescent="0.25">
      <c r="A89" s="615"/>
      <c r="B89" s="150">
        <v>2</v>
      </c>
      <c r="C89" s="1095" t="s">
        <v>1578</v>
      </c>
      <c r="D89" s="1095"/>
      <c r="E89" s="1095"/>
      <c r="F89" s="1095"/>
      <c r="G89" s="1095"/>
      <c r="H89" s="1095"/>
      <c r="I89" s="1095"/>
      <c r="J89" s="1095"/>
      <c r="K89" s="1096"/>
    </row>
    <row r="90" spans="1:11" ht="29.25" customHeight="1" x14ac:dyDescent="0.25">
      <c r="A90" s="615"/>
      <c r="B90" s="150">
        <v>3</v>
      </c>
      <c r="C90" s="1044" t="s">
        <v>1424</v>
      </c>
      <c r="D90" s="1044"/>
      <c r="E90" s="1044"/>
      <c r="F90" s="1044"/>
      <c r="G90" s="1044"/>
      <c r="H90" s="1044"/>
      <c r="I90" s="1044"/>
      <c r="J90" s="1044"/>
      <c r="K90" s="1045"/>
    </row>
    <row r="91" spans="1:11" ht="29.25" customHeight="1" x14ac:dyDescent="0.25">
      <c r="A91" s="615"/>
      <c r="B91" s="624">
        <v>4</v>
      </c>
      <c r="C91" s="1044" t="s">
        <v>1485</v>
      </c>
      <c r="D91" s="1044"/>
      <c r="E91" s="1044"/>
      <c r="F91" s="1044"/>
      <c r="G91" s="1044"/>
      <c r="H91" s="1044"/>
      <c r="I91" s="1044"/>
      <c r="J91" s="1044"/>
      <c r="K91" s="1045"/>
    </row>
    <row r="92" spans="1:11" x14ac:dyDescent="0.25">
      <c r="A92" s="615"/>
      <c r="B92" s="150">
        <v>5</v>
      </c>
      <c r="C92" s="1044" t="s">
        <v>1579</v>
      </c>
      <c r="D92" s="1044"/>
      <c r="E92" s="1044"/>
      <c r="F92" s="1044"/>
      <c r="G92" s="1044"/>
      <c r="H92" s="1044"/>
      <c r="I92" s="1044"/>
      <c r="J92" s="1044"/>
      <c r="K92" s="1045"/>
    </row>
    <row r="93" spans="1:11" x14ac:dyDescent="0.25">
      <c r="A93" s="615"/>
      <c r="B93" s="616"/>
      <c r="C93" s="616"/>
      <c r="D93" s="616"/>
      <c r="E93" s="616"/>
      <c r="F93" s="616"/>
      <c r="G93" s="616"/>
      <c r="H93" s="616"/>
      <c r="I93" s="616"/>
      <c r="J93" s="616"/>
      <c r="K93" s="617"/>
    </row>
    <row r="94" spans="1:11" x14ac:dyDescent="0.25">
      <c r="A94" s="620" t="s">
        <v>1481</v>
      </c>
      <c r="B94" s="1059" t="s">
        <v>1482</v>
      </c>
      <c r="C94" s="1059"/>
      <c r="D94" s="1059"/>
      <c r="E94" s="1059"/>
      <c r="F94" s="1059"/>
      <c r="G94" s="1059"/>
      <c r="H94" s="1059"/>
      <c r="I94" s="1059"/>
      <c r="J94" s="1059"/>
      <c r="K94" s="1060"/>
    </row>
    <row r="95" spans="1:11" ht="27.75" customHeight="1" x14ac:dyDescent="0.25">
      <c r="A95" s="619"/>
      <c r="B95" s="634">
        <v>1</v>
      </c>
      <c r="C95" s="1044" t="s">
        <v>1483</v>
      </c>
      <c r="D95" s="1044"/>
      <c r="E95" s="1044"/>
      <c r="F95" s="1044"/>
      <c r="G95" s="1044"/>
      <c r="H95" s="1044"/>
      <c r="I95" s="1044"/>
      <c r="J95" s="1044"/>
      <c r="K95" s="1045"/>
    </row>
    <row r="96" spans="1:11" x14ac:dyDescent="0.25">
      <c r="A96" s="615"/>
      <c r="B96" s="150">
        <v>2</v>
      </c>
      <c r="C96" s="1044" t="s">
        <v>1484</v>
      </c>
      <c r="D96" s="1044"/>
      <c r="E96" s="1044"/>
      <c r="F96" s="1044"/>
      <c r="G96" s="1044"/>
      <c r="H96" s="1044"/>
      <c r="I96" s="1044"/>
      <c r="J96" s="1044"/>
      <c r="K96" s="1045"/>
    </row>
    <row r="97" spans="1:11" x14ac:dyDescent="0.25">
      <c r="A97" s="615"/>
      <c r="B97" s="616"/>
      <c r="C97" s="142" t="s">
        <v>1437</v>
      </c>
      <c r="D97" s="1052" t="s">
        <v>1580</v>
      </c>
      <c r="E97" s="1052"/>
      <c r="F97" s="1052"/>
      <c r="G97" s="1052"/>
      <c r="H97" s="1052"/>
      <c r="I97" s="1052"/>
      <c r="J97" s="1052"/>
      <c r="K97" s="1053"/>
    </row>
    <row r="98" spans="1:11" x14ac:dyDescent="0.25">
      <c r="A98" s="615"/>
      <c r="B98" s="150">
        <v>3</v>
      </c>
      <c r="C98" s="1052" t="s">
        <v>1487</v>
      </c>
      <c r="D98" s="1052"/>
      <c r="E98" s="1052"/>
      <c r="F98" s="1052"/>
      <c r="G98" s="1052"/>
      <c r="H98" s="1052"/>
      <c r="I98" s="1052"/>
      <c r="J98" s="1052"/>
      <c r="K98" s="1053"/>
    </row>
    <row r="99" spans="1:11" ht="15.75" thickBot="1" x14ac:dyDescent="0.3">
      <c r="A99" s="607"/>
      <c r="B99" s="608"/>
      <c r="C99" s="608"/>
      <c r="D99" s="608"/>
      <c r="E99" s="608"/>
      <c r="F99" s="608"/>
      <c r="G99" s="608"/>
      <c r="H99" s="608"/>
      <c r="I99" s="608"/>
      <c r="J99" s="608"/>
      <c r="K99" s="377"/>
    </row>
    <row r="100" spans="1:11" ht="30.75" thickBot="1" x14ac:dyDescent="0.3">
      <c r="A100" s="1054" t="s">
        <v>1010</v>
      </c>
      <c r="B100" s="1055"/>
      <c r="C100" s="1056"/>
      <c r="D100" s="1020"/>
      <c r="E100" s="1021"/>
      <c r="F100" s="1021"/>
      <c r="G100" s="1021"/>
      <c r="H100" s="1021"/>
      <c r="I100" s="1022"/>
      <c r="J100" s="378" t="s">
        <v>1008</v>
      </c>
      <c r="K100" s="631" t="s">
        <v>1416</v>
      </c>
    </row>
    <row r="101" spans="1:11" ht="28.5" customHeight="1" x14ac:dyDescent="0.25">
      <c r="A101" s="615">
        <v>1</v>
      </c>
      <c r="B101" s="616"/>
      <c r="C101" s="1057" t="s">
        <v>1581</v>
      </c>
      <c r="D101" s="1057"/>
      <c r="E101" s="1057"/>
      <c r="F101" s="1057"/>
      <c r="G101" s="1057"/>
      <c r="H101" s="1057"/>
      <c r="I101" s="1057"/>
      <c r="J101" s="1057"/>
      <c r="K101" s="1058"/>
    </row>
    <row r="102" spans="1:11" x14ac:dyDescent="0.25">
      <c r="A102" s="615">
        <v>2</v>
      </c>
      <c r="B102" s="616"/>
      <c r="C102" s="1044" t="s">
        <v>1030</v>
      </c>
      <c r="D102" s="1044"/>
      <c r="E102" s="1044"/>
      <c r="F102" s="1044"/>
      <c r="G102" s="1044"/>
      <c r="H102" s="1044"/>
      <c r="I102" s="1044"/>
      <c r="J102" s="1044"/>
      <c r="K102" s="1045"/>
    </row>
    <row r="103" spans="1:11" x14ac:dyDescent="0.25">
      <c r="A103" s="633">
        <v>3</v>
      </c>
      <c r="B103" s="616"/>
      <c r="C103" s="1044" t="s">
        <v>1490</v>
      </c>
      <c r="D103" s="1044"/>
      <c r="E103" s="1044"/>
      <c r="F103" s="1044"/>
      <c r="G103" s="1044"/>
      <c r="H103" s="1044"/>
      <c r="I103" s="1044"/>
      <c r="J103" s="1044"/>
      <c r="K103" s="1045"/>
    </row>
    <row r="104" spans="1:11" ht="31.5" customHeight="1" x14ac:dyDescent="0.25">
      <c r="A104" s="633">
        <v>4</v>
      </c>
      <c r="B104" s="616"/>
      <c r="C104" s="1044" t="s">
        <v>1491</v>
      </c>
      <c r="D104" s="1044"/>
      <c r="E104" s="1044"/>
      <c r="F104" s="1044"/>
      <c r="G104" s="1044"/>
      <c r="H104" s="1044"/>
      <c r="I104" s="1044"/>
      <c r="J104" s="1044"/>
      <c r="K104" s="1045"/>
    </row>
    <row r="105" spans="1:11" x14ac:dyDescent="0.25">
      <c r="A105" s="615">
        <v>5</v>
      </c>
      <c r="B105" s="616"/>
      <c r="C105" s="1044" t="s">
        <v>1492</v>
      </c>
      <c r="D105" s="1044"/>
      <c r="E105" s="1044"/>
      <c r="F105" s="1044"/>
      <c r="G105" s="1044"/>
      <c r="H105" s="1044"/>
      <c r="I105" s="1044"/>
      <c r="J105" s="1044"/>
      <c r="K105" s="1045"/>
    </row>
    <row r="106" spans="1:11" x14ac:dyDescent="0.25">
      <c r="A106" s="615">
        <v>6</v>
      </c>
      <c r="B106" s="616"/>
      <c r="C106" s="1044" t="s">
        <v>1493</v>
      </c>
      <c r="D106" s="1044"/>
      <c r="E106" s="1044"/>
      <c r="F106" s="1044"/>
      <c r="G106" s="1044"/>
      <c r="H106" s="1044"/>
      <c r="I106" s="1044"/>
      <c r="J106" s="1044"/>
      <c r="K106" s="1045"/>
    </row>
    <row r="107" spans="1:11" x14ac:dyDescent="0.25">
      <c r="A107" s="615">
        <v>7</v>
      </c>
      <c r="B107" s="616"/>
      <c r="C107" s="1044" t="s">
        <v>1494</v>
      </c>
      <c r="D107" s="1044"/>
      <c r="E107" s="1044"/>
      <c r="F107" s="1044"/>
      <c r="G107" s="1044"/>
      <c r="H107" s="1044"/>
      <c r="I107" s="1044"/>
      <c r="J107" s="1044"/>
      <c r="K107" s="1045"/>
    </row>
    <row r="108" spans="1:11" ht="29.25" customHeight="1" x14ac:dyDescent="0.25">
      <c r="A108" s="633">
        <v>8</v>
      </c>
      <c r="B108" s="616"/>
      <c r="C108" s="1044" t="s">
        <v>1488</v>
      </c>
      <c r="D108" s="1044"/>
      <c r="E108" s="1044"/>
      <c r="F108" s="1044"/>
      <c r="G108" s="1044"/>
      <c r="H108" s="1044"/>
      <c r="I108" s="1044"/>
      <c r="J108" s="1044"/>
      <c r="K108" s="1045"/>
    </row>
    <row r="109" spans="1:11" ht="15.75" thickBot="1" x14ac:dyDescent="0.3">
      <c r="A109" s="1046"/>
      <c r="B109" s="1047"/>
      <c r="C109" s="1047"/>
      <c r="D109" s="1047"/>
      <c r="E109" s="1047"/>
      <c r="F109" s="1047"/>
      <c r="G109" s="1047"/>
      <c r="H109" s="1047"/>
      <c r="I109" s="1047"/>
      <c r="J109" s="1047"/>
      <c r="K109" s="1048"/>
    </row>
    <row r="110" spans="1:11" ht="15.75" thickBot="1" x14ac:dyDescent="0.3">
      <c r="A110" s="1049" t="s">
        <v>1011</v>
      </c>
      <c r="B110" s="1050"/>
      <c r="C110" s="1050"/>
      <c r="D110" s="1050"/>
      <c r="E110" s="1050"/>
      <c r="F110" s="1050"/>
      <c r="G110" s="1050"/>
      <c r="H110" s="1050"/>
      <c r="I110" s="1050"/>
      <c r="J110" s="1050"/>
      <c r="K110" s="1051"/>
    </row>
    <row r="111" spans="1:11" ht="15.75" thickBot="1" x14ac:dyDescent="0.3">
      <c r="A111" s="629" t="s">
        <v>4</v>
      </c>
      <c r="B111" s="1041" t="s">
        <v>1012</v>
      </c>
      <c r="C111" s="1043"/>
      <c r="D111" s="1041" t="s">
        <v>1013</v>
      </c>
      <c r="E111" s="1043"/>
      <c r="F111" s="1041" t="s">
        <v>1014</v>
      </c>
      <c r="G111" s="1043"/>
      <c r="H111" s="1041" t="s">
        <v>1015</v>
      </c>
      <c r="I111" s="1042"/>
      <c r="J111" s="1042"/>
      <c r="K111" s="1043"/>
    </row>
    <row r="112" spans="1:11" ht="15.75" thickBot="1" x14ac:dyDescent="0.3">
      <c r="A112" s="630">
        <v>1</v>
      </c>
      <c r="B112" s="1020" t="s">
        <v>1016</v>
      </c>
      <c r="C112" s="1022"/>
      <c r="D112" s="1020" t="s">
        <v>1017</v>
      </c>
      <c r="E112" s="1022"/>
      <c r="F112" s="1020" t="s">
        <v>1018</v>
      </c>
      <c r="G112" s="1022"/>
      <c r="H112" s="1020" t="s">
        <v>1019</v>
      </c>
      <c r="I112" s="1021"/>
      <c r="J112" s="1021"/>
      <c r="K112" s="1022"/>
    </row>
    <row r="113" spans="1:11" ht="15.75" thickBot="1" x14ac:dyDescent="0.3">
      <c r="A113" s="630">
        <v>2</v>
      </c>
      <c r="B113" s="1020" t="s">
        <v>1020</v>
      </c>
      <c r="C113" s="1022"/>
      <c r="D113" s="1020" t="s">
        <v>1017</v>
      </c>
      <c r="E113" s="1022"/>
      <c r="F113" s="1020" t="s">
        <v>1021</v>
      </c>
      <c r="G113" s="1022"/>
      <c r="H113" s="1020" t="s">
        <v>1022</v>
      </c>
      <c r="I113" s="1021"/>
      <c r="J113" s="1021"/>
      <c r="K113" s="1022"/>
    </row>
    <row r="114" spans="1:11" ht="15.75" thickBot="1" x14ac:dyDescent="0.3">
      <c r="A114" s="630">
        <v>3</v>
      </c>
      <c r="B114" s="1020" t="s">
        <v>1023</v>
      </c>
      <c r="C114" s="1022"/>
      <c r="D114" s="1020" t="s">
        <v>1426</v>
      </c>
      <c r="E114" s="1022"/>
      <c r="F114" s="1020" t="s">
        <v>1024</v>
      </c>
      <c r="G114" s="1022"/>
      <c r="H114" s="1020" t="s">
        <v>1025</v>
      </c>
      <c r="I114" s="1021"/>
      <c r="J114" s="1021"/>
      <c r="K114" s="1022"/>
    </row>
    <row r="115" spans="1:11" ht="15.75" thickBot="1" x14ac:dyDescent="0.3">
      <c r="A115" s="1032" t="s">
        <v>1026</v>
      </c>
      <c r="B115" s="1033"/>
      <c r="C115" s="1033"/>
      <c r="D115" s="1033"/>
      <c r="E115" s="1033"/>
      <c r="F115" s="1033"/>
      <c r="G115" s="1033"/>
      <c r="H115" s="1033"/>
      <c r="I115" s="1033"/>
      <c r="J115" s="1033"/>
      <c r="K115" s="1034"/>
    </row>
    <row r="116" spans="1:11" ht="63" customHeight="1" thickBot="1" x14ac:dyDescent="0.3">
      <c r="A116" s="1035" t="s">
        <v>1027</v>
      </c>
      <c r="B116" s="1036"/>
      <c r="C116" s="1037"/>
      <c r="D116" s="1110" t="s">
        <v>1582</v>
      </c>
      <c r="E116" s="1111"/>
      <c r="F116" s="1111"/>
      <c r="G116" s="1111"/>
      <c r="H116" s="1111"/>
      <c r="I116" s="1111"/>
      <c r="J116" s="1111"/>
      <c r="K116" s="1112"/>
    </row>
    <row r="117" spans="1:11" ht="48.75" customHeight="1" thickBot="1" x14ac:dyDescent="0.3">
      <c r="A117" s="1035" t="s">
        <v>1028</v>
      </c>
      <c r="B117" s="1036"/>
      <c r="C117" s="1037"/>
      <c r="D117" s="1110" t="s">
        <v>1583</v>
      </c>
      <c r="E117" s="1111"/>
      <c r="F117" s="1111"/>
      <c r="G117" s="1111"/>
      <c r="H117" s="1111"/>
      <c r="I117" s="1111"/>
      <c r="J117" s="1111"/>
      <c r="K117" s="1112"/>
    </row>
    <row r="118" spans="1:11" ht="15.75" thickBot="1" x14ac:dyDescent="0.3">
      <c r="A118" s="1032" t="s">
        <v>1029</v>
      </c>
      <c r="B118" s="1033"/>
      <c r="C118" s="1033"/>
      <c r="D118" s="1033"/>
      <c r="E118" s="1033"/>
      <c r="F118" s="1033"/>
      <c r="G118" s="1033"/>
      <c r="H118" s="1033"/>
      <c r="I118" s="1033"/>
      <c r="J118" s="1033"/>
      <c r="K118" s="1034"/>
    </row>
    <row r="119" spans="1:11" ht="15.75" thickBot="1" x14ac:dyDescent="0.3">
      <c r="A119" s="629" t="s">
        <v>4</v>
      </c>
      <c r="B119" s="1041" t="s">
        <v>1012</v>
      </c>
      <c r="C119" s="1042"/>
      <c r="D119" s="1043"/>
      <c r="E119" s="1041" t="s">
        <v>1030</v>
      </c>
      <c r="F119" s="1042"/>
      <c r="G119" s="1042"/>
      <c r="H119" s="1042"/>
      <c r="I119" s="1042"/>
      <c r="J119" s="1042"/>
      <c r="K119" s="1043"/>
    </row>
    <row r="120" spans="1:11" ht="30.75" customHeight="1" thickBot="1" x14ac:dyDescent="0.3">
      <c r="A120" s="630">
        <v>1</v>
      </c>
      <c r="B120" s="1020" t="s">
        <v>1031</v>
      </c>
      <c r="C120" s="1021"/>
      <c r="D120" s="1022"/>
      <c r="E120" s="1020" t="s">
        <v>1032</v>
      </c>
      <c r="F120" s="1021"/>
      <c r="G120" s="1021"/>
      <c r="H120" s="1021"/>
      <c r="I120" s="1021"/>
      <c r="J120" s="1021"/>
      <c r="K120" s="1022"/>
    </row>
    <row r="121" spans="1:11" ht="30.75" customHeight="1" thickBot="1" x14ac:dyDescent="0.3">
      <c r="A121" s="630">
        <v>2</v>
      </c>
      <c r="B121" s="1020" t="s">
        <v>1033</v>
      </c>
      <c r="C121" s="1021"/>
      <c r="D121" s="1022"/>
      <c r="E121" s="1023" t="s">
        <v>1034</v>
      </c>
      <c r="F121" s="1024"/>
      <c r="G121" s="1024"/>
      <c r="H121" s="1024"/>
      <c r="I121" s="1024"/>
      <c r="J121" s="1024"/>
      <c r="K121" s="1025"/>
    </row>
    <row r="122" spans="1:11" ht="32.25" customHeight="1" thickBot="1" x14ac:dyDescent="0.3">
      <c r="A122" s="630">
        <v>3</v>
      </c>
      <c r="B122" s="1020" t="s">
        <v>1035</v>
      </c>
      <c r="C122" s="1021"/>
      <c r="D122" s="1022"/>
      <c r="E122" s="1023" t="s">
        <v>1036</v>
      </c>
      <c r="F122" s="1024"/>
      <c r="G122" s="1024"/>
      <c r="H122" s="1024"/>
      <c r="I122" s="1024"/>
      <c r="J122" s="1024"/>
      <c r="K122" s="1025"/>
    </row>
    <row r="123" spans="1:11" ht="15.75" thickBot="1" x14ac:dyDescent="0.3">
      <c r="A123" s="1026"/>
      <c r="B123" s="1027"/>
      <c r="C123" s="1027"/>
      <c r="D123" s="1027"/>
      <c r="E123" s="1027"/>
      <c r="F123" s="1027"/>
      <c r="G123" s="1027"/>
      <c r="H123" s="1027"/>
      <c r="I123" s="1027"/>
      <c r="J123" s="1027"/>
      <c r="K123" s="1028"/>
    </row>
    <row r="124" spans="1:11" x14ac:dyDescent="0.25">
      <c r="A124" s="691"/>
      <c r="B124" s="692"/>
      <c r="C124" s="692"/>
      <c r="D124" s="692"/>
      <c r="E124" s="692"/>
      <c r="F124" s="692"/>
      <c r="G124" s="692"/>
      <c r="H124" s="692"/>
      <c r="I124" s="692"/>
      <c r="J124" s="692"/>
      <c r="K124" s="693"/>
    </row>
    <row r="125" spans="1:11" ht="15" customHeight="1" x14ac:dyDescent="0.25">
      <c r="A125" s="28"/>
      <c r="D125" s="25"/>
      <c r="F125" s="616"/>
      <c r="G125" s="616"/>
      <c r="H125" s="27" t="s">
        <v>1145</v>
      </c>
      <c r="I125" s="616"/>
      <c r="J125" s="616"/>
      <c r="K125" s="617"/>
    </row>
    <row r="126" spans="1:11" ht="15" customHeight="1" x14ac:dyDescent="0.25">
      <c r="A126" s="28"/>
      <c r="B126" s="28" t="s">
        <v>33</v>
      </c>
      <c r="D126" s="25"/>
      <c r="F126" s="616"/>
      <c r="G126" s="616"/>
      <c r="I126" s="616"/>
      <c r="J126" s="616"/>
      <c r="K126" s="617"/>
    </row>
    <row r="127" spans="1:11" ht="15" customHeight="1" x14ac:dyDescent="0.25">
      <c r="A127" s="28"/>
      <c r="B127" s="28" t="s">
        <v>1623</v>
      </c>
      <c r="D127" s="25"/>
      <c r="F127" s="616"/>
      <c r="G127" s="616"/>
      <c r="H127" s="28" t="s">
        <v>41</v>
      </c>
      <c r="I127" s="616"/>
      <c r="J127" s="616"/>
      <c r="K127" s="617"/>
    </row>
    <row r="128" spans="1:11" ht="15" customHeight="1" x14ac:dyDescent="0.25">
      <c r="A128" s="28"/>
      <c r="B128" s="28"/>
      <c r="D128" s="25"/>
      <c r="F128" s="616"/>
      <c r="G128" s="616"/>
      <c r="H128" s="28"/>
      <c r="I128" s="616"/>
      <c r="J128" s="616"/>
      <c r="K128" s="617"/>
    </row>
    <row r="129" spans="1:11" ht="15.75" x14ac:dyDescent="0.25">
      <c r="A129" s="28"/>
      <c r="B129" s="28"/>
      <c r="D129" s="25"/>
      <c r="F129" s="616"/>
      <c r="G129" s="616"/>
      <c r="H129" s="28"/>
      <c r="I129" s="616"/>
      <c r="J129" s="616"/>
      <c r="K129" s="617"/>
    </row>
    <row r="130" spans="1:11" ht="15.75" x14ac:dyDescent="0.25">
      <c r="A130" s="28"/>
      <c r="B130" s="28"/>
      <c r="D130" s="25"/>
      <c r="F130" s="616"/>
      <c r="G130" s="616"/>
      <c r="H130" s="28"/>
      <c r="I130" s="616"/>
      <c r="J130" s="616"/>
      <c r="K130" s="617"/>
    </row>
    <row r="131" spans="1:11" ht="15.75" x14ac:dyDescent="0.25">
      <c r="A131" s="34"/>
      <c r="B131" s="34" t="s">
        <v>1622</v>
      </c>
      <c r="D131" s="25"/>
      <c r="F131" s="616"/>
      <c r="G131" s="616"/>
      <c r="H131" s="34" t="s">
        <v>1154</v>
      </c>
      <c r="I131" s="616"/>
      <c r="J131" s="616"/>
      <c r="K131" s="617"/>
    </row>
    <row r="132" spans="1:11" ht="15" customHeight="1" x14ac:dyDescent="0.25">
      <c r="A132" s="28"/>
      <c r="B132" s="28" t="s">
        <v>1683</v>
      </c>
      <c r="D132" s="25"/>
      <c r="F132" s="616"/>
      <c r="G132" s="616"/>
      <c r="H132" s="28" t="s">
        <v>1155</v>
      </c>
      <c r="I132" s="616"/>
      <c r="J132" s="616"/>
      <c r="K132" s="617"/>
    </row>
    <row r="133" spans="1:11" ht="15" customHeight="1" x14ac:dyDescent="0.25">
      <c r="A133" s="28"/>
      <c r="B133" s="28"/>
      <c r="D133" s="25"/>
      <c r="F133" s="616"/>
      <c r="G133" s="616"/>
      <c r="H133" s="27"/>
      <c r="I133" s="616"/>
      <c r="J133" s="616"/>
      <c r="K133" s="617"/>
    </row>
    <row r="134" spans="1:11" ht="15.75" x14ac:dyDescent="0.25">
      <c r="D134" s="25"/>
      <c r="F134" s="616"/>
      <c r="G134" s="616"/>
      <c r="I134" s="616"/>
      <c r="J134" s="616"/>
      <c r="K134" s="617"/>
    </row>
    <row r="135" spans="1:11" ht="15.75" x14ac:dyDescent="0.25">
      <c r="A135" s="28"/>
      <c r="B135" s="28" t="s">
        <v>1624</v>
      </c>
      <c r="D135" s="25"/>
      <c r="F135" s="616"/>
      <c r="G135" s="616"/>
      <c r="H135" s="28" t="s">
        <v>1625</v>
      </c>
      <c r="I135" s="616"/>
      <c r="J135" s="616"/>
      <c r="K135" s="617"/>
    </row>
    <row r="136" spans="1:11" ht="15.75" x14ac:dyDescent="0.25">
      <c r="A136" s="28"/>
      <c r="B136" s="28"/>
      <c r="D136" s="25"/>
      <c r="F136" s="616"/>
      <c r="G136" s="616"/>
      <c r="H136" s="28"/>
      <c r="I136" s="616"/>
      <c r="J136" s="616"/>
      <c r="K136" s="617"/>
    </row>
    <row r="137" spans="1:11" ht="15.75" x14ac:dyDescent="0.25">
      <c r="A137" s="28"/>
      <c r="B137" s="28"/>
      <c r="D137" s="25"/>
      <c r="F137" s="616"/>
      <c r="G137" s="616"/>
      <c r="H137" s="28"/>
      <c r="I137" s="616"/>
      <c r="J137" s="616"/>
      <c r="K137" s="617"/>
    </row>
    <row r="138" spans="1:11" ht="15.75" x14ac:dyDescent="0.25">
      <c r="A138" s="28"/>
      <c r="B138" s="28"/>
      <c r="D138" s="25"/>
      <c r="F138" s="616"/>
      <c r="G138" s="616"/>
      <c r="H138" s="28"/>
      <c r="I138" s="616"/>
      <c r="J138" s="616"/>
      <c r="K138" s="617"/>
    </row>
    <row r="139" spans="1:11" ht="15.75" x14ac:dyDescent="0.25">
      <c r="A139" s="34"/>
      <c r="B139" s="34" t="s">
        <v>1156</v>
      </c>
      <c r="D139" s="25"/>
      <c r="F139" s="616"/>
      <c r="G139" s="616"/>
      <c r="H139" s="34" t="s">
        <v>1044</v>
      </c>
      <c r="I139" s="616"/>
      <c r="J139" s="616"/>
      <c r="K139" s="617"/>
    </row>
    <row r="140" spans="1:11" ht="15.75" x14ac:dyDescent="0.25">
      <c r="A140" s="34"/>
      <c r="B140" s="34" t="s">
        <v>1620</v>
      </c>
      <c r="D140" s="25"/>
      <c r="F140" s="616"/>
      <c r="G140" s="616"/>
      <c r="H140" s="28" t="s">
        <v>1621</v>
      </c>
      <c r="I140" s="616"/>
      <c r="J140" s="616"/>
      <c r="K140" s="617"/>
    </row>
    <row r="141" spans="1:11" x14ac:dyDescent="0.25">
      <c r="A141" s="615"/>
      <c r="B141" s="616"/>
      <c r="C141" s="616"/>
      <c r="D141" s="616"/>
      <c r="E141" s="616"/>
      <c r="F141" s="616"/>
      <c r="G141" s="616"/>
      <c r="H141" s="616"/>
      <c r="I141" s="616"/>
      <c r="J141" s="616"/>
      <c r="K141" s="617"/>
    </row>
    <row r="142" spans="1:11" ht="15.75" thickBot="1" x14ac:dyDescent="0.3">
      <c r="A142" s="607"/>
      <c r="B142" s="608"/>
      <c r="C142" s="608"/>
      <c r="D142" s="608"/>
      <c r="E142" s="608"/>
      <c r="F142" s="608"/>
      <c r="G142" s="608"/>
      <c r="H142" s="608"/>
      <c r="I142" s="608"/>
      <c r="J142" s="608"/>
      <c r="K142" s="377"/>
    </row>
  </sheetData>
  <mergeCells count="167">
    <mergeCell ref="B121:D121"/>
    <mergeCell ref="E121:K121"/>
    <mergeCell ref="B122:D122"/>
    <mergeCell ref="E122:K122"/>
    <mergeCell ref="A123:K123"/>
    <mergeCell ref="A117:C117"/>
    <mergeCell ref="D117:K117"/>
    <mergeCell ref="A118:K118"/>
    <mergeCell ref="B119:D119"/>
    <mergeCell ref="E119:K119"/>
    <mergeCell ref="B120:D120"/>
    <mergeCell ref="E120:K120"/>
    <mergeCell ref="B114:C114"/>
    <mergeCell ref="D114:E114"/>
    <mergeCell ref="F114:G114"/>
    <mergeCell ref="H114:K114"/>
    <mergeCell ref="A115:K115"/>
    <mergeCell ref="A116:C116"/>
    <mergeCell ref="D116:K116"/>
    <mergeCell ref="B112:C112"/>
    <mergeCell ref="D112:E112"/>
    <mergeCell ref="F112:G112"/>
    <mergeCell ref="H112:K112"/>
    <mergeCell ref="B113:C113"/>
    <mergeCell ref="D113:E113"/>
    <mergeCell ref="F113:G113"/>
    <mergeCell ref="H113:K113"/>
    <mergeCell ref="A109:K109"/>
    <mergeCell ref="A110:K110"/>
    <mergeCell ref="B111:C111"/>
    <mergeCell ref="D111:E111"/>
    <mergeCell ref="F111:G111"/>
    <mergeCell ref="H111:K111"/>
    <mergeCell ref="C103:K103"/>
    <mergeCell ref="C104:K104"/>
    <mergeCell ref="C105:K105"/>
    <mergeCell ref="C106:K106"/>
    <mergeCell ref="C107:K107"/>
    <mergeCell ref="C108:K108"/>
    <mergeCell ref="D97:K97"/>
    <mergeCell ref="C98:K98"/>
    <mergeCell ref="A100:C100"/>
    <mergeCell ref="D100:I100"/>
    <mergeCell ref="C101:K101"/>
    <mergeCell ref="C102:K102"/>
    <mergeCell ref="C90:K90"/>
    <mergeCell ref="C91:K91"/>
    <mergeCell ref="C92:K92"/>
    <mergeCell ref="B94:K94"/>
    <mergeCell ref="C95:K95"/>
    <mergeCell ref="C96:K96"/>
    <mergeCell ref="C83:K83"/>
    <mergeCell ref="C84:K84"/>
    <mergeCell ref="C85:K85"/>
    <mergeCell ref="B87:K87"/>
    <mergeCell ref="C88:K88"/>
    <mergeCell ref="C89:K89"/>
    <mergeCell ref="B76:K76"/>
    <mergeCell ref="C77:K77"/>
    <mergeCell ref="C78:K78"/>
    <mergeCell ref="C79:K79"/>
    <mergeCell ref="C80:K80"/>
    <mergeCell ref="B82:K82"/>
    <mergeCell ref="B70:K70"/>
    <mergeCell ref="C71:K71"/>
    <mergeCell ref="C72:K72"/>
    <mergeCell ref="C73:K73"/>
    <mergeCell ref="C74:K74"/>
    <mergeCell ref="B75:K75"/>
    <mergeCell ref="D64:K64"/>
    <mergeCell ref="D65:K65"/>
    <mergeCell ref="D66:K66"/>
    <mergeCell ref="C67:K67"/>
    <mergeCell ref="D68:K68"/>
    <mergeCell ref="A69:K69"/>
    <mergeCell ref="D58:K58"/>
    <mergeCell ref="D59:K59"/>
    <mergeCell ref="D60:K60"/>
    <mergeCell ref="C61:K61"/>
    <mergeCell ref="C62:K62"/>
    <mergeCell ref="D63:K63"/>
    <mergeCell ref="A53:K53"/>
    <mergeCell ref="A54:C54"/>
    <mergeCell ref="D54:I54"/>
    <mergeCell ref="A55:K55"/>
    <mergeCell ref="B56:K56"/>
    <mergeCell ref="C57:K57"/>
    <mergeCell ref="C47:K47"/>
    <mergeCell ref="C48:K48"/>
    <mergeCell ref="C49:K49"/>
    <mergeCell ref="C50:K50"/>
    <mergeCell ref="C51:K51"/>
    <mergeCell ref="A52:K52"/>
    <mergeCell ref="A41:K41"/>
    <mergeCell ref="C42:K42"/>
    <mergeCell ref="C43:K43"/>
    <mergeCell ref="C44:K44"/>
    <mergeCell ref="C45:K45"/>
    <mergeCell ref="C46:K46"/>
    <mergeCell ref="A36:K36"/>
    <mergeCell ref="A37:K37"/>
    <mergeCell ref="A38:K38"/>
    <mergeCell ref="A39:C39"/>
    <mergeCell ref="D39:K39"/>
    <mergeCell ref="A40:C40"/>
    <mergeCell ref="D40:I40"/>
    <mergeCell ref="A33:C33"/>
    <mergeCell ref="D33:K33"/>
    <mergeCell ref="A34:C34"/>
    <mergeCell ref="D34:K34"/>
    <mergeCell ref="A35:C35"/>
    <mergeCell ref="D35:K35"/>
    <mergeCell ref="A26:K26"/>
    <mergeCell ref="A27:K27"/>
    <mergeCell ref="A28:C32"/>
    <mergeCell ref="D28:K28"/>
    <mergeCell ref="E29:K29"/>
    <mergeCell ref="E30:K30"/>
    <mergeCell ref="E31:K31"/>
    <mergeCell ref="E32:K32"/>
    <mergeCell ref="A23:C23"/>
    <mergeCell ref="D23:K23"/>
    <mergeCell ref="A24:C24"/>
    <mergeCell ref="D24:K24"/>
    <mergeCell ref="A25:C25"/>
    <mergeCell ref="D25:K25"/>
    <mergeCell ref="A14:C22"/>
    <mergeCell ref="D14:K14"/>
    <mergeCell ref="E15:K15"/>
    <mergeCell ref="E16:K16"/>
    <mergeCell ref="E17:K17"/>
    <mergeCell ref="E18:K18"/>
    <mergeCell ref="E19:K19"/>
    <mergeCell ref="E20:K20"/>
    <mergeCell ref="D21:K21"/>
    <mergeCell ref="E22:K22"/>
    <mergeCell ref="A10:C10"/>
    <mergeCell ref="D10:K10"/>
    <mergeCell ref="A11:C13"/>
    <mergeCell ref="D11:K11"/>
    <mergeCell ref="D12:K12"/>
    <mergeCell ref="D13:K13"/>
    <mergeCell ref="A6:B6"/>
    <mergeCell ref="C6:F6"/>
    <mergeCell ref="G6:H6"/>
    <mergeCell ref="I6:K6"/>
    <mergeCell ref="A7:K7"/>
    <mergeCell ref="A8:C8"/>
    <mergeCell ref="D8:K9"/>
    <mergeCell ref="A9:C9"/>
    <mergeCell ref="A4:B4"/>
    <mergeCell ref="C4:F4"/>
    <mergeCell ref="G4:H4"/>
    <mergeCell ref="I4:K4"/>
    <mergeCell ref="A5:B5"/>
    <mergeCell ref="C5:F5"/>
    <mergeCell ref="G5:H5"/>
    <mergeCell ref="I5:K5"/>
    <mergeCell ref="A1:K1"/>
    <mergeCell ref="A2:B2"/>
    <mergeCell ref="C2:F2"/>
    <mergeCell ref="G2:H2"/>
    <mergeCell ref="I2:K2"/>
    <mergeCell ref="A3:B3"/>
    <mergeCell ref="C3:F3"/>
    <mergeCell ref="G3:H3"/>
    <mergeCell ref="I3:K3"/>
  </mergeCells>
  <pageMargins left="0.7" right="0.7" top="0.75" bottom="0.75" header="0.3" footer="0.3"/>
  <pageSetup paperSize="9" scale="86" fitToHeight="0"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E9D21-EE5F-444B-86EF-0C5903F71922}">
  <sheetPr>
    <tabColor theme="0"/>
    <pageSetUpPr fitToPage="1"/>
  </sheetPr>
  <dimension ref="A1:K142"/>
  <sheetViews>
    <sheetView topLeftCell="A117" workbookViewId="0">
      <selection activeCell="B132" sqref="B132:B133"/>
    </sheetView>
  </sheetViews>
  <sheetFormatPr defaultRowHeight="15" x14ac:dyDescent="0.25"/>
  <sheetData>
    <row r="1" spans="1:11" ht="15.75" thickBot="1" x14ac:dyDescent="0.3">
      <c r="A1" s="1032" t="s">
        <v>977</v>
      </c>
      <c r="B1" s="1033"/>
      <c r="C1" s="1033"/>
      <c r="D1" s="1033"/>
      <c r="E1" s="1033"/>
      <c r="F1" s="1033"/>
      <c r="G1" s="1033"/>
      <c r="H1" s="1033"/>
      <c r="I1" s="1033"/>
      <c r="J1" s="1033"/>
      <c r="K1" s="1034"/>
    </row>
    <row r="2" spans="1:11" ht="15.75" thickBot="1" x14ac:dyDescent="0.3">
      <c r="A2" s="1035" t="s">
        <v>313</v>
      </c>
      <c r="B2" s="1037"/>
      <c r="C2" s="1020" t="s">
        <v>871</v>
      </c>
      <c r="D2" s="1021"/>
      <c r="E2" s="1021"/>
      <c r="F2" s="1022"/>
      <c r="G2" s="1035" t="s">
        <v>978</v>
      </c>
      <c r="H2" s="1037"/>
      <c r="I2" s="1020" t="s">
        <v>979</v>
      </c>
      <c r="J2" s="1021"/>
      <c r="K2" s="1022"/>
    </row>
    <row r="3" spans="1:11" ht="15.75" thickBot="1" x14ac:dyDescent="0.3">
      <c r="A3" s="1035" t="s">
        <v>980</v>
      </c>
      <c r="B3" s="1037"/>
      <c r="C3" s="1020" t="s">
        <v>981</v>
      </c>
      <c r="D3" s="1021"/>
      <c r="E3" s="1021"/>
      <c r="F3" s="1022"/>
      <c r="G3" s="1035" t="s">
        <v>982</v>
      </c>
      <c r="H3" s="1037"/>
      <c r="I3" s="1020" t="s">
        <v>983</v>
      </c>
      <c r="J3" s="1021"/>
      <c r="K3" s="1022"/>
    </row>
    <row r="4" spans="1:11" ht="15.75" thickBot="1" x14ac:dyDescent="0.3">
      <c r="A4" s="1035" t="s">
        <v>984</v>
      </c>
      <c r="B4" s="1037"/>
      <c r="C4" s="1107" t="s">
        <v>1408</v>
      </c>
      <c r="D4" s="1108"/>
      <c r="E4" s="1108"/>
      <c r="F4" s="1109"/>
      <c r="G4" s="1035" t="s">
        <v>38</v>
      </c>
      <c r="H4" s="1037"/>
      <c r="I4" s="1020" t="s">
        <v>753</v>
      </c>
      <c r="J4" s="1021"/>
      <c r="K4" s="1022"/>
    </row>
    <row r="5" spans="1:11" ht="15.75" thickBot="1" x14ac:dyDescent="0.3">
      <c r="A5" s="1035" t="s">
        <v>315</v>
      </c>
      <c r="B5" s="1037"/>
      <c r="C5" s="1020" t="s">
        <v>1501</v>
      </c>
      <c r="D5" s="1021"/>
      <c r="E5" s="1021"/>
      <c r="F5" s="1022"/>
      <c r="G5" s="1035" t="s">
        <v>985</v>
      </c>
      <c r="H5" s="1037"/>
      <c r="I5" s="1020" t="s">
        <v>1154</v>
      </c>
      <c r="J5" s="1021"/>
      <c r="K5" s="1022"/>
    </row>
    <row r="6" spans="1:11" ht="15.75" thickBot="1" x14ac:dyDescent="0.3">
      <c r="A6" s="1035" t="s">
        <v>986</v>
      </c>
      <c r="B6" s="1037"/>
      <c r="C6" s="1020" t="s">
        <v>987</v>
      </c>
      <c r="D6" s="1021"/>
      <c r="E6" s="1021"/>
      <c r="F6" s="1022"/>
      <c r="G6" s="1035" t="s">
        <v>988</v>
      </c>
      <c r="H6" s="1037"/>
      <c r="I6" s="1020" t="s">
        <v>1154</v>
      </c>
      <c r="J6" s="1021"/>
      <c r="K6" s="1022"/>
    </row>
    <row r="7" spans="1:11" ht="15.75" thickBot="1" x14ac:dyDescent="0.3">
      <c r="A7" s="1020"/>
      <c r="B7" s="1021"/>
      <c r="C7" s="1021"/>
      <c r="D7" s="1021"/>
      <c r="E7" s="1021"/>
      <c r="F7" s="1021"/>
      <c r="G7" s="1021"/>
      <c r="H7" s="1021"/>
      <c r="I7" s="1021"/>
      <c r="J7" s="1021"/>
      <c r="K7" s="1022"/>
    </row>
    <row r="8" spans="1:11" x14ac:dyDescent="0.25">
      <c r="A8" s="1100" t="s">
        <v>989</v>
      </c>
      <c r="B8" s="1101"/>
      <c r="C8" s="1102"/>
      <c r="D8" s="1094" t="s">
        <v>1585</v>
      </c>
      <c r="E8" s="1057"/>
      <c r="F8" s="1057"/>
      <c r="G8" s="1057"/>
      <c r="H8" s="1057"/>
      <c r="I8" s="1057"/>
      <c r="J8" s="1057"/>
      <c r="K8" s="1058"/>
    </row>
    <row r="9" spans="1:11" ht="31.5" customHeight="1" thickBot="1" x14ac:dyDescent="0.3">
      <c r="A9" s="1104" t="s">
        <v>990</v>
      </c>
      <c r="B9" s="1105"/>
      <c r="C9" s="1106"/>
      <c r="D9" s="1103"/>
      <c r="E9" s="1098"/>
      <c r="F9" s="1098"/>
      <c r="G9" s="1098"/>
      <c r="H9" s="1098"/>
      <c r="I9" s="1098"/>
      <c r="J9" s="1098"/>
      <c r="K9" s="1099"/>
    </row>
    <row r="10" spans="1:11" ht="32.25" customHeight="1" thickBot="1" x14ac:dyDescent="0.3">
      <c r="A10" s="1035" t="s">
        <v>991</v>
      </c>
      <c r="B10" s="1036"/>
      <c r="C10" s="1037"/>
      <c r="D10" s="1076" t="s">
        <v>1586</v>
      </c>
      <c r="E10" s="1077"/>
      <c r="F10" s="1077"/>
      <c r="G10" s="1077"/>
      <c r="H10" s="1077"/>
      <c r="I10" s="1077"/>
      <c r="J10" s="1077"/>
      <c r="K10" s="1078"/>
    </row>
    <row r="11" spans="1:11" x14ac:dyDescent="0.25">
      <c r="A11" s="1113" t="s">
        <v>992</v>
      </c>
      <c r="B11" s="1114"/>
      <c r="C11" s="1115"/>
      <c r="D11" s="1094" t="s">
        <v>993</v>
      </c>
      <c r="E11" s="1057"/>
      <c r="F11" s="1057"/>
      <c r="G11" s="1057"/>
      <c r="H11" s="1057"/>
      <c r="I11" s="1057"/>
      <c r="J11" s="1057"/>
      <c r="K11" s="1058"/>
    </row>
    <row r="12" spans="1:11" x14ac:dyDescent="0.25">
      <c r="A12" s="1116"/>
      <c r="B12" s="1117"/>
      <c r="C12" s="1118"/>
      <c r="D12" s="1097" t="s">
        <v>994</v>
      </c>
      <c r="E12" s="1044"/>
      <c r="F12" s="1044"/>
      <c r="G12" s="1044"/>
      <c r="H12" s="1044"/>
      <c r="I12" s="1044"/>
      <c r="J12" s="1044"/>
      <c r="K12" s="1045"/>
    </row>
    <row r="13" spans="1:11" x14ac:dyDescent="0.25">
      <c r="A13" s="1116"/>
      <c r="B13" s="1117"/>
      <c r="C13" s="1118"/>
      <c r="D13" s="1097" t="s">
        <v>995</v>
      </c>
      <c r="E13" s="1044"/>
      <c r="F13" s="1044"/>
      <c r="G13" s="1044"/>
      <c r="H13" s="1044"/>
      <c r="I13" s="1044"/>
      <c r="J13" s="1044"/>
      <c r="K13" s="1045"/>
    </row>
    <row r="14" spans="1:11" ht="15.75" thickBot="1" x14ac:dyDescent="0.3">
      <c r="A14" s="1119"/>
      <c r="B14" s="1120"/>
      <c r="C14" s="1121"/>
      <c r="D14" s="1097" t="s">
        <v>1587</v>
      </c>
      <c r="E14" s="1044"/>
      <c r="F14" s="1044"/>
      <c r="G14" s="1044"/>
      <c r="H14" s="1044"/>
      <c r="I14" s="1044"/>
      <c r="J14" s="1044"/>
      <c r="K14" s="1045"/>
    </row>
    <row r="15" spans="1:11" x14ac:dyDescent="0.25">
      <c r="A15" s="1085" t="s">
        <v>996</v>
      </c>
      <c r="B15" s="1086"/>
      <c r="C15" s="1087"/>
      <c r="D15" s="1094" t="s">
        <v>997</v>
      </c>
      <c r="E15" s="1057"/>
      <c r="F15" s="1057"/>
      <c r="G15" s="1057"/>
      <c r="H15" s="1057"/>
      <c r="I15" s="1057"/>
      <c r="J15" s="1057"/>
      <c r="K15" s="1058"/>
    </row>
    <row r="16" spans="1:11" x14ac:dyDescent="0.25">
      <c r="A16" s="1088"/>
      <c r="B16" s="1089"/>
      <c r="C16" s="1090"/>
      <c r="D16" s="621">
        <v>1</v>
      </c>
      <c r="E16" s="1044" t="s">
        <v>1457</v>
      </c>
      <c r="F16" s="1044"/>
      <c r="G16" s="1044"/>
      <c r="H16" s="1044"/>
      <c r="I16" s="1044"/>
      <c r="J16" s="1044"/>
      <c r="K16" s="1045"/>
    </row>
    <row r="17" spans="1:11" x14ac:dyDescent="0.25">
      <c r="A17" s="1088"/>
      <c r="B17" s="1089"/>
      <c r="C17" s="1090"/>
      <c r="D17" s="621">
        <v>2</v>
      </c>
      <c r="E17" s="1044" t="s">
        <v>1458</v>
      </c>
      <c r="F17" s="1044"/>
      <c r="G17" s="1044"/>
      <c r="H17" s="1044"/>
      <c r="I17" s="1044"/>
      <c r="J17" s="1044"/>
      <c r="K17" s="1045"/>
    </row>
    <row r="18" spans="1:11" x14ac:dyDescent="0.25">
      <c r="A18" s="1088"/>
      <c r="B18" s="1089"/>
      <c r="C18" s="1090"/>
      <c r="D18" s="621">
        <v>3</v>
      </c>
      <c r="E18" s="1044" t="s">
        <v>1459</v>
      </c>
      <c r="F18" s="1044"/>
      <c r="G18" s="1044"/>
      <c r="H18" s="1044"/>
      <c r="I18" s="1044"/>
      <c r="J18" s="1044"/>
      <c r="K18" s="1045"/>
    </row>
    <row r="19" spans="1:11" x14ac:dyDescent="0.25">
      <c r="A19" s="1088"/>
      <c r="B19" s="1089"/>
      <c r="C19" s="1090"/>
      <c r="D19" s="621">
        <v>4</v>
      </c>
      <c r="E19" s="1044" t="s">
        <v>1039</v>
      </c>
      <c r="F19" s="1044"/>
      <c r="G19" s="1044"/>
      <c r="H19" s="1044"/>
      <c r="I19" s="1044"/>
      <c r="J19" s="1044"/>
      <c r="K19" s="1045"/>
    </row>
    <row r="20" spans="1:11" x14ac:dyDescent="0.25">
      <c r="A20" s="1088"/>
      <c r="B20" s="1089"/>
      <c r="C20" s="1090"/>
      <c r="D20" s="621">
        <v>5</v>
      </c>
      <c r="E20" s="1044" t="s">
        <v>1460</v>
      </c>
      <c r="F20" s="1044"/>
      <c r="G20" s="1044"/>
      <c r="H20" s="1044"/>
      <c r="I20" s="1044"/>
      <c r="J20" s="1044"/>
      <c r="K20" s="1045"/>
    </row>
    <row r="21" spans="1:11" x14ac:dyDescent="0.25">
      <c r="A21" s="1088"/>
      <c r="B21" s="1089"/>
      <c r="C21" s="1090"/>
      <c r="D21" s="621">
        <v>6</v>
      </c>
      <c r="E21" s="1044" t="s">
        <v>1461</v>
      </c>
      <c r="F21" s="1044"/>
      <c r="G21" s="1044"/>
      <c r="H21" s="1044"/>
      <c r="I21" s="1044"/>
      <c r="J21" s="1044"/>
      <c r="K21" s="1045"/>
    </row>
    <row r="22" spans="1:11" x14ac:dyDescent="0.25">
      <c r="A22" s="1088"/>
      <c r="B22" s="1089"/>
      <c r="C22" s="1090"/>
      <c r="D22" s="1097" t="s">
        <v>998</v>
      </c>
      <c r="E22" s="1044"/>
      <c r="F22" s="1044"/>
      <c r="G22" s="1044"/>
      <c r="H22" s="1044"/>
      <c r="I22" s="1044"/>
      <c r="J22" s="1044"/>
      <c r="K22" s="1045"/>
    </row>
    <row r="23" spans="1:11" ht="15.75" thickBot="1" x14ac:dyDescent="0.3">
      <c r="A23" s="1091"/>
      <c r="B23" s="1092"/>
      <c r="C23" s="1093"/>
      <c r="D23" s="626">
        <v>1</v>
      </c>
      <c r="E23" s="1098" t="s">
        <v>1462</v>
      </c>
      <c r="F23" s="1098"/>
      <c r="G23" s="1098"/>
      <c r="H23" s="1098"/>
      <c r="I23" s="1098"/>
      <c r="J23" s="1098"/>
      <c r="K23" s="1099"/>
    </row>
    <row r="24" spans="1:11" ht="33.75" customHeight="1" thickBot="1" x14ac:dyDescent="0.3">
      <c r="A24" s="1035" t="s">
        <v>999</v>
      </c>
      <c r="B24" s="1036"/>
      <c r="C24" s="1037"/>
      <c r="D24" s="1076" t="s">
        <v>1410</v>
      </c>
      <c r="E24" s="1077"/>
      <c r="F24" s="1077"/>
      <c r="G24" s="1077"/>
      <c r="H24" s="1077"/>
      <c r="I24" s="1077"/>
      <c r="J24" s="1077"/>
      <c r="K24" s="1078"/>
    </row>
    <row r="25" spans="1:11" ht="15.75" thickBot="1" x14ac:dyDescent="0.3">
      <c r="A25" s="1035" t="s">
        <v>629</v>
      </c>
      <c r="B25" s="1036"/>
      <c r="C25" s="1037"/>
      <c r="D25" s="1082" t="s">
        <v>1421</v>
      </c>
      <c r="E25" s="1083"/>
      <c r="F25" s="1083"/>
      <c r="G25" s="1083"/>
      <c r="H25" s="1083"/>
      <c r="I25" s="1083"/>
      <c r="J25" s="1083"/>
      <c r="K25" s="1084"/>
    </row>
    <row r="26" spans="1:11" ht="15.75" thickBot="1" x14ac:dyDescent="0.3">
      <c r="A26" s="1035" t="s">
        <v>1000</v>
      </c>
      <c r="B26" s="1036"/>
      <c r="C26" s="1037"/>
      <c r="D26" s="1076" t="s">
        <v>1420</v>
      </c>
      <c r="E26" s="1077"/>
      <c r="F26" s="1077"/>
      <c r="G26" s="1077"/>
      <c r="H26" s="1077"/>
      <c r="I26" s="1077"/>
      <c r="J26" s="1077"/>
      <c r="K26" s="1078"/>
    </row>
    <row r="27" spans="1:11" ht="15.75" thickBot="1" x14ac:dyDescent="0.3">
      <c r="A27" s="1020"/>
      <c r="B27" s="1021"/>
      <c r="C27" s="1021"/>
      <c r="D27" s="1021"/>
      <c r="E27" s="1021"/>
      <c r="F27" s="1021"/>
      <c r="G27" s="1021"/>
      <c r="H27" s="1021"/>
      <c r="I27" s="1021"/>
      <c r="J27" s="1021"/>
      <c r="K27" s="1022"/>
    </row>
    <row r="28" spans="1:11" ht="15.75" thickBot="1" x14ac:dyDescent="0.3">
      <c r="A28" s="1032" t="s">
        <v>1001</v>
      </c>
      <c r="B28" s="1033"/>
      <c r="C28" s="1033"/>
      <c r="D28" s="1033"/>
      <c r="E28" s="1033"/>
      <c r="F28" s="1033"/>
      <c r="G28" s="1033"/>
      <c r="H28" s="1033"/>
      <c r="I28" s="1033"/>
      <c r="J28" s="1033"/>
      <c r="K28" s="1034"/>
    </row>
    <row r="29" spans="1:11" ht="29.25" customHeight="1" x14ac:dyDescent="0.25">
      <c r="A29" s="1085" t="s">
        <v>627</v>
      </c>
      <c r="B29" s="1086"/>
      <c r="C29" s="1087"/>
      <c r="D29" s="1094" t="s">
        <v>1463</v>
      </c>
      <c r="E29" s="1057"/>
      <c r="F29" s="1057"/>
      <c r="G29" s="1057"/>
      <c r="H29" s="1057"/>
      <c r="I29" s="1057"/>
      <c r="J29" s="1057"/>
      <c r="K29" s="1058"/>
    </row>
    <row r="30" spans="1:11" ht="45" customHeight="1" x14ac:dyDescent="0.25">
      <c r="A30" s="1088"/>
      <c r="B30" s="1089"/>
      <c r="C30" s="1090"/>
      <c r="D30" s="627">
        <v>1</v>
      </c>
      <c r="E30" s="1095" t="s">
        <v>1588</v>
      </c>
      <c r="F30" s="1095"/>
      <c r="G30" s="1095"/>
      <c r="H30" s="1095"/>
      <c r="I30" s="1095"/>
      <c r="J30" s="1095"/>
      <c r="K30" s="1096"/>
    </row>
    <row r="31" spans="1:11" ht="45.75" customHeight="1" x14ac:dyDescent="0.25">
      <c r="A31" s="1088"/>
      <c r="B31" s="1089"/>
      <c r="C31" s="1090"/>
      <c r="D31" s="627">
        <v>2</v>
      </c>
      <c r="E31" s="1095" t="s">
        <v>1589</v>
      </c>
      <c r="F31" s="1095"/>
      <c r="G31" s="1095"/>
      <c r="H31" s="1095"/>
      <c r="I31" s="1095"/>
      <c r="J31" s="1095"/>
      <c r="K31" s="1096"/>
    </row>
    <row r="32" spans="1:11" ht="45" customHeight="1" x14ac:dyDescent="0.25">
      <c r="A32" s="1088"/>
      <c r="B32" s="1089"/>
      <c r="C32" s="1090"/>
      <c r="D32" s="627">
        <v>3</v>
      </c>
      <c r="E32" s="1095" t="s">
        <v>1590</v>
      </c>
      <c r="F32" s="1095"/>
      <c r="G32" s="1095"/>
      <c r="H32" s="1095"/>
      <c r="I32" s="1095"/>
      <c r="J32" s="1095"/>
      <c r="K32" s="1096"/>
    </row>
    <row r="33" spans="1:11" ht="45.75" customHeight="1" thickBot="1" x14ac:dyDescent="0.3">
      <c r="A33" s="1091"/>
      <c r="B33" s="1092"/>
      <c r="C33" s="1093"/>
      <c r="D33" s="627">
        <v>4</v>
      </c>
      <c r="E33" s="1095" t="s">
        <v>1568</v>
      </c>
      <c r="F33" s="1095"/>
      <c r="G33" s="1095"/>
      <c r="H33" s="1095"/>
      <c r="I33" s="1095"/>
      <c r="J33" s="1095"/>
      <c r="K33" s="1096"/>
    </row>
    <row r="34" spans="1:11" ht="15.75" thickBot="1" x14ac:dyDescent="0.3">
      <c r="A34" s="1035" t="s">
        <v>1002</v>
      </c>
      <c r="B34" s="1036"/>
      <c r="C34" s="1037"/>
      <c r="D34" s="1076" t="s">
        <v>1591</v>
      </c>
      <c r="E34" s="1077"/>
      <c r="F34" s="1077"/>
      <c r="G34" s="1077"/>
      <c r="H34" s="1077"/>
      <c r="I34" s="1077"/>
      <c r="J34" s="1077"/>
      <c r="K34" s="1078"/>
    </row>
    <row r="35" spans="1:11" ht="15.75" thickBot="1" x14ac:dyDescent="0.3">
      <c r="A35" s="1035" t="s">
        <v>1003</v>
      </c>
      <c r="B35" s="1036"/>
      <c r="C35" s="1037"/>
      <c r="D35" s="1076" t="s">
        <v>1004</v>
      </c>
      <c r="E35" s="1077"/>
      <c r="F35" s="1077"/>
      <c r="G35" s="1077"/>
      <c r="H35" s="1077"/>
      <c r="I35" s="1077"/>
      <c r="J35" s="1077"/>
      <c r="K35" s="1078"/>
    </row>
    <row r="36" spans="1:11" ht="76.5" customHeight="1" thickBot="1" x14ac:dyDescent="0.3">
      <c r="A36" s="1035" t="s">
        <v>626</v>
      </c>
      <c r="B36" s="1036"/>
      <c r="C36" s="1037"/>
      <c r="D36" s="1079" t="s">
        <v>1592</v>
      </c>
      <c r="E36" s="1080"/>
      <c r="F36" s="1080"/>
      <c r="G36" s="1080"/>
      <c r="H36" s="1080"/>
      <c r="I36" s="1080"/>
      <c r="J36" s="1080"/>
      <c r="K36" s="1081"/>
    </row>
    <row r="37" spans="1:11" ht="15.75" thickBot="1" x14ac:dyDescent="0.3">
      <c r="A37" s="1020"/>
      <c r="B37" s="1021"/>
      <c r="C37" s="1021"/>
      <c r="D37" s="1021"/>
      <c r="E37" s="1021"/>
      <c r="F37" s="1021"/>
      <c r="G37" s="1021"/>
      <c r="H37" s="1021"/>
      <c r="I37" s="1021"/>
      <c r="J37" s="1021"/>
      <c r="K37" s="1022"/>
    </row>
    <row r="38" spans="1:11" ht="15.75" thickBot="1" x14ac:dyDescent="0.3">
      <c r="A38" s="1032" t="s">
        <v>1005</v>
      </c>
      <c r="B38" s="1033"/>
      <c r="C38" s="1033"/>
      <c r="D38" s="1033"/>
      <c r="E38" s="1033"/>
      <c r="F38" s="1033"/>
      <c r="G38" s="1033"/>
      <c r="H38" s="1033"/>
      <c r="I38" s="1033"/>
      <c r="J38" s="1033"/>
      <c r="K38" s="1034"/>
    </row>
    <row r="39" spans="1:11" ht="15.75" thickBot="1" x14ac:dyDescent="0.3">
      <c r="A39" s="1035" t="s">
        <v>1674</v>
      </c>
      <c r="B39" s="1036"/>
      <c r="C39" s="1036"/>
      <c r="D39" s="1036"/>
      <c r="E39" s="1036"/>
      <c r="F39" s="1036"/>
      <c r="G39" s="1036"/>
      <c r="H39" s="1036"/>
      <c r="I39" s="1036"/>
      <c r="J39" s="1036"/>
      <c r="K39" s="1037"/>
    </row>
    <row r="40" spans="1:11" ht="30.75" customHeight="1" thickBot="1" x14ac:dyDescent="0.3">
      <c r="A40" s="1035" t="s">
        <v>1006</v>
      </c>
      <c r="B40" s="1036"/>
      <c r="C40" s="1037"/>
      <c r="D40" s="1020" t="s">
        <v>1593</v>
      </c>
      <c r="E40" s="1021"/>
      <c r="F40" s="1021"/>
      <c r="G40" s="1021"/>
      <c r="H40" s="1021"/>
      <c r="I40" s="1021"/>
      <c r="J40" s="1021"/>
      <c r="K40" s="1022"/>
    </row>
    <row r="41" spans="1:11" ht="30.75" thickBot="1" x14ac:dyDescent="0.3">
      <c r="A41" s="1035" t="s">
        <v>1007</v>
      </c>
      <c r="B41" s="1036"/>
      <c r="C41" s="1037"/>
      <c r="D41" s="1070"/>
      <c r="E41" s="1071"/>
      <c r="F41" s="1071"/>
      <c r="G41" s="1071"/>
      <c r="H41" s="1071"/>
      <c r="I41" s="1072"/>
      <c r="J41" s="378" t="s">
        <v>1008</v>
      </c>
      <c r="K41" s="631" t="s">
        <v>1417</v>
      </c>
    </row>
    <row r="42" spans="1:11" x14ac:dyDescent="0.25">
      <c r="A42" s="1073"/>
      <c r="B42" s="1074"/>
      <c r="C42" s="1074"/>
      <c r="D42" s="1074"/>
      <c r="E42" s="1074"/>
      <c r="F42" s="1074"/>
      <c r="G42" s="1074"/>
      <c r="H42" s="1074"/>
      <c r="I42" s="1074"/>
      <c r="J42" s="1074"/>
      <c r="K42" s="1075"/>
    </row>
    <row r="43" spans="1:11" ht="28.5" customHeight="1" x14ac:dyDescent="0.25">
      <c r="A43" s="632">
        <v>1</v>
      </c>
      <c r="B43" s="624"/>
      <c r="C43" s="1044" t="s">
        <v>1441</v>
      </c>
      <c r="D43" s="1044"/>
      <c r="E43" s="1044"/>
      <c r="F43" s="1044"/>
      <c r="G43" s="1044"/>
      <c r="H43" s="1044"/>
      <c r="I43" s="1044"/>
      <c r="J43" s="1044"/>
      <c r="K43" s="1045"/>
    </row>
    <row r="44" spans="1:11" x14ac:dyDescent="0.25">
      <c r="A44" s="628">
        <v>2</v>
      </c>
      <c r="B44" s="624"/>
      <c r="C44" s="1044" t="s">
        <v>1432</v>
      </c>
      <c r="D44" s="1044"/>
      <c r="E44" s="1044"/>
      <c r="F44" s="1044"/>
      <c r="G44" s="1044"/>
      <c r="H44" s="1044"/>
      <c r="I44" s="1044"/>
      <c r="J44" s="1044"/>
      <c r="K44" s="1045"/>
    </row>
    <row r="45" spans="1:11" x14ac:dyDescent="0.25">
      <c r="A45" s="628">
        <v>3</v>
      </c>
      <c r="B45" s="624"/>
      <c r="C45" s="1044" t="s">
        <v>1438</v>
      </c>
      <c r="D45" s="1044"/>
      <c r="E45" s="1044"/>
      <c r="F45" s="1044"/>
      <c r="G45" s="1044"/>
      <c r="H45" s="1044"/>
      <c r="I45" s="1044"/>
      <c r="J45" s="1044"/>
      <c r="K45" s="1045"/>
    </row>
    <row r="46" spans="1:11" x14ac:dyDescent="0.25">
      <c r="A46" s="628">
        <v>4</v>
      </c>
      <c r="B46" s="624"/>
      <c r="C46" s="1044" t="s">
        <v>1433</v>
      </c>
      <c r="D46" s="1044"/>
      <c r="E46" s="1044"/>
      <c r="F46" s="1044"/>
      <c r="G46" s="1044"/>
      <c r="H46" s="1044"/>
      <c r="I46" s="1044"/>
      <c r="J46" s="1044"/>
      <c r="K46" s="1045"/>
    </row>
    <row r="47" spans="1:11" x14ac:dyDescent="0.25">
      <c r="A47" s="628">
        <v>5</v>
      </c>
      <c r="B47" s="150"/>
      <c r="C47" s="1044" t="s">
        <v>1439</v>
      </c>
      <c r="D47" s="1044"/>
      <c r="E47" s="1044"/>
      <c r="F47" s="1044"/>
      <c r="G47" s="1044"/>
      <c r="H47" s="1044"/>
      <c r="I47" s="1044"/>
      <c r="J47" s="1044"/>
      <c r="K47" s="1045"/>
    </row>
    <row r="48" spans="1:11" x14ac:dyDescent="0.25">
      <c r="A48" s="628">
        <v>6</v>
      </c>
      <c r="B48" s="624"/>
      <c r="C48" s="1044" t="s">
        <v>1442</v>
      </c>
      <c r="D48" s="1044"/>
      <c r="E48" s="1044"/>
      <c r="F48" s="1044"/>
      <c r="G48" s="1044"/>
      <c r="H48" s="1044"/>
      <c r="I48" s="1044"/>
      <c r="J48" s="1044"/>
      <c r="K48" s="1045"/>
    </row>
    <row r="49" spans="1:11" x14ac:dyDescent="0.25">
      <c r="A49" s="628">
        <v>7</v>
      </c>
      <c r="B49" s="624"/>
      <c r="C49" s="1044" t="s">
        <v>1443</v>
      </c>
      <c r="D49" s="1044"/>
      <c r="E49" s="1044"/>
      <c r="F49" s="1044"/>
      <c r="G49" s="1044"/>
      <c r="H49" s="1044"/>
      <c r="I49" s="1044"/>
      <c r="J49" s="1044"/>
      <c r="K49" s="1045"/>
    </row>
    <row r="50" spans="1:11" x14ac:dyDescent="0.25">
      <c r="A50" s="628">
        <v>8</v>
      </c>
      <c r="B50" s="624"/>
      <c r="C50" s="1044" t="s">
        <v>1434</v>
      </c>
      <c r="D50" s="1044"/>
      <c r="E50" s="1044"/>
      <c r="F50" s="1044"/>
      <c r="G50" s="1044"/>
      <c r="H50" s="1044"/>
      <c r="I50" s="1044"/>
      <c r="J50" s="1044"/>
      <c r="K50" s="1045"/>
    </row>
    <row r="51" spans="1:11" ht="45" customHeight="1" x14ac:dyDescent="0.25">
      <c r="A51" s="628" t="s">
        <v>1435</v>
      </c>
      <c r="B51" s="624" t="s">
        <v>1437</v>
      </c>
      <c r="C51" s="1044" t="s">
        <v>1594</v>
      </c>
      <c r="D51" s="1044"/>
      <c r="E51" s="1044"/>
      <c r="F51" s="1044"/>
      <c r="G51" s="1044"/>
      <c r="H51" s="1044"/>
      <c r="I51" s="1044"/>
      <c r="J51" s="1044"/>
      <c r="K51" s="1045"/>
    </row>
    <row r="52" spans="1:11" x14ac:dyDescent="0.25">
      <c r="A52" s="628">
        <v>9</v>
      </c>
      <c r="B52" s="242"/>
      <c r="C52" s="1044" t="s">
        <v>1440</v>
      </c>
      <c r="D52" s="1044"/>
      <c r="E52" s="1044"/>
      <c r="F52" s="1044"/>
      <c r="G52" s="1044"/>
      <c r="H52" s="1044"/>
      <c r="I52" s="1044"/>
      <c r="J52" s="1044"/>
      <c r="K52" s="1045"/>
    </row>
    <row r="53" spans="1:11" x14ac:dyDescent="0.25">
      <c r="A53" s="1067"/>
      <c r="B53" s="1068"/>
      <c r="C53" s="1068"/>
      <c r="D53" s="1068"/>
      <c r="E53" s="1068"/>
      <c r="F53" s="1068"/>
      <c r="G53" s="1068"/>
      <c r="H53" s="1068"/>
      <c r="I53" s="1068"/>
      <c r="J53" s="1068"/>
      <c r="K53" s="1069"/>
    </row>
    <row r="54" spans="1:11" ht="15.75" thickBot="1" x14ac:dyDescent="0.3">
      <c r="A54" s="1046"/>
      <c r="B54" s="1047"/>
      <c r="C54" s="1047"/>
      <c r="D54" s="1047"/>
      <c r="E54" s="1047"/>
      <c r="F54" s="1047"/>
      <c r="G54" s="1047"/>
      <c r="H54" s="1047"/>
      <c r="I54" s="1047"/>
      <c r="J54" s="1047"/>
      <c r="K54" s="1048"/>
    </row>
    <row r="55" spans="1:11" ht="30.75" thickBot="1" x14ac:dyDescent="0.3">
      <c r="A55" s="1054" t="s">
        <v>1009</v>
      </c>
      <c r="B55" s="1055"/>
      <c r="C55" s="1056"/>
      <c r="D55" s="1020"/>
      <c r="E55" s="1021"/>
      <c r="F55" s="1021"/>
      <c r="G55" s="1021"/>
      <c r="H55" s="1021"/>
      <c r="I55" s="1022"/>
      <c r="J55" s="378" t="s">
        <v>1008</v>
      </c>
      <c r="K55" s="631" t="s">
        <v>1415</v>
      </c>
    </row>
    <row r="56" spans="1:11" x14ac:dyDescent="0.25">
      <c r="A56" s="1064"/>
      <c r="B56" s="1065"/>
      <c r="C56" s="1065"/>
      <c r="D56" s="1065"/>
      <c r="E56" s="1065"/>
      <c r="F56" s="1065"/>
      <c r="G56" s="1065"/>
      <c r="H56" s="1065"/>
      <c r="I56" s="1065"/>
      <c r="J56" s="1065"/>
      <c r="K56" s="1066"/>
    </row>
    <row r="57" spans="1:11" x14ac:dyDescent="0.25">
      <c r="A57" s="620" t="s">
        <v>1</v>
      </c>
      <c r="B57" s="1059" t="s">
        <v>1444</v>
      </c>
      <c r="C57" s="1059"/>
      <c r="D57" s="1059"/>
      <c r="E57" s="1059"/>
      <c r="F57" s="1059"/>
      <c r="G57" s="1059"/>
      <c r="H57" s="1059"/>
      <c r="I57" s="1059"/>
      <c r="J57" s="1059"/>
      <c r="K57" s="1060"/>
    </row>
    <row r="58" spans="1:11" ht="34.5" customHeight="1" x14ac:dyDescent="0.25">
      <c r="A58" s="615"/>
      <c r="B58" s="624">
        <v>1</v>
      </c>
      <c r="C58" s="1044" t="s">
        <v>1595</v>
      </c>
      <c r="D58" s="1044"/>
      <c r="E58" s="1044"/>
      <c r="F58" s="1044"/>
      <c r="G58" s="1044"/>
      <c r="H58" s="1044"/>
      <c r="I58" s="1044"/>
      <c r="J58" s="1044"/>
      <c r="K58" s="1045"/>
    </row>
    <row r="59" spans="1:11" x14ac:dyDescent="0.25">
      <c r="A59" s="615"/>
      <c r="B59" s="150"/>
      <c r="C59" s="142" t="s">
        <v>1437</v>
      </c>
      <c r="D59" s="1044" t="s">
        <v>1446</v>
      </c>
      <c r="E59" s="1044"/>
      <c r="F59" s="1044"/>
      <c r="G59" s="1044"/>
      <c r="H59" s="1044"/>
      <c r="I59" s="1044"/>
      <c r="J59" s="1044"/>
      <c r="K59" s="1045"/>
    </row>
    <row r="60" spans="1:11" ht="30" customHeight="1" x14ac:dyDescent="0.25">
      <c r="A60" s="615"/>
      <c r="B60" s="150"/>
      <c r="C60" s="625" t="s">
        <v>1466</v>
      </c>
      <c r="D60" s="1044" t="s">
        <v>1447</v>
      </c>
      <c r="E60" s="1044"/>
      <c r="F60" s="1044"/>
      <c r="G60" s="1044"/>
      <c r="H60" s="1044"/>
      <c r="I60" s="1044"/>
      <c r="J60" s="1044"/>
      <c r="K60" s="1045"/>
    </row>
    <row r="61" spans="1:11" ht="30" customHeight="1" x14ac:dyDescent="0.25">
      <c r="A61" s="615"/>
      <c r="B61" s="150"/>
      <c r="C61" s="625" t="s">
        <v>1464</v>
      </c>
      <c r="D61" s="1044" t="s">
        <v>1448</v>
      </c>
      <c r="E61" s="1044"/>
      <c r="F61" s="1044"/>
      <c r="G61" s="1044"/>
      <c r="H61" s="1044"/>
      <c r="I61" s="1044"/>
      <c r="J61" s="1044"/>
      <c r="K61" s="1045"/>
    </row>
    <row r="62" spans="1:11" x14ac:dyDescent="0.25">
      <c r="A62" s="615"/>
      <c r="B62" s="624">
        <v>2</v>
      </c>
      <c r="C62" s="1044" t="s">
        <v>1596</v>
      </c>
      <c r="D62" s="1044"/>
      <c r="E62" s="1044"/>
      <c r="F62" s="1044"/>
      <c r="G62" s="1044"/>
      <c r="H62" s="1044"/>
      <c r="I62" s="1044"/>
      <c r="J62" s="1044"/>
      <c r="K62" s="1045"/>
    </row>
    <row r="63" spans="1:11" x14ac:dyDescent="0.25">
      <c r="A63" s="615"/>
      <c r="B63" s="150">
        <v>3</v>
      </c>
      <c r="C63" s="1044" t="s">
        <v>1450</v>
      </c>
      <c r="D63" s="1044"/>
      <c r="E63" s="1044"/>
      <c r="F63" s="1044"/>
      <c r="G63" s="1044"/>
      <c r="H63" s="1044"/>
      <c r="I63" s="1044"/>
      <c r="J63" s="1044"/>
      <c r="K63" s="1045"/>
    </row>
    <row r="64" spans="1:11" ht="48" customHeight="1" x14ac:dyDescent="0.25">
      <c r="A64" s="615"/>
      <c r="B64" s="150"/>
      <c r="C64" s="625" t="s">
        <v>1437</v>
      </c>
      <c r="D64" s="1044" t="s">
        <v>1597</v>
      </c>
      <c r="E64" s="1044"/>
      <c r="F64" s="1044"/>
      <c r="G64" s="1044"/>
      <c r="H64" s="1044"/>
      <c r="I64" s="1044"/>
      <c r="J64" s="1044"/>
      <c r="K64" s="1045"/>
    </row>
    <row r="65" spans="1:11" ht="29.25" customHeight="1" x14ac:dyDescent="0.25">
      <c r="A65" s="615"/>
      <c r="B65" s="150"/>
      <c r="C65" s="625" t="s">
        <v>1466</v>
      </c>
      <c r="D65" s="1044" t="s">
        <v>1452</v>
      </c>
      <c r="E65" s="1044"/>
      <c r="F65" s="1044"/>
      <c r="G65" s="1044"/>
      <c r="H65" s="1044"/>
      <c r="I65" s="1044"/>
      <c r="J65" s="1044"/>
      <c r="K65" s="1045"/>
    </row>
    <row r="66" spans="1:11" x14ac:dyDescent="0.25">
      <c r="A66" s="615"/>
      <c r="B66" s="150"/>
      <c r="C66" s="142" t="s">
        <v>1464</v>
      </c>
      <c r="D66" s="1044" t="s">
        <v>1453</v>
      </c>
      <c r="E66" s="1044"/>
      <c r="F66" s="1044"/>
      <c r="G66" s="1044"/>
      <c r="H66" s="1044"/>
      <c r="I66" s="1044"/>
      <c r="J66" s="1044"/>
      <c r="K66" s="1045"/>
    </row>
    <row r="67" spans="1:11" x14ac:dyDescent="0.25">
      <c r="A67" s="615"/>
      <c r="B67" s="150"/>
      <c r="C67" s="142" t="s">
        <v>1465</v>
      </c>
      <c r="D67" s="1044" t="s">
        <v>1454</v>
      </c>
      <c r="E67" s="1044"/>
      <c r="F67" s="1044"/>
      <c r="G67" s="1044"/>
      <c r="H67" s="1044"/>
      <c r="I67" s="1044"/>
      <c r="J67" s="1044"/>
      <c r="K67" s="1045"/>
    </row>
    <row r="68" spans="1:11" ht="29.25" customHeight="1" x14ac:dyDescent="0.25">
      <c r="A68" s="615"/>
      <c r="B68" s="624">
        <v>4</v>
      </c>
      <c r="C68" s="1044" t="s">
        <v>1551</v>
      </c>
      <c r="D68" s="1044"/>
      <c r="E68" s="1044"/>
      <c r="F68" s="1044"/>
      <c r="G68" s="1044"/>
      <c r="H68" s="1044"/>
      <c r="I68" s="1044"/>
      <c r="J68" s="1044"/>
      <c r="K68" s="1045"/>
    </row>
    <row r="69" spans="1:11" x14ac:dyDescent="0.25">
      <c r="A69" s="615"/>
      <c r="B69" s="150"/>
      <c r="C69" s="142" t="s">
        <v>1437</v>
      </c>
      <c r="D69" s="1044" t="s">
        <v>1456</v>
      </c>
      <c r="E69" s="1044"/>
      <c r="F69" s="1044"/>
      <c r="G69" s="1044"/>
      <c r="H69" s="1044"/>
      <c r="I69" s="1044"/>
      <c r="J69" s="1044"/>
      <c r="K69" s="1045"/>
    </row>
    <row r="70" spans="1:11" x14ac:dyDescent="0.25">
      <c r="A70" s="1063"/>
      <c r="B70" s="1059"/>
      <c r="C70" s="1059"/>
      <c r="D70" s="1059"/>
      <c r="E70" s="1059"/>
      <c r="F70" s="1059"/>
      <c r="G70" s="1059"/>
      <c r="H70" s="1059"/>
      <c r="I70" s="1059"/>
      <c r="J70" s="1059"/>
      <c r="K70" s="1060"/>
    </row>
    <row r="71" spans="1:11" x14ac:dyDescent="0.25">
      <c r="A71" s="620" t="s">
        <v>2</v>
      </c>
      <c r="B71" s="1059" t="s">
        <v>1467</v>
      </c>
      <c r="C71" s="1059"/>
      <c r="D71" s="1059"/>
      <c r="E71" s="1059"/>
      <c r="F71" s="1059"/>
      <c r="G71" s="1059"/>
      <c r="H71" s="1059"/>
      <c r="I71" s="1059"/>
      <c r="J71" s="1059"/>
      <c r="K71" s="1060"/>
    </row>
    <row r="72" spans="1:11" ht="27.75" customHeight="1" x14ac:dyDescent="0.25">
      <c r="A72" s="615"/>
      <c r="B72" s="624">
        <v>1</v>
      </c>
      <c r="C72" s="1052" t="s">
        <v>1598</v>
      </c>
      <c r="D72" s="1052"/>
      <c r="E72" s="1052"/>
      <c r="F72" s="1052"/>
      <c r="G72" s="1052"/>
      <c r="H72" s="1052"/>
      <c r="I72" s="1052"/>
      <c r="J72" s="1052"/>
      <c r="K72" s="1053"/>
    </row>
    <row r="73" spans="1:11" x14ac:dyDescent="0.25">
      <c r="A73" s="615"/>
      <c r="B73" s="150">
        <v>2</v>
      </c>
      <c r="C73" s="1052" t="s">
        <v>1468</v>
      </c>
      <c r="D73" s="1052"/>
      <c r="E73" s="1052"/>
      <c r="F73" s="1052"/>
      <c r="G73" s="1052"/>
      <c r="H73" s="1052"/>
      <c r="I73" s="1052"/>
      <c r="J73" s="1052"/>
      <c r="K73" s="1053"/>
    </row>
    <row r="74" spans="1:11" x14ac:dyDescent="0.25">
      <c r="A74" s="615"/>
      <c r="B74" s="150">
        <v>3</v>
      </c>
      <c r="C74" s="1052" t="s">
        <v>1469</v>
      </c>
      <c r="D74" s="1052"/>
      <c r="E74" s="1052"/>
      <c r="F74" s="1052"/>
      <c r="G74" s="1052"/>
      <c r="H74" s="1052"/>
      <c r="I74" s="1052"/>
      <c r="J74" s="1052"/>
      <c r="K74" s="1053"/>
    </row>
    <row r="75" spans="1:11" x14ac:dyDescent="0.25">
      <c r="A75" s="615"/>
      <c r="B75" s="150">
        <v>4</v>
      </c>
      <c r="C75" s="1052" t="s">
        <v>1599</v>
      </c>
      <c r="D75" s="1052"/>
      <c r="E75" s="1052"/>
      <c r="F75" s="1052"/>
      <c r="G75" s="1052"/>
      <c r="H75" s="1052"/>
      <c r="I75" s="1052"/>
      <c r="J75" s="1052"/>
      <c r="K75" s="1053"/>
    </row>
    <row r="76" spans="1:11" x14ac:dyDescent="0.25">
      <c r="A76" s="615"/>
      <c r="B76" s="1061"/>
      <c r="C76" s="1061"/>
      <c r="D76" s="1061"/>
      <c r="E76" s="1061"/>
      <c r="F76" s="1061"/>
      <c r="G76" s="1061"/>
      <c r="H76" s="1061"/>
      <c r="I76" s="1061"/>
      <c r="J76" s="1061"/>
      <c r="K76" s="1062"/>
    </row>
    <row r="77" spans="1:11" x14ac:dyDescent="0.25">
      <c r="A77" s="620" t="s">
        <v>3</v>
      </c>
      <c r="B77" s="1059" t="s">
        <v>1471</v>
      </c>
      <c r="C77" s="1059"/>
      <c r="D77" s="1059"/>
      <c r="E77" s="1059"/>
      <c r="F77" s="1059"/>
      <c r="G77" s="1059"/>
      <c r="H77" s="1059"/>
      <c r="I77" s="1059"/>
      <c r="J77" s="1059"/>
      <c r="K77" s="1060"/>
    </row>
    <row r="78" spans="1:11" x14ac:dyDescent="0.25">
      <c r="A78" s="615"/>
      <c r="B78" s="150">
        <v>1</v>
      </c>
      <c r="C78" s="1044" t="s">
        <v>1600</v>
      </c>
      <c r="D78" s="1044"/>
      <c r="E78" s="1044"/>
      <c r="F78" s="1044"/>
      <c r="G78" s="1044"/>
      <c r="H78" s="1044"/>
      <c r="I78" s="1044"/>
      <c r="J78" s="1044"/>
      <c r="K78" s="1045"/>
    </row>
    <row r="79" spans="1:11" ht="30.75" customHeight="1" x14ac:dyDescent="0.25">
      <c r="A79" s="615"/>
      <c r="B79" s="624">
        <v>2</v>
      </c>
      <c r="C79" s="1044" t="s">
        <v>1473</v>
      </c>
      <c r="D79" s="1044"/>
      <c r="E79" s="1044"/>
      <c r="F79" s="1044"/>
      <c r="G79" s="1044"/>
      <c r="H79" s="1044"/>
      <c r="I79" s="1044"/>
      <c r="J79" s="1044"/>
      <c r="K79" s="1045"/>
    </row>
    <row r="80" spans="1:11" ht="29.25" customHeight="1" x14ac:dyDescent="0.25">
      <c r="A80" s="615"/>
      <c r="B80" s="624">
        <v>3</v>
      </c>
      <c r="C80" s="1044" t="s">
        <v>1601</v>
      </c>
      <c r="D80" s="1044"/>
      <c r="E80" s="1044"/>
      <c r="F80" s="1044"/>
      <c r="G80" s="1044"/>
      <c r="H80" s="1044"/>
      <c r="I80" s="1044"/>
      <c r="J80" s="1044"/>
      <c r="K80" s="1045"/>
    </row>
    <row r="81" spans="1:11" x14ac:dyDescent="0.25">
      <c r="A81" s="615"/>
      <c r="B81" s="150">
        <v>4</v>
      </c>
      <c r="C81" s="1044" t="s">
        <v>1602</v>
      </c>
      <c r="D81" s="1044"/>
      <c r="E81" s="1044"/>
      <c r="F81" s="1044"/>
      <c r="G81" s="1044"/>
      <c r="H81" s="1044"/>
      <c r="I81" s="1044"/>
      <c r="J81" s="1044"/>
      <c r="K81" s="1045"/>
    </row>
    <row r="82" spans="1:11" x14ac:dyDescent="0.25">
      <c r="A82" s="615"/>
      <c r="B82" s="616"/>
      <c r="C82" s="616"/>
      <c r="D82" s="616"/>
      <c r="E82" s="616"/>
      <c r="F82" s="616"/>
      <c r="G82" s="616"/>
      <c r="H82" s="616"/>
      <c r="I82" s="616"/>
      <c r="J82" s="616"/>
      <c r="K82" s="617"/>
    </row>
    <row r="83" spans="1:11" x14ac:dyDescent="0.25">
      <c r="A83" s="620" t="s">
        <v>67</v>
      </c>
      <c r="B83" s="1059" t="s">
        <v>1476</v>
      </c>
      <c r="C83" s="1059"/>
      <c r="D83" s="1059"/>
      <c r="E83" s="1059"/>
      <c r="F83" s="1059"/>
      <c r="G83" s="1059"/>
      <c r="H83" s="1059"/>
      <c r="I83" s="1059"/>
      <c r="J83" s="1059"/>
      <c r="K83" s="1060"/>
    </row>
    <row r="84" spans="1:11" ht="34.5" customHeight="1" x14ac:dyDescent="0.25">
      <c r="A84" s="615"/>
      <c r="B84" s="624">
        <v>1</v>
      </c>
      <c r="C84" s="1044" t="s">
        <v>1603</v>
      </c>
      <c r="D84" s="1044"/>
      <c r="E84" s="1044"/>
      <c r="F84" s="1044"/>
      <c r="G84" s="1044"/>
      <c r="H84" s="1044"/>
      <c r="I84" s="1044"/>
      <c r="J84" s="1044"/>
      <c r="K84" s="1045"/>
    </row>
    <row r="85" spans="1:11" ht="45" customHeight="1" x14ac:dyDescent="0.25">
      <c r="A85" s="615"/>
      <c r="B85" s="624">
        <v>2</v>
      </c>
      <c r="C85" s="1044" t="s">
        <v>1604</v>
      </c>
      <c r="D85" s="1044"/>
      <c r="E85" s="1044"/>
      <c r="F85" s="1044"/>
      <c r="G85" s="1044"/>
      <c r="H85" s="1044"/>
      <c r="I85" s="1044"/>
      <c r="J85" s="1044"/>
      <c r="K85" s="1045"/>
    </row>
    <row r="86" spans="1:11" x14ac:dyDescent="0.25">
      <c r="A86" s="615"/>
      <c r="B86" s="150">
        <v>3</v>
      </c>
      <c r="C86" s="1044" t="s">
        <v>1478</v>
      </c>
      <c r="D86" s="1044"/>
      <c r="E86" s="1044"/>
      <c r="F86" s="1044"/>
      <c r="G86" s="1044"/>
      <c r="H86" s="1044"/>
      <c r="I86" s="1044"/>
      <c r="J86" s="1044"/>
      <c r="K86" s="1045"/>
    </row>
    <row r="87" spans="1:11" x14ac:dyDescent="0.25">
      <c r="A87" s="615"/>
      <c r="B87" s="150"/>
      <c r="C87" s="622"/>
      <c r="D87" s="622"/>
      <c r="E87" s="622"/>
      <c r="F87" s="622"/>
      <c r="G87" s="622"/>
      <c r="H87" s="622"/>
      <c r="I87" s="622"/>
      <c r="J87" s="622"/>
      <c r="K87" s="623"/>
    </row>
    <row r="88" spans="1:11" x14ac:dyDescent="0.25">
      <c r="A88" s="620" t="s">
        <v>1479</v>
      </c>
      <c r="B88" s="1059" t="s">
        <v>1480</v>
      </c>
      <c r="C88" s="1059"/>
      <c r="D88" s="1059"/>
      <c r="E88" s="1059"/>
      <c r="F88" s="1059"/>
      <c r="G88" s="1059"/>
      <c r="H88" s="1059"/>
      <c r="I88" s="1059"/>
      <c r="J88" s="1059"/>
      <c r="K88" s="1060"/>
    </row>
    <row r="89" spans="1:11" x14ac:dyDescent="0.25">
      <c r="A89" s="615"/>
      <c r="B89" s="150">
        <v>1</v>
      </c>
      <c r="C89" s="1044" t="s">
        <v>1423</v>
      </c>
      <c r="D89" s="1044"/>
      <c r="E89" s="1044"/>
      <c r="F89" s="1044"/>
      <c r="G89" s="1044"/>
      <c r="H89" s="1044"/>
      <c r="I89" s="1044"/>
      <c r="J89" s="1044"/>
      <c r="K89" s="1045"/>
    </row>
    <row r="90" spans="1:11" ht="31.5" customHeight="1" x14ac:dyDescent="0.25">
      <c r="A90" s="615"/>
      <c r="B90" s="150">
        <v>2</v>
      </c>
      <c r="C90" s="1095" t="s">
        <v>1578</v>
      </c>
      <c r="D90" s="1095"/>
      <c r="E90" s="1095"/>
      <c r="F90" s="1095"/>
      <c r="G90" s="1095"/>
      <c r="H90" s="1095"/>
      <c r="I90" s="1095"/>
      <c r="J90" s="1095"/>
      <c r="K90" s="1096"/>
    </row>
    <row r="91" spans="1:11" ht="31.5" customHeight="1" x14ac:dyDescent="0.25">
      <c r="A91" s="615"/>
      <c r="B91" s="150">
        <v>3</v>
      </c>
      <c r="C91" s="1044" t="s">
        <v>1424</v>
      </c>
      <c r="D91" s="1044"/>
      <c r="E91" s="1044"/>
      <c r="F91" s="1044"/>
      <c r="G91" s="1044"/>
      <c r="H91" s="1044"/>
      <c r="I91" s="1044"/>
      <c r="J91" s="1044"/>
      <c r="K91" s="1045"/>
    </row>
    <row r="92" spans="1:11" ht="34.5" customHeight="1" x14ac:dyDescent="0.25">
      <c r="A92" s="615"/>
      <c r="B92" s="624">
        <v>4</v>
      </c>
      <c r="C92" s="1044" t="s">
        <v>1485</v>
      </c>
      <c r="D92" s="1044"/>
      <c r="E92" s="1044"/>
      <c r="F92" s="1044"/>
      <c r="G92" s="1044"/>
      <c r="H92" s="1044"/>
      <c r="I92" s="1044"/>
      <c r="J92" s="1044"/>
      <c r="K92" s="1045"/>
    </row>
    <row r="93" spans="1:11" x14ac:dyDescent="0.25">
      <c r="A93" s="615"/>
      <c r="B93" s="150">
        <v>5</v>
      </c>
      <c r="C93" s="1044" t="s">
        <v>1579</v>
      </c>
      <c r="D93" s="1044"/>
      <c r="E93" s="1044"/>
      <c r="F93" s="1044"/>
      <c r="G93" s="1044"/>
      <c r="H93" s="1044"/>
      <c r="I93" s="1044"/>
      <c r="J93" s="1044"/>
      <c r="K93" s="1045"/>
    </row>
    <row r="94" spans="1:11" x14ac:dyDescent="0.25">
      <c r="A94" s="615"/>
      <c r="B94" s="616"/>
      <c r="C94" s="616"/>
      <c r="D94" s="616"/>
      <c r="E94" s="616"/>
      <c r="F94" s="616"/>
      <c r="G94" s="616"/>
      <c r="H94" s="616"/>
      <c r="I94" s="616"/>
      <c r="J94" s="616"/>
      <c r="K94" s="617"/>
    </row>
    <row r="95" spans="1:11" x14ac:dyDescent="0.25">
      <c r="A95" s="620" t="s">
        <v>1481</v>
      </c>
      <c r="B95" s="1059" t="s">
        <v>1482</v>
      </c>
      <c r="C95" s="1059"/>
      <c r="D95" s="1059"/>
      <c r="E95" s="1059"/>
      <c r="F95" s="1059"/>
      <c r="G95" s="1059"/>
      <c r="H95" s="1059"/>
      <c r="I95" s="1059"/>
      <c r="J95" s="1059"/>
      <c r="K95" s="1060"/>
    </row>
    <row r="96" spans="1:11" ht="34.5" customHeight="1" x14ac:dyDescent="0.25">
      <c r="A96" s="619"/>
      <c r="B96" s="624">
        <v>1</v>
      </c>
      <c r="C96" s="1044" t="s">
        <v>1483</v>
      </c>
      <c r="D96" s="1044"/>
      <c r="E96" s="1044"/>
      <c r="F96" s="1044"/>
      <c r="G96" s="1044"/>
      <c r="H96" s="1044"/>
      <c r="I96" s="1044"/>
      <c r="J96" s="1044"/>
      <c r="K96" s="1045"/>
    </row>
    <row r="97" spans="1:11" x14ac:dyDescent="0.25">
      <c r="A97" s="615"/>
      <c r="B97" s="150">
        <v>2</v>
      </c>
      <c r="C97" s="1044" t="s">
        <v>1484</v>
      </c>
      <c r="D97" s="1044"/>
      <c r="E97" s="1044"/>
      <c r="F97" s="1044"/>
      <c r="G97" s="1044"/>
      <c r="H97" s="1044"/>
      <c r="I97" s="1044"/>
      <c r="J97" s="1044"/>
      <c r="K97" s="1045"/>
    </row>
    <row r="98" spans="1:11" ht="30.75" customHeight="1" x14ac:dyDescent="0.25">
      <c r="A98" s="615"/>
      <c r="B98" s="616"/>
      <c r="C98" s="142" t="s">
        <v>1437</v>
      </c>
      <c r="D98" s="1052" t="s">
        <v>1605</v>
      </c>
      <c r="E98" s="1052"/>
      <c r="F98" s="1052"/>
      <c r="G98" s="1052"/>
      <c r="H98" s="1052"/>
      <c r="I98" s="1052"/>
      <c r="J98" s="1052"/>
      <c r="K98" s="1053"/>
    </row>
    <row r="99" spans="1:11" x14ac:dyDescent="0.25">
      <c r="A99" s="615"/>
      <c r="B99" s="150">
        <v>3</v>
      </c>
      <c r="C99" s="1052" t="s">
        <v>1487</v>
      </c>
      <c r="D99" s="1052"/>
      <c r="E99" s="1052"/>
      <c r="F99" s="1052"/>
      <c r="G99" s="1052"/>
      <c r="H99" s="1052"/>
      <c r="I99" s="1052"/>
      <c r="J99" s="1052"/>
      <c r="K99" s="1053"/>
    </row>
    <row r="100" spans="1:11" ht="15.75" thickBot="1" x14ac:dyDescent="0.3">
      <c r="A100" s="607"/>
      <c r="B100" s="608"/>
      <c r="C100" s="608"/>
      <c r="D100" s="608"/>
      <c r="E100" s="608"/>
      <c r="F100" s="608"/>
      <c r="G100" s="608"/>
      <c r="H100" s="608"/>
      <c r="I100" s="608"/>
      <c r="J100" s="608"/>
      <c r="K100" s="377"/>
    </row>
    <row r="101" spans="1:11" ht="30.75" thickBot="1" x14ac:dyDescent="0.3">
      <c r="A101" s="1054" t="s">
        <v>1010</v>
      </c>
      <c r="B101" s="1055"/>
      <c r="C101" s="1056"/>
      <c r="D101" s="1020"/>
      <c r="E101" s="1021"/>
      <c r="F101" s="1021"/>
      <c r="G101" s="1021"/>
      <c r="H101" s="1021"/>
      <c r="I101" s="1022"/>
      <c r="J101" s="378" t="s">
        <v>1008</v>
      </c>
      <c r="K101" s="631" t="s">
        <v>1416</v>
      </c>
    </row>
    <row r="102" spans="1:11" ht="28.5" customHeight="1" x14ac:dyDescent="0.25">
      <c r="A102" s="615">
        <v>1</v>
      </c>
      <c r="B102" s="616"/>
      <c r="C102" s="1057" t="s">
        <v>1581</v>
      </c>
      <c r="D102" s="1057"/>
      <c r="E102" s="1057"/>
      <c r="F102" s="1057"/>
      <c r="G102" s="1057"/>
      <c r="H102" s="1057"/>
      <c r="I102" s="1057"/>
      <c r="J102" s="1057"/>
      <c r="K102" s="1058"/>
    </row>
    <row r="103" spans="1:11" x14ac:dyDescent="0.25">
      <c r="A103" s="615">
        <v>2</v>
      </c>
      <c r="B103" s="616"/>
      <c r="C103" s="1044" t="s">
        <v>1030</v>
      </c>
      <c r="D103" s="1044"/>
      <c r="E103" s="1044"/>
      <c r="F103" s="1044"/>
      <c r="G103" s="1044"/>
      <c r="H103" s="1044"/>
      <c r="I103" s="1044"/>
      <c r="J103" s="1044"/>
      <c r="K103" s="1045"/>
    </row>
    <row r="104" spans="1:11" ht="32.25" customHeight="1" x14ac:dyDescent="0.25">
      <c r="A104" s="633">
        <v>3</v>
      </c>
      <c r="B104" s="616"/>
      <c r="C104" s="1044" t="s">
        <v>1490</v>
      </c>
      <c r="D104" s="1044"/>
      <c r="E104" s="1044"/>
      <c r="F104" s="1044"/>
      <c r="G104" s="1044"/>
      <c r="H104" s="1044"/>
      <c r="I104" s="1044"/>
      <c r="J104" s="1044"/>
      <c r="K104" s="1045"/>
    </row>
    <row r="105" spans="1:11" ht="29.25" customHeight="1" x14ac:dyDescent="0.25">
      <c r="A105" s="633">
        <v>4</v>
      </c>
      <c r="B105" s="616"/>
      <c r="C105" s="1044" t="s">
        <v>1491</v>
      </c>
      <c r="D105" s="1044"/>
      <c r="E105" s="1044"/>
      <c r="F105" s="1044"/>
      <c r="G105" s="1044"/>
      <c r="H105" s="1044"/>
      <c r="I105" s="1044"/>
      <c r="J105" s="1044"/>
      <c r="K105" s="1045"/>
    </row>
    <row r="106" spans="1:11" x14ac:dyDescent="0.25">
      <c r="A106" s="615">
        <v>5</v>
      </c>
      <c r="B106" s="616"/>
      <c r="C106" s="1044" t="s">
        <v>1492</v>
      </c>
      <c r="D106" s="1044"/>
      <c r="E106" s="1044"/>
      <c r="F106" s="1044"/>
      <c r="G106" s="1044"/>
      <c r="H106" s="1044"/>
      <c r="I106" s="1044"/>
      <c r="J106" s="1044"/>
      <c r="K106" s="1045"/>
    </row>
    <row r="107" spans="1:11" x14ac:dyDescent="0.25">
      <c r="A107" s="615">
        <v>6</v>
      </c>
      <c r="B107" s="616"/>
      <c r="C107" s="1044" t="s">
        <v>1493</v>
      </c>
      <c r="D107" s="1044"/>
      <c r="E107" s="1044"/>
      <c r="F107" s="1044"/>
      <c r="G107" s="1044"/>
      <c r="H107" s="1044"/>
      <c r="I107" s="1044"/>
      <c r="J107" s="1044"/>
      <c r="K107" s="1045"/>
    </row>
    <row r="108" spans="1:11" x14ac:dyDescent="0.25">
      <c r="A108" s="615">
        <v>7</v>
      </c>
      <c r="B108" s="616"/>
      <c r="C108" s="1044" t="s">
        <v>1494</v>
      </c>
      <c r="D108" s="1044"/>
      <c r="E108" s="1044"/>
      <c r="F108" s="1044"/>
      <c r="G108" s="1044"/>
      <c r="H108" s="1044"/>
      <c r="I108" s="1044"/>
      <c r="J108" s="1044"/>
      <c r="K108" s="1045"/>
    </row>
    <row r="109" spans="1:11" ht="31.5" customHeight="1" x14ac:dyDescent="0.25">
      <c r="A109" s="633">
        <v>8</v>
      </c>
      <c r="B109" s="616"/>
      <c r="C109" s="1044" t="s">
        <v>1488</v>
      </c>
      <c r="D109" s="1044"/>
      <c r="E109" s="1044"/>
      <c r="F109" s="1044"/>
      <c r="G109" s="1044"/>
      <c r="H109" s="1044"/>
      <c r="I109" s="1044"/>
      <c r="J109" s="1044"/>
      <c r="K109" s="1045"/>
    </row>
    <row r="110" spans="1:11" ht="15.75" thickBot="1" x14ac:dyDescent="0.3">
      <c r="A110" s="1046"/>
      <c r="B110" s="1047"/>
      <c r="C110" s="1047"/>
      <c r="D110" s="1047"/>
      <c r="E110" s="1047"/>
      <c r="F110" s="1047"/>
      <c r="G110" s="1047"/>
      <c r="H110" s="1047"/>
      <c r="I110" s="1047"/>
      <c r="J110" s="1047"/>
      <c r="K110" s="1048"/>
    </row>
    <row r="111" spans="1:11" ht="15.75" thickBot="1" x14ac:dyDescent="0.3">
      <c r="A111" s="1049" t="s">
        <v>1011</v>
      </c>
      <c r="B111" s="1050"/>
      <c r="C111" s="1050"/>
      <c r="D111" s="1050"/>
      <c r="E111" s="1050"/>
      <c r="F111" s="1050"/>
      <c r="G111" s="1050"/>
      <c r="H111" s="1050"/>
      <c r="I111" s="1050"/>
      <c r="J111" s="1050"/>
      <c r="K111" s="1051"/>
    </row>
    <row r="112" spans="1:11" ht="15.75" thickBot="1" x14ac:dyDescent="0.3">
      <c r="A112" s="629" t="s">
        <v>4</v>
      </c>
      <c r="B112" s="1041" t="s">
        <v>1012</v>
      </c>
      <c r="C112" s="1043"/>
      <c r="D112" s="1041" t="s">
        <v>1013</v>
      </c>
      <c r="E112" s="1043"/>
      <c r="F112" s="1041" t="s">
        <v>1014</v>
      </c>
      <c r="G112" s="1043"/>
      <c r="H112" s="1041" t="s">
        <v>1015</v>
      </c>
      <c r="I112" s="1042"/>
      <c r="J112" s="1042"/>
      <c r="K112" s="1043"/>
    </row>
    <row r="113" spans="1:11" ht="15.75" thickBot="1" x14ac:dyDescent="0.3">
      <c r="A113" s="630">
        <v>1</v>
      </c>
      <c r="B113" s="1020" t="s">
        <v>1016</v>
      </c>
      <c r="C113" s="1022"/>
      <c r="D113" s="1020" t="s">
        <v>1017</v>
      </c>
      <c r="E113" s="1022"/>
      <c r="F113" s="1020" t="s">
        <v>1018</v>
      </c>
      <c r="G113" s="1022"/>
      <c r="H113" s="1020" t="s">
        <v>1019</v>
      </c>
      <c r="I113" s="1021"/>
      <c r="J113" s="1021"/>
      <c r="K113" s="1022"/>
    </row>
    <row r="114" spans="1:11" ht="15.75" thickBot="1" x14ac:dyDescent="0.3">
      <c r="A114" s="630">
        <v>2</v>
      </c>
      <c r="B114" s="1020" t="s">
        <v>1020</v>
      </c>
      <c r="C114" s="1022"/>
      <c r="D114" s="1020" t="s">
        <v>1017</v>
      </c>
      <c r="E114" s="1022"/>
      <c r="F114" s="1020" t="s">
        <v>1021</v>
      </c>
      <c r="G114" s="1022"/>
      <c r="H114" s="1020" t="s">
        <v>1022</v>
      </c>
      <c r="I114" s="1021"/>
      <c r="J114" s="1021"/>
      <c r="K114" s="1022"/>
    </row>
    <row r="115" spans="1:11" ht="15.75" thickBot="1" x14ac:dyDescent="0.3">
      <c r="A115" s="630">
        <v>3</v>
      </c>
      <c r="B115" s="1020" t="s">
        <v>1023</v>
      </c>
      <c r="C115" s="1022"/>
      <c r="D115" s="1020" t="s">
        <v>1426</v>
      </c>
      <c r="E115" s="1022"/>
      <c r="F115" s="1020" t="s">
        <v>1024</v>
      </c>
      <c r="G115" s="1022"/>
      <c r="H115" s="1020" t="s">
        <v>1025</v>
      </c>
      <c r="I115" s="1021"/>
      <c r="J115" s="1021"/>
      <c r="K115" s="1022"/>
    </row>
    <row r="116" spans="1:11" ht="15.75" thickBot="1" x14ac:dyDescent="0.3">
      <c r="A116" s="1032" t="s">
        <v>1026</v>
      </c>
      <c r="B116" s="1033"/>
      <c r="C116" s="1033"/>
      <c r="D116" s="1033"/>
      <c r="E116" s="1033"/>
      <c r="F116" s="1033"/>
      <c r="G116" s="1033"/>
      <c r="H116" s="1033"/>
      <c r="I116" s="1033"/>
      <c r="J116" s="1033"/>
      <c r="K116" s="1034"/>
    </row>
    <row r="117" spans="1:11" ht="48.75" customHeight="1" thickBot="1" x14ac:dyDescent="0.3">
      <c r="A117" s="1035" t="s">
        <v>1027</v>
      </c>
      <c r="B117" s="1036"/>
      <c r="C117" s="1037"/>
      <c r="D117" s="1110" t="s">
        <v>1606</v>
      </c>
      <c r="E117" s="1111"/>
      <c r="F117" s="1111"/>
      <c r="G117" s="1111"/>
      <c r="H117" s="1111"/>
      <c r="I117" s="1111"/>
      <c r="J117" s="1111"/>
      <c r="K117" s="1112"/>
    </row>
    <row r="118" spans="1:11" ht="60" customHeight="1" thickBot="1" x14ac:dyDescent="0.3">
      <c r="A118" s="1035" t="s">
        <v>1028</v>
      </c>
      <c r="B118" s="1036"/>
      <c r="C118" s="1037"/>
      <c r="D118" s="1110" t="s">
        <v>1607</v>
      </c>
      <c r="E118" s="1111"/>
      <c r="F118" s="1111"/>
      <c r="G118" s="1111"/>
      <c r="H118" s="1111"/>
      <c r="I118" s="1111"/>
      <c r="J118" s="1111"/>
      <c r="K118" s="1112"/>
    </row>
    <row r="119" spans="1:11" ht="15.75" thickBot="1" x14ac:dyDescent="0.3">
      <c r="A119" s="1032" t="s">
        <v>1029</v>
      </c>
      <c r="B119" s="1033"/>
      <c r="C119" s="1033"/>
      <c r="D119" s="1033"/>
      <c r="E119" s="1033"/>
      <c r="F119" s="1033"/>
      <c r="G119" s="1033"/>
      <c r="H119" s="1033"/>
      <c r="I119" s="1033"/>
      <c r="J119" s="1033"/>
      <c r="K119" s="1034"/>
    </row>
    <row r="120" spans="1:11" ht="15.75" thickBot="1" x14ac:dyDescent="0.3">
      <c r="A120" s="629" t="s">
        <v>4</v>
      </c>
      <c r="B120" s="1041" t="s">
        <v>1012</v>
      </c>
      <c r="C120" s="1042"/>
      <c r="D120" s="1043"/>
      <c r="E120" s="1041" t="s">
        <v>1030</v>
      </c>
      <c r="F120" s="1042"/>
      <c r="G120" s="1042"/>
      <c r="H120" s="1042"/>
      <c r="I120" s="1042"/>
      <c r="J120" s="1042"/>
      <c r="K120" s="1043"/>
    </row>
    <row r="121" spans="1:11" ht="26.25" customHeight="1" thickBot="1" x14ac:dyDescent="0.3">
      <c r="A121" s="630">
        <v>1</v>
      </c>
      <c r="B121" s="1020" t="s">
        <v>1031</v>
      </c>
      <c r="C121" s="1021"/>
      <c r="D121" s="1022"/>
      <c r="E121" s="1020" t="s">
        <v>1032</v>
      </c>
      <c r="F121" s="1021"/>
      <c r="G121" s="1021"/>
      <c r="H121" s="1021"/>
      <c r="I121" s="1021"/>
      <c r="J121" s="1021"/>
      <c r="K121" s="1022"/>
    </row>
    <row r="122" spans="1:11" ht="30" customHeight="1" thickBot="1" x14ac:dyDescent="0.3">
      <c r="A122" s="630">
        <v>2</v>
      </c>
      <c r="B122" s="1020" t="s">
        <v>1033</v>
      </c>
      <c r="C122" s="1021"/>
      <c r="D122" s="1022"/>
      <c r="E122" s="1023" t="s">
        <v>1034</v>
      </c>
      <c r="F122" s="1024"/>
      <c r="G122" s="1024"/>
      <c r="H122" s="1024"/>
      <c r="I122" s="1024"/>
      <c r="J122" s="1024"/>
      <c r="K122" s="1025"/>
    </row>
    <row r="123" spans="1:11" ht="30.75" customHeight="1" thickBot="1" x14ac:dyDescent="0.3">
      <c r="A123" s="630">
        <v>3</v>
      </c>
      <c r="B123" s="1020" t="s">
        <v>1035</v>
      </c>
      <c r="C123" s="1021"/>
      <c r="D123" s="1022"/>
      <c r="E123" s="1023" t="s">
        <v>1036</v>
      </c>
      <c r="F123" s="1024"/>
      <c r="G123" s="1024"/>
      <c r="H123" s="1024"/>
      <c r="I123" s="1024"/>
      <c r="J123" s="1024"/>
      <c r="K123" s="1025"/>
    </row>
    <row r="124" spans="1:11" ht="15.75" thickBot="1" x14ac:dyDescent="0.3">
      <c r="A124" s="1026"/>
      <c r="B124" s="1027"/>
      <c r="C124" s="1027"/>
      <c r="D124" s="1027"/>
      <c r="E124" s="1027"/>
      <c r="F124" s="1027"/>
      <c r="G124" s="1027"/>
      <c r="H124" s="1027"/>
      <c r="I124" s="1027"/>
      <c r="J124" s="1027"/>
      <c r="K124" s="1028"/>
    </row>
    <row r="125" spans="1:11" x14ac:dyDescent="0.25">
      <c r="A125" s="691"/>
      <c r="B125" s="692"/>
      <c r="C125" s="692"/>
      <c r="D125" s="692"/>
      <c r="E125" s="692"/>
      <c r="F125" s="692"/>
      <c r="G125" s="692"/>
      <c r="H125" s="692"/>
      <c r="I125" s="692"/>
      <c r="J125" s="692"/>
      <c r="K125" s="693"/>
    </row>
    <row r="126" spans="1:11" ht="15" customHeight="1" x14ac:dyDescent="0.25">
      <c r="A126" s="615"/>
      <c r="D126" s="25"/>
      <c r="F126" s="616"/>
      <c r="G126" s="616"/>
      <c r="H126" s="27" t="s">
        <v>1145</v>
      </c>
      <c r="J126" s="616"/>
      <c r="K126" s="617"/>
    </row>
    <row r="127" spans="1:11" ht="15" customHeight="1" x14ac:dyDescent="0.25">
      <c r="A127" s="615"/>
      <c r="B127" s="28" t="s">
        <v>33</v>
      </c>
      <c r="D127" s="25"/>
      <c r="F127" s="616"/>
      <c r="G127" s="616"/>
      <c r="J127" s="616"/>
      <c r="K127" s="617"/>
    </row>
    <row r="128" spans="1:11" ht="15" customHeight="1" x14ac:dyDescent="0.25">
      <c r="A128" s="615"/>
      <c r="B128" s="28" t="s">
        <v>1623</v>
      </c>
      <c r="D128" s="25"/>
      <c r="F128" s="616"/>
      <c r="G128" s="616"/>
      <c r="H128" s="28" t="s">
        <v>41</v>
      </c>
      <c r="J128" s="616"/>
      <c r="K128" s="617"/>
    </row>
    <row r="129" spans="1:11" ht="15" customHeight="1" x14ac:dyDescent="0.25">
      <c r="A129" s="615"/>
      <c r="B129" s="28"/>
      <c r="D129" s="25"/>
      <c r="F129" s="616"/>
      <c r="G129" s="616"/>
      <c r="H129" s="28"/>
      <c r="J129" s="616"/>
      <c r="K129" s="617"/>
    </row>
    <row r="130" spans="1:11" ht="15.75" x14ac:dyDescent="0.25">
      <c r="A130" s="615"/>
      <c r="B130" s="28"/>
      <c r="D130" s="25"/>
      <c r="F130" s="616"/>
      <c r="G130" s="616"/>
      <c r="H130" s="28"/>
      <c r="J130" s="616"/>
      <c r="K130" s="617"/>
    </row>
    <row r="131" spans="1:11" ht="15.75" x14ac:dyDescent="0.25">
      <c r="A131" s="615"/>
      <c r="B131" s="28"/>
      <c r="D131" s="25"/>
      <c r="F131" s="616"/>
      <c r="G131" s="616"/>
      <c r="H131" s="28"/>
      <c r="J131" s="616"/>
      <c r="K131" s="617"/>
    </row>
    <row r="132" spans="1:11" ht="15.75" x14ac:dyDescent="0.25">
      <c r="A132" s="615"/>
      <c r="B132" s="34" t="s">
        <v>1622</v>
      </c>
      <c r="D132" s="25"/>
      <c r="F132" s="616"/>
      <c r="G132" s="616"/>
      <c r="H132" s="34" t="s">
        <v>1154</v>
      </c>
      <c r="J132" s="616"/>
      <c r="K132" s="617"/>
    </row>
    <row r="133" spans="1:11" ht="15" customHeight="1" x14ac:dyDescent="0.25">
      <c r="A133" s="615"/>
      <c r="B133" s="28" t="s">
        <v>1683</v>
      </c>
      <c r="D133" s="25"/>
      <c r="F133" s="616"/>
      <c r="G133" s="616"/>
      <c r="H133" s="28" t="s">
        <v>1155</v>
      </c>
      <c r="J133" s="616"/>
      <c r="K133" s="617"/>
    </row>
    <row r="134" spans="1:11" ht="15" customHeight="1" x14ac:dyDescent="0.25">
      <c r="A134" s="615"/>
      <c r="B134" s="28"/>
      <c r="D134" s="25"/>
      <c r="F134" s="616"/>
      <c r="G134" s="616"/>
      <c r="H134" s="27"/>
      <c r="J134" s="616"/>
      <c r="K134" s="617"/>
    </row>
    <row r="135" spans="1:11" ht="15.75" x14ac:dyDescent="0.25">
      <c r="A135" s="615"/>
      <c r="D135" s="25"/>
      <c r="F135" s="616"/>
      <c r="G135" s="616"/>
      <c r="J135" s="616"/>
      <c r="K135" s="617"/>
    </row>
    <row r="136" spans="1:11" ht="15.75" x14ac:dyDescent="0.25">
      <c r="A136" s="615"/>
      <c r="B136" s="28" t="s">
        <v>1624</v>
      </c>
      <c r="D136" s="25"/>
      <c r="F136" s="616"/>
      <c r="G136" s="616"/>
      <c r="H136" s="28" t="s">
        <v>1625</v>
      </c>
      <c r="J136" s="616"/>
      <c r="K136" s="617"/>
    </row>
    <row r="137" spans="1:11" ht="15.75" x14ac:dyDescent="0.25">
      <c r="A137" s="615"/>
      <c r="B137" s="28"/>
      <c r="D137" s="25"/>
      <c r="F137" s="616"/>
      <c r="G137" s="616"/>
      <c r="H137" s="28"/>
      <c r="J137" s="616"/>
      <c r="K137" s="617"/>
    </row>
    <row r="138" spans="1:11" ht="15.75" x14ac:dyDescent="0.25">
      <c r="A138" s="615"/>
      <c r="B138" s="28"/>
      <c r="D138" s="25"/>
      <c r="F138" s="616"/>
      <c r="G138" s="616"/>
      <c r="H138" s="28"/>
      <c r="J138" s="616"/>
      <c r="K138" s="617"/>
    </row>
    <row r="139" spans="1:11" ht="15.75" x14ac:dyDescent="0.25">
      <c r="A139" s="615"/>
      <c r="B139" s="28"/>
      <c r="D139" s="25"/>
      <c r="F139" s="616"/>
      <c r="G139" s="616"/>
      <c r="H139" s="28"/>
      <c r="J139" s="616"/>
      <c r="K139" s="617"/>
    </row>
    <row r="140" spans="1:11" ht="15.75" x14ac:dyDescent="0.25">
      <c r="A140" s="615"/>
      <c r="B140" s="34" t="s">
        <v>1156</v>
      </c>
      <c r="D140" s="25"/>
      <c r="F140" s="616"/>
      <c r="G140" s="616"/>
      <c r="H140" s="34" t="s">
        <v>1044</v>
      </c>
      <c r="J140" s="616"/>
      <c r="K140" s="617"/>
    </row>
    <row r="141" spans="1:11" ht="15.75" x14ac:dyDescent="0.25">
      <c r="A141" s="615"/>
      <c r="B141" s="34" t="s">
        <v>1620</v>
      </c>
      <c r="D141" s="25"/>
      <c r="F141" s="616"/>
      <c r="G141" s="616"/>
      <c r="H141" s="28" t="s">
        <v>1621</v>
      </c>
      <c r="J141" s="616"/>
      <c r="K141" s="617"/>
    </row>
    <row r="142" spans="1:11" ht="15.75" thickBot="1" x14ac:dyDescent="0.3">
      <c r="A142" s="607"/>
      <c r="B142" s="608"/>
      <c r="C142" s="608"/>
      <c r="D142" s="608"/>
      <c r="E142" s="608"/>
      <c r="F142" s="608"/>
      <c r="G142" s="608"/>
      <c r="H142" s="608"/>
      <c r="I142" s="608"/>
      <c r="J142" s="608"/>
      <c r="K142" s="377"/>
    </row>
  </sheetData>
  <mergeCells count="168">
    <mergeCell ref="B122:D122"/>
    <mergeCell ref="E122:K122"/>
    <mergeCell ref="B123:D123"/>
    <mergeCell ref="E123:K123"/>
    <mergeCell ref="A124:K124"/>
    <mergeCell ref="A118:C118"/>
    <mergeCell ref="D118:K118"/>
    <mergeCell ref="A119:K119"/>
    <mergeCell ref="B120:D120"/>
    <mergeCell ref="E120:K120"/>
    <mergeCell ref="B121:D121"/>
    <mergeCell ref="E121:K121"/>
    <mergeCell ref="B115:C115"/>
    <mergeCell ref="D115:E115"/>
    <mergeCell ref="F115:G115"/>
    <mergeCell ref="H115:K115"/>
    <mergeCell ref="A116:K116"/>
    <mergeCell ref="A117:C117"/>
    <mergeCell ref="D117:K117"/>
    <mergeCell ref="B113:C113"/>
    <mergeCell ref="D113:E113"/>
    <mergeCell ref="F113:G113"/>
    <mergeCell ref="H113:K113"/>
    <mergeCell ref="B114:C114"/>
    <mergeCell ref="D114:E114"/>
    <mergeCell ref="F114:G114"/>
    <mergeCell ref="H114:K114"/>
    <mergeCell ref="A110:K110"/>
    <mergeCell ref="A111:K111"/>
    <mergeCell ref="B112:C112"/>
    <mergeCell ref="D112:E112"/>
    <mergeCell ref="F112:G112"/>
    <mergeCell ref="H112:K112"/>
    <mergeCell ref="C104:K104"/>
    <mergeCell ref="C105:K105"/>
    <mergeCell ref="C106:K106"/>
    <mergeCell ref="C107:K107"/>
    <mergeCell ref="C108:K108"/>
    <mergeCell ref="C109:K109"/>
    <mergeCell ref="D98:K98"/>
    <mergeCell ref="C99:K99"/>
    <mergeCell ref="A101:C101"/>
    <mergeCell ref="D101:I101"/>
    <mergeCell ref="C102:K102"/>
    <mergeCell ref="C103:K103"/>
    <mergeCell ref="C91:K91"/>
    <mergeCell ref="C92:K92"/>
    <mergeCell ref="C93:K93"/>
    <mergeCell ref="B95:K95"/>
    <mergeCell ref="C96:K96"/>
    <mergeCell ref="C97:K97"/>
    <mergeCell ref="C84:K84"/>
    <mergeCell ref="C85:K85"/>
    <mergeCell ref="C86:K86"/>
    <mergeCell ref="B88:K88"/>
    <mergeCell ref="C89:K89"/>
    <mergeCell ref="C90:K90"/>
    <mergeCell ref="B77:K77"/>
    <mergeCell ref="C78:K78"/>
    <mergeCell ref="C79:K79"/>
    <mergeCell ref="C80:K80"/>
    <mergeCell ref="C81:K81"/>
    <mergeCell ref="B83:K83"/>
    <mergeCell ref="B71:K71"/>
    <mergeCell ref="C72:K72"/>
    <mergeCell ref="C73:K73"/>
    <mergeCell ref="C74:K74"/>
    <mergeCell ref="C75:K75"/>
    <mergeCell ref="B76:K76"/>
    <mergeCell ref="D65:K65"/>
    <mergeCell ref="D66:K66"/>
    <mergeCell ref="D67:K67"/>
    <mergeCell ref="C68:K68"/>
    <mergeCell ref="D69:K69"/>
    <mergeCell ref="A70:K70"/>
    <mergeCell ref="D59:K59"/>
    <mergeCell ref="D60:K60"/>
    <mergeCell ref="D61:K61"/>
    <mergeCell ref="C62:K62"/>
    <mergeCell ref="C63:K63"/>
    <mergeCell ref="D64:K64"/>
    <mergeCell ref="A54:K54"/>
    <mergeCell ref="A55:C55"/>
    <mergeCell ref="D55:I55"/>
    <mergeCell ref="A56:K56"/>
    <mergeCell ref="B57:K57"/>
    <mergeCell ref="C58:K58"/>
    <mergeCell ref="C48:K48"/>
    <mergeCell ref="C49:K49"/>
    <mergeCell ref="C50:K50"/>
    <mergeCell ref="C51:K51"/>
    <mergeCell ref="C52:K52"/>
    <mergeCell ref="A53:K53"/>
    <mergeCell ref="A42:K42"/>
    <mergeCell ref="C43:K43"/>
    <mergeCell ref="C44:K44"/>
    <mergeCell ref="C45:K45"/>
    <mergeCell ref="C46:K46"/>
    <mergeCell ref="C47:K47"/>
    <mergeCell ref="A37:K37"/>
    <mergeCell ref="A38:K38"/>
    <mergeCell ref="A39:K39"/>
    <mergeCell ref="A40:C40"/>
    <mergeCell ref="D40:K40"/>
    <mergeCell ref="A41:C41"/>
    <mergeCell ref="D41:I41"/>
    <mergeCell ref="A34:C34"/>
    <mergeCell ref="D34:K34"/>
    <mergeCell ref="A35:C35"/>
    <mergeCell ref="D35:K35"/>
    <mergeCell ref="A36:C36"/>
    <mergeCell ref="D36:K36"/>
    <mergeCell ref="A27:K27"/>
    <mergeCell ref="A28:K28"/>
    <mergeCell ref="A29:C33"/>
    <mergeCell ref="D29:K29"/>
    <mergeCell ref="E30:K30"/>
    <mergeCell ref="E31:K31"/>
    <mergeCell ref="E32:K32"/>
    <mergeCell ref="E33:K33"/>
    <mergeCell ref="A24:C24"/>
    <mergeCell ref="D24:K24"/>
    <mergeCell ref="A25:C25"/>
    <mergeCell ref="D25:K25"/>
    <mergeCell ref="A26:C26"/>
    <mergeCell ref="D26:K26"/>
    <mergeCell ref="A15:C23"/>
    <mergeCell ref="D15:K15"/>
    <mergeCell ref="E16:K16"/>
    <mergeCell ref="E17:K17"/>
    <mergeCell ref="E18:K18"/>
    <mergeCell ref="E19:K19"/>
    <mergeCell ref="E20:K20"/>
    <mergeCell ref="E21:K21"/>
    <mergeCell ref="D22:K22"/>
    <mergeCell ref="E23:K23"/>
    <mergeCell ref="A10:C10"/>
    <mergeCell ref="D10:K10"/>
    <mergeCell ref="A11:C14"/>
    <mergeCell ref="D11:K11"/>
    <mergeCell ref="D12:K12"/>
    <mergeCell ref="D13:K13"/>
    <mergeCell ref="D14:K14"/>
    <mergeCell ref="A6:B6"/>
    <mergeCell ref="C6:F6"/>
    <mergeCell ref="G6:H6"/>
    <mergeCell ref="I6:K6"/>
    <mergeCell ref="A7:K7"/>
    <mergeCell ref="A8:C8"/>
    <mergeCell ref="D8:K9"/>
    <mergeCell ref="A9:C9"/>
    <mergeCell ref="A4:B4"/>
    <mergeCell ref="C4:F4"/>
    <mergeCell ref="G4:H4"/>
    <mergeCell ref="I4:K4"/>
    <mergeCell ref="A5:B5"/>
    <mergeCell ref="C5:F5"/>
    <mergeCell ref="G5:H5"/>
    <mergeCell ref="I5:K5"/>
    <mergeCell ref="A1:K1"/>
    <mergeCell ref="A2:B2"/>
    <mergeCell ref="C2:F2"/>
    <mergeCell ref="G2:H2"/>
    <mergeCell ref="I2:K2"/>
    <mergeCell ref="A3:B3"/>
    <mergeCell ref="C3:F3"/>
    <mergeCell ref="G3:H3"/>
    <mergeCell ref="I3:K3"/>
  </mergeCells>
  <pageMargins left="0.7" right="0.7" top="0.75" bottom="0.75" header="0.3" footer="0.3"/>
  <pageSetup paperSize="9" scale="86" fitToHeight="0"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053FA-2D72-490E-86BF-B86DC19F4ADD}">
  <sheetPr>
    <tabColor theme="0"/>
    <pageSetUpPr fitToPage="1"/>
  </sheetPr>
  <dimension ref="A1:K117"/>
  <sheetViews>
    <sheetView topLeftCell="A97" workbookViewId="0">
      <selection activeCell="B107" sqref="B107:B108"/>
    </sheetView>
  </sheetViews>
  <sheetFormatPr defaultRowHeight="15" x14ac:dyDescent="0.25"/>
  <sheetData>
    <row r="1" spans="1:11" ht="15.75" thickBot="1" x14ac:dyDescent="0.3">
      <c r="A1" s="1032" t="s">
        <v>977</v>
      </c>
      <c r="B1" s="1033"/>
      <c r="C1" s="1033"/>
      <c r="D1" s="1033"/>
      <c r="E1" s="1033"/>
      <c r="F1" s="1033"/>
      <c r="G1" s="1033"/>
      <c r="H1" s="1033"/>
      <c r="I1" s="1033"/>
      <c r="J1" s="1033"/>
      <c r="K1" s="1034"/>
    </row>
    <row r="2" spans="1:11" ht="15.75" thickBot="1" x14ac:dyDescent="0.3">
      <c r="A2" s="1035" t="s">
        <v>313</v>
      </c>
      <c r="B2" s="1037"/>
      <c r="C2" s="1020" t="s">
        <v>871</v>
      </c>
      <c r="D2" s="1021"/>
      <c r="E2" s="1021"/>
      <c r="F2" s="1022"/>
      <c r="G2" s="1035" t="s">
        <v>978</v>
      </c>
      <c r="H2" s="1037"/>
      <c r="I2" s="1020" t="s">
        <v>979</v>
      </c>
      <c r="J2" s="1021"/>
      <c r="K2" s="1022"/>
    </row>
    <row r="3" spans="1:11" ht="15.75" thickBot="1" x14ac:dyDescent="0.3">
      <c r="A3" s="1035" t="s">
        <v>980</v>
      </c>
      <c r="B3" s="1037"/>
      <c r="C3" s="1020" t="s">
        <v>981</v>
      </c>
      <c r="D3" s="1021"/>
      <c r="E3" s="1021"/>
      <c r="F3" s="1022"/>
      <c r="G3" s="1035" t="s">
        <v>982</v>
      </c>
      <c r="H3" s="1037"/>
      <c r="I3" s="1020" t="s">
        <v>983</v>
      </c>
      <c r="J3" s="1021"/>
      <c r="K3" s="1022"/>
    </row>
    <row r="4" spans="1:11" ht="15.75" thickBot="1" x14ac:dyDescent="0.3">
      <c r="A4" s="1035" t="s">
        <v>984</v>
      </c>
      <c r="B4" s="1037"/>
      <c r="C4" s="1107" t="s">
        <v>1408</v>
      </c>
      <c r="D4" s="1108"/>
      <c r="E4" s="1108"/>
      <c r="F4" s="1109"/>
      <c r="G4" s="1035" t="s">
        <v>38</v>
      </c>
      <c r="H4" s="1037"/>
      <c r="I4" s="1020" t="s">
        <v>753</v>
      </c>
      <c r="J4" s="1021"/>
      <c r="K4" s="1022"/>
    </row>
    <row r="5" spans="1:11" ht="15.75" thickBot="1" x14ac:dyDescent="0.3">
      <c r="A5" s="1035" t="s">
        <v>315</v>
      </c>
      <c r="B5" s="1037"/>
      <c r="C5" s="1020" t="s">
        <v>1501</v>
      </c>
      <c r="D5" s="1021"/>
      <c r="E5" s="1021"/>
      <c r="F5" s="1022"/>
      <c r="G5" s="1035" t="s">
        <v>985</v>
      </c>
      <c r="H5" s="1037"/>
      <c r="I5" s="1020" t="s">
        <v>1154</v>
      </c>
      <c r="J5" s="1021"/>
      <c r="K5" s="1022"/>
    </row>
    <row r="6" spans="1:11" ht="15.75" thickBot="1" x14ac:dyDescent="0.3">
      <c r="A6" s="1035" t="s">
        <v>986</v>
      </c>
      <c r="B6" s="1037"/>
      <c r="C6" s="1020" t="s">
        <v>987</v>
      </c>
      <c r="D6" s="1021"/>
      <c r="E6" s="1021"/>
      <c r="F6" s="1022"/>
      <c r="G6" s="1035" t="s">
        <v>988</v>
      </c>
      <c r="H6" s="1037"/>
      <c r="I6" s="1020" t="s">
        <v>1154</v>
      </c>
      <c r="J6" s="1021"/>
      <c r="K6" s="1022"/>
    </row>
    <row r="7" spans="1:11" ht="15.75" thickBot="1" x14ac:dyDescent="0.3">
      <c r="A7" s="1020"/>
      <c r="B7" s="1021"/>
      <c r="C7" s="1021"/>
      <c r="D7" s="1021"/>
      <c r="E7" s="1021"/>
      <c r="F7" s="1021"/>
      <c r="G7" s="1021"/>
      <c r="H7" s="1021"/>
      <c r="I7" s="1021"/>
      <c r="J7" s="1021"/>
      <c r="K7" s="1022"/>
    </row>
    <row r="8" spans="1:11" x14ac:dyDescent="0.25">
      <c r="A8" s="1085" t="s">
        <v>1675</v>
      </c>
      <c r="B8" s="1086"/>
      <c r="C8" s="1087"/>
      <c r="D8" s="1094" t="s">
        <v>1502</v>
      </c>
      <c r="E8" s="1057"/>
      <c r="F8" s="1057"/>
      <c r="G8" s="1057"/>
      <c r="H8" s="1057"/>
      <c r="I8" s="1057"/>
      <c r="J8" s="1057"/>
      <c r="K8" s="1058"/>
    </row>
    <row r="9" spans="1:11" ht="45.75" customHeight="1" thickBot="1" x14ac:dyDescent="0.3">
      <c r="A9" s="1091"/>
      <c r="B9" s="1092"/>
      <c r="C9" s="1093"/>
      <c r="D9" s="1103"/>
      <c r="E9" s="1098"/>
      <c r="F9" s="1098"/>
      <c r="G9" s="1098"/>
      <c r="H9" s="1098"/>
      <c r="I9" s="1098"/>
      <c r="J9" s="1098"/>
      <c r="K9" s="1099"/>
    </row>
    <row r="10" spans="1:11" ht="36.75" customHeight="1" thickBot="1" x14ac:dyDescent="0.3">
      <c r="A10" s="1035" t="s">
        <v>991</v>
      </c>
      <c r="B10" s="1036"/>
      <c r="C10" s="1037"/>
      <c r="D10" s="1076" t="s">
        <v>1503</v>
      </c>
      <c r="E10" s="1077"/>
      <c r="F10" s="1077"/>
      <c r="G10" s="1077"/>
      <c r="H10" s="1077"/>
      <c r="I10" s="1077"/>
      <c r="J10" s="1077"/>
      <c r="K10" s="1078"/>
    </row>
    <row r="11" spans="1:11" x14ac:dyDescent="0.25">
      <c r="A11" s="1085" t="s">
        <v>992</v>
      </c>
      <c r="B11" s="1086"/>
      <c r="C11" s="1087"/>
      <c r="D11" s="1094" t="s">
        <v>993</v>
      </c>
      <c r="E11" s="1057"/>
      <c r="F11" s="1057"/>
      <c r="G11" s="1057"/>
      <c r="H11" s="1057"/>
      <c r="I11" s="1057"/>
      <c r="J11" s="1057"/>
      <c r="K11" s="1058"/>
    </row>
    <row r="12" spans="1:11" x14ac:dyDescent="0.25">
      <c r="A12" s="1088"/>
      <c r="B12" s="1089"/>
      <c r="C12" s="1090"/>
      <c r="D12" s="1097" t="s">
        <v>994</v>
      </c>
      <c r="E12" s="1044"/>
      <c r="F12" s="1044"/>
      <c r="G12" s="1044"/>
      <c r="H12" s="1044"/>
      <c r="I12" s="1044"/>
      <c r="J12" s="1044"/>
      <c r="K12" s="1045"/>
    </row>
    <row r="13" spans="1:11" x14ac:dyDescent="0.25">
      <c r="A13" s="1088"/>
      <c r="B13" s="1089"/>
      <c r="C13" s="1090"/>
      <c r="D13" s="1097" t="s">
        <v>995</v>
      </c>
      <c r="E13" s="1044"/>
      <c r="F13" s="1044"/>
      <c r="G13" s="1044"/>
      <c r="H13" s="1044"/>
      <c r="I13" s="1044"/>
      <c r="J13" s="1044"/>
      <c r="K13" s="1045"/>
    </row>
    <row r="14" spans="1:11" ht="15.75" thickBot="1" x14ac:dyDescent="0.3">
      <c r="A14" s="1091"/>
      <c r="B14" s="1092"/>
      <c r="C14" s="1093"/>
      <c r="D14" s="1097" t="s">
        <v>1504</v>
      </c>
      <c r="E14" s="1044"/>
      <c r="F14" s="1044"/>
      <c r="G14" s="1044"/>
      <c r="H14" s="1044"/>
      <c r="I14" s="1044"/>
      <c r="J14" s="1044"/>
      <c r="K14" s="1045"/>
    </row>
    <row r="15" spans="1:11" x14ac:dyDescent="0.25">
      <c r="A15" s="1085" t="s">
        <v>996</v>
      </c>
      <c r="B15" s="1086"/>
      <c r="C15" s="1087"/>
      <c r="D15" s="1094" t="s">
        <v>997</v>
      </c>
      <c r="E15" s="1057"/>
      <c r="F15" s="1057"/>
      <c r="G15" s="1057"/>
      <c r="H15" s="1057"/>
      <c r="I15" s="1057"/>
      <c r="J15" s="1057"/>
      <c r="K15" s="1058"/>
    </row>
    <row r="16" spans="1:11" x14ac:dyDescent="0.25">
      <c r="A16" s="1088"/>
      <c r="B16" s="1089"/>
      <c r="C16" s="1090"/>
      <c r="D16" s="621">
        <v>1</v>
      </c>
      <c r="E16" s="1044" t="s">
        <v>1457</v>
      </c>
      <c r="F16" s="1044"/>
      <c r="G16" s="1044"/>
      <c r="H16" s="1044"/>
      <c r="I16" s="1044"/>
      <c r="J16" s="1044"/>
      <c r="K16" s="1045"/>
    </row>
    <row r="17" spans="1:11" x14ac:dyDescent="0.25">
      <c r="A17" s="1088"/>
      <c r="B17" s="1089"/>
      <c r="C17" s="1090"/>
      <c r="D17" s="621">
        <v>2</v>
      </c>
      <c r="E17" s="1044" t="s">
        <v>1458</v>
      </c>
      <c r="F17" s="1044"/>
      <c r="G17" s="1044"/>
      <c r="H17" s="1044"/>
      <c r="I17" s="1044"/>
      <c r="J17" s="1044"/>
      <c r="K17" s="1045"/>
    </row>
    <row r="18" spans="1:11" x14ac:dyDescent="0.25">
      <c r="A18" s="1088"/>
      <c r="B18" s="1089"/>
      <c r="C18" s="1090"/>
      <c r="D18" s="621">
        <v>3</v>
      </c>
      <c r="E18" s="1044" t="s">
        <v>1459</v>
      </c>
      <c r="F18" s="1044"/>
      <c r="G18" s="1044"/>
      <c r="H18" s="1044"/>
      <c r="I18" s="1044"/>
      <c r="J18" s="1044"/>
      <c r="K18" s="1045"/>
    </row>
    <row r="19" spans="1:11" x14ac:dyDescent="0.25">
      <c r="A19" s="1088"/>
      <c r="B19" s="1089"/>
      <c r="C19" s="1090"/>
      <c r="D19" s="621">
        <v>4</v>
      </c>
      <c r="E19" s="1044" t="s">
        <v>1039</v>
      </c>
      <c r="F19" s="1044"/>
      <c r="G19" s="1044"/>
      <c r="H19" s="1044"/>
      <c r="I19" s="1044"/>
      <c r="J19" s="1044"/>
      <c r="K19" s="1045"/>
    </row>
    <row r="20" spans="1:11" x14ac:dyDescent="0.25">
      <c r="A20" s="1088"/>
      <c r="B20" s="1089"/>
      <c r="C20" s="1090"/>
      <c r="D20" s="621">
        <v>5</v>
      </c>
      <c r="E20" s="1044" t="s">
        <v>1505</v>
      </c>
      <c r="F20" s="1044"/>
      <c r="G20" s="1044"/>
      <c r="H20" s="1044"/>
      <c r="I20" s="1044"/>
      <c r="J20" s="1044"/>
      <c r="K20" s="1045"/>
    </row>
    <row r="21" spans="1:11" x14ac:dyDescent="0.25">
      <c r="A21" s="1088"/>
      <c r="B21" s="1089"/>
      <c r="C21" s="1090"/>
      <c r="D21" s="621">
        <v>6</v>
      </c>
      <c r="E21" s="1044" t="s">
        <v>1461</v>
      </c>
      <c r="F21" s="1044"/>
      <c r="G21" s="1044"/>
      <c r="H21" s="1044"/>
      <c r="I21" s="1044"/>
      <c r="J21" s="1044"/>
      <c r="K21" s="1045"/>
    </row>
    <row r="22" spans="1:11" x14ac:dyDescent="0.25">
      <c r="A22" s="1088"/>
      <c r="B22" s="1089"/>
      <c r="C22" s="1090"/>
      <c r="D22" s="1097" t="s">
        <v>998</v>
      </c>
      <c r="E22" s="1044"/>
      <c r="F22" s="1044"/>
      <c r="G22" s="1044"/>
      <c r="H22" s="1044"/>
      <c r="I22" s="1044"/>
      <c r="J22" s="1044"/>
      <c r="K22" s="1045"/>
    </row>
    <row r="23" spans="1:11" ht="15.75" thickBot="1" x14ac:dyDescent="0.3">
      <c r="A23" s="1091"/>
      <c r="B23" s="1092"/>
      <c r="C23" s="1093"/>
      <c r="D23" s="626">
        <v>1</v>
      </c>
      <c r="E23" s="1098" t="s">
        <v>1462</v>
      </c>
      <c r="F23" s="1098"/>
      <c r="G23" s="1098"/>
      <c r="H23" s="1098"/>
      <c r="I23" s="1098"/>
      <c r="J23" s="1098"/>
      <c r="K23" s="1099"/>
    </row>
    <row r="24" spans="1:11" ht="15.75" thickBot="1" x14ac:dyDescent="0.3">
      <c r="A24" s="1035" t="s">
        <v>999</v>
      </c>
      <c r="B24" s="1036"/>
      <c r="C24" s="1037"/>
      <c r="D24" s="1076" t="s">
        <v>1507</v>
      </c>
      <c r="E24" s="1077"/>
      <c r="F24" s="1077"/>
      <c r="G24" s="1077"/>
      <c r="H24" s="1077"/>
      <c r="I24" s="1077"/>
      <c r="J24" s="1077"/>
      <c r="K24" s="1078"/>
    </row>
    <row r="25" spans="1:11" ht="15.75" thickBot="1" x14ac:dyDescent="0.3">
      <c r="A25" s="1035" t="s">
        <v>629</v>
      </c>
      <c r="B25" s="1036"/>
      <c r="C25" s="1037"/>
      <c r="D25" s="1082" t="s">
        <v>1506</v>
      </c>
      <c r="E25" s="1083"/>
      <c r="F25" s="1083"/>
      <c r="G25" s="1083"/>
      <c r="H25" s="1083"/>
      <c r="I25" s="1083"/>
      <c r="J25" s="1083"/>
      <c r="K25" s="1084"/>
    </row>
    <row r="26" spans="1:11" ht="15.75" thickBot="1" x14ac:dyDescent="0.3">
      <c r="A26" s="1035" t="s">
        <v>1000</v>
      </c>
      <c r="B26" s="1036"/>
      <c r="C26" s="1037"/>
      <c r="D26" s="1076" t="s">
        <v>1508</v>
      </c>
      <c r="E26" s="1077"/>
      <c r="F26" s="1077"/>
      <c r="G26" s="1077"/>
      <c r="H26" s="1077"/>
      <c r="I26" s="1077"/>
      <c r="J26" s="1077"/>
      <c r="K26" s="1078"/>
    </row>
    <row r="27" spans="1:11" ht="15.75" thickBot="1" x14ac:dyDescent="0.3">
      <c r="A27" s="1020"/>
      <c r="B27" s="1021"/>
      <c r="C27" s="1021"/>
      <c r="D27" s="1021"/>
      <c r="E27" s="1021"/>
      <c r="F27" s="1021"/>
      <c r="G27" s="1021"/>
      <c r="H27" s="1021"/>
      <c r="I27" s="1021"/>
      <c r="J27" s="1021"/>
      <c r="K27" s="1022"/>
    </row>
    <row r="28" spans="1:11" ht="15.75" thickBot="1" x14ac:dyDescent="0.3">
      <c r="A28" s="1032" t="s">
        <v>1001</v>
      </c>
      <c r="B28" s="1033"/>
      <c r="C28" s="1033"/>
      <c r="D28" s="1033"/>
      <c r="E28" s="1033"/>
      <c r="F28" s="1033"/>
      <c r="G28" s="1033"/>
      <c r="H28" s="1033"/>
      <c r="I28" s="1033"/>
      <c r="J28" s="1033"/>
      <c r="K28" s="1034"/>
    </row>
    <row r="29" spans="1:11" ht="36" customHeight="1" x14ac:dyDescent="0.25">
      <c r="A29" s="1085" t="s">
        <v>627</v>
      </c>
      <c r="B29" s="1086"/>
      <c r="C29" s="1087"/>
      <c r="D29" s="1094" t="s">
        <v>1463</v>
      </c>
      <c r="E29" s="1057"/>
      <c r="F29" s="1057"/>
      <c r="G29" s="1057"/>
      <c r="H29" s="1057"/>
      <c r="I29" s="1057"/>
      <c r="J29" s="1057"/>
      <c r="K29" s="1058"/>
    </row>
    <row r="30" spans="1:11" ht="48" customHeight="1" x14ac:dyDescent="0.25">
      <c r="A30" s="1088"/>
      <c r="B30" s="1089"/>
      <c r="C30" s="1090"/>
      <c r="D30" s="627">
        <v>1</v>
      </c>
      <c r="E30" s="1095" t="s">
        <v>1509</v>
      </c>
      <c r="F30" s="1095"/>
      <c r="G30" s="1095"/>
      <c r="H30" s="1095"/>
      <c r="I30" s="1095"/>
      <c r="J30" s="1095"/>
      <c r="K30" s="1096"/>
    </row>
    <row r="31" spans="1:11" ht="49.5" customHeight="1" x14ac:dyDescent="0.25">
      <c r="A31" s="1088"/>
      <c r="B31" s="1089"/>
      <c r="C31" s="1090"/>
      <c r="D31" s="627">
        <v>2</v>
      </c>
      <c r="E31" s="1095" t="s">
        <v>1511</v>
      </c>
      <c r="F31" s="1095"/>
      <c r="G31" s="1095"/>
      <c r="H31" s="1095"/>
      <c r="I31" s="1095"/>
      <c r="J31" s="1095"/>
      <c r="K31" s="1096"/>
    </row>
    <row r="32" spans="1:11" ht="60.75" customHeight="1" thickBot="1" x14ac:dyDescent="0.3">
      <c r="A32" s="1091"/>
      <c r="B32" s="1092"/>
      <c r="C32" s="1093"/>
      <c r="D32" s="627">
        <v>3</v>
      </c>
      <c r="E32" s="1095" t="s">
        <v>1510</v>
      </c>
      <c r="F32" s="1095"/>
      <c r="G32" s="1095"/>
      <c r="H32" s="1095"/>
      <c r="I32" s="1095"/>
      <c r="J32" s="1095"/>
      <c r="K32" s="1096"/>
    </row>
    <row r="33" spans="1:11" ht="15.75" thickBot="1" x14ac:dyDescent="0.3">
      <c r="A33" s="1035" t="s">
        <v>1002</v>
      </c>
      <c r="B33" s="1036"/>
      <c r="C33" s="1037"/>
      <c r="D33" s="1076" t="s">
        <v>1512</v>
      </c>
      <c r="E33" s="1077"/>
      <c r="F33" s="1077"/>
      <c r="G33" s="1077"/>
      <c r="H33" s="1077"/>
      <c r="I33" s="1077"/>
      <c r="J33" s="1077"/>
      <c r="K33" s="1078"/>
    </row>
    <row r="34" spans="1:11" ht="76.5" customHeight="1" thickBot="1" x14ac:dyDescent="0.3">
      <c r="A34" s="1035" t="s">
        <v>1003</v>
      </c>
      <c r="B34" s="1036"/>
      <c r="C34" s="1037"/>
      <c r="D34" s="1076" t="s">
        <v>1513</v>
      </c>
      <c r="E34" s="1077"/>
      <c r="F34" s="1077"/>
      <c r="G34" s="1077"/>
      <c r="H34" s="1077"/>
      <c r="I34" s="1077"/>
      <c r="J34" s="1077"/>
      <c r="K34" s="1078"/>
    </row>
    <row r="35" spans="1:11" ht="60" customHeight="1" thickBot="1" x14ac:dyDescent="0.3">
      <c r="A35" s="1035" t="s">
        <v>626</v>
      </c>
      <c r="B35" s="1036"/>
      <c r="C35" s="1037"/>
      <c r="D35" s="1079" t="s">
        <v>1514</v>
      </c>
      <c r="E35" s="1080"/>
      <c r="F35" s="1080"/>
      <c r="G35" s="1080"/>
      <c r="H35" s="1080"/>
      <c r="I35" s="1080"/>
      <c r="J35" s="1080"/>
      <c r="K35" s="1081"/>
    </row>
    <row r="36" spans="1:11" ht="15.75" thickBot="1" x14ac:dyDescent="0.3">
      <c r="A36" s="1020"/>
      <c r="B36" s="1021"/>
      <c r="C36" s="1021"/>
      <c r="D36" s="1021"/>
      <c r="E36" s="1021"/>
      <c r="F36" s="1021"/>
      <c r="G36" s="1021"/>
      <c r="H36" s="1021"/>
      <c r="I36" s="1021"/>
      <c r="J36" s="1021"/>
      <c r="K36" s="1022"/>
    </row>
    <row r="37" spans="1:11" ht="15.75" thickBot="1" x14ac:dyDescent="0.3">
      <c r="A37" s="1032" t="s">
        <v>1005</v>
      </c>
      <c r="B37" s="1033"/>
      <c r="C37" s="1033"/>
      <c r="D37" s="1033"/>
      <c r="E37" s="1033"/>
      <c r="F37" s="1033"/>
      <c r="G37" s="1033"/>
      <c r="H37" s="1033"/>
      <c r="I37" s="1033"/>
      <c r="J37" s="1033"/>
      <c r="K37" s="1034"/>
    </row>
    <row r="38" spans="1:11" ht="15.75" thickBot="1" x14ac:dyDescent="0.3">
      <c r="A38" s="1035" t="s">
        <v>1676</v>
      </c>
      <c r="B38" s="1036"/>
      <c r="C38" s="1036"/>
      <c r="D38" s="1036"/>
      <c r="E38" s="1036"/>
      <c r="F38" s="1036"/>
      <c r="G38" s="1036"/>
      <c r="H38" s="1036"/>
      <c r="I38" s="1036"/>
      <c r="J38" s="1036"/>
      <c r="K38" s="1037"/>
    </row>
    <row r="39" spans="1:11" ht="30.75" thickBot="1" x14ac:dyDescent="0.3">
      <c r="A39" s="1035" t="s">
        <v>1007</v>
      </c>
      <c r="B39" s="1036"/>
      <c r="C39" s="1037"/>
      <c r="D39" s="1070"/>
      <c r="E39" s="1071"/>
      <c r="F39" s="1071"/>
      <c r="G39" s="1071"/>
      <c r="H39" s="1071"/>
      <c r="I39" s="1072"/>
      <c r="J39" s="378" t="s">
        <v>1008</v>
      </c>
      <c r="K39" s="631" t="s">
        <v>1417</v>
      </c>
    </row>
    <row r="40" spans="1:11" x14ac:dyDescent="0.25">
      <c r="A40" s="1073"/>
      <c r="B40" s="1074"/>
      <c r="C40" s="1074"/>
      <c r="D40" s="1074"/>
      <c r="E40" s="1074"/>
      <c r="F40" s="1074"/>
      <c r="G40" s="1074"/>
      <c r="H40" s="1074"/>
      <c r="I40" s="1074"/>
      <c r="J40" s="1074"/>
      <c r="K40" s="1075"/>
    </row>
    <row r="41" spans="1:11" ht="29.25" customHeight="1" x14ac:dyDescent="0.25">
      <c r="A41" s="632">
        <v>1</v>
      </c>
      <c r="B41" s="624"/>
      <c r="C41" s="1044" t="s">
        <v>1441</v>
      </c>
      <c r="D41" s="1044"/>
      <c r="E41" s="1044"/>
      <c r="F41" s="1044"/>
      <c r="G41" s="1044"/>
      <c r="H41" s="1044"/>
      <c r="I41" s="1044"/>
      <c r="J41" s="1044"/>
      <c r="K41" s="1045"/>
    </row>
    <row r="42" spans="1:11" x14ac:dyDescent="0.25">
      <c r="A42" s="628">
        <v>2</v>
      </c>
      <c r="B42" s="624"/>
      <c r="C42" s="1044" t="s">
        <v>1432</v>
      </c>
      <c r="D42" s="1044"/>
      <c r="E42" s="1044"/>
      <c r="F42" s="1044"/>
      <c r="G42" s="1044"/>
      <c r="H42" s="1044"/>
      <c r="I42" s="1044"/>
      <c r="J42" s="1044"/>
      <c r="K42" s="1045"/>
    </row>
    <row r="43" spans="1:11" x14ac:dyDescent="0.25">
      <c r="A43" s="628">
        <v>3</v>
      </c>
      <c r="B43" s="624"/>
      <c r="C43" s="1044" t="s">
        <v>1438</v>
      </c>
      <c r="D43" s="1044"/>
      <c r="E43" s="1044"/>
      <c r="F43" s="1044"/>
      <c r="G43" s="1044"/>
      <c r="H43" s="1044"/>
      <c r="I43" s="1044"/>
      <c r="J43" s="1044"/>
      <c r="K43" s="1045"/>
    </row>
    <row r="44" spans="1:11" x14ac:dyDescent="0.25">
      <c r="A44" s="628">
        <v>4</v>
      </c>
      <c r="B44" s="624"/>
      <c r="C44" s="1044" t="s">
        <v>1433</v>
      </c>
      <c r="D44" s="1044"/>
      <c r="E44" s="1044"/>
      <c r="F44" s="1044"/>
      <c r="G44" s="1044"/>
      <c r="H44" s="1044"/>
      <c r="I44" s="1044"/>
      <c r="J44" s="1044"/>
      <c r="K44" s="1045"/>
    </row>
    <row r="45" spans="1:11" x14ac:dyDescent="0.25">
      <c r="A45" s="628">
        <v>5</v>
      </c>
      <c r="B45" s="150"/>
      <c r="C45" s="1044" t="s">
        <v>1439</v>
      </c>
      <c r="D45" s="1044"/>
      <c r="E45" s="1044"/>
      <c r="F45" s="1044"/>
      <c r="G45" s="1044"/>
      <c r="H45" s="1044"/>
      <c r="I45" s="1044"/>
      <c r="J45" s="1044"/>
      <c r="K45" s="1045"/>
    </row>
    <row r="46" spans="1:11" x14ac:dyDescent="0.25">
      <c r="A46" s="628">
        <v>6</v>
      </c>
      <c r="B46" s="624"/>
      <c r="C46" s="1044" t="s">
        <v>1442</v>
      </c>
      <c r="D46" s="1044"/>
      <c r="E46" s="1044"/>
      <c r="F46" s="1044"/>
      <c r="G46" s="1044"/>
      <c r="H46" s="1044"/>
      <c r="I46" s="1044"/>
      <c r="J46" s="1044"/>
      <c r="K46" s="1045"/>
    </row>
    <row r="47" spans="1:11" x14ac:dyDescent="0.25">
      <c r="A47" s="628">
        <v>7</v>
      </c>
      <c r="B47" s="624"/>
      <c r="C47" s="1044" t="s">
        <v>1443</v>
      </c>
      <c r="D47" s="1044"/>
      <c r="E47" s="1044"/>
      <c r="F47" s="1044"/>
      <c r="G47" s="1044"/>
      <c r="H47" s="1044"/>
      <c r="I47" s="1044"/>
      <c r="J47" s="1044"/>
      <c r="K47" s="1045"/>
    </row>
    <row r="48" spans="1:11" x14ac:dyDescent="0.25">
      <c r="A48" s="628">
        <v>8</v>
      </c>
      <c r="B48" s="624"/>
      <c r="C48" s="1044" t="s">
        <v>1440</v>
      </c>
      <c r="D48" s="1044"/>
      <c r="E48" s="1044"/>
      <c r="F48" s="1044"/>
      <c r="G48" s="1044"/>
      <c r="H48" s="1044"/>
      <c r="I48" s="1044"/>
      <c r="J48" s="1044"/>
      <c r="K48" s="1045"/>
    </row>
    <row r="49" spans="1:11" ht="43.5" customHeight="1" x14ac:dyDescent="0.25">
      <c r="A49" s="628" t="s">
        <v>1435</v>
      </c>
      <c r="B49" s="624" t="s">
        <v>1437</v>
      </c>
      <c r="C49" s="1044" t="s">
        <v>1515</v>
      </c>
      <c r="D49" s="1044"/>
      <c r="E49" s="1044"/>
      <c r="F49" s="1044"/>
      <c r="G49" s="1044"/>
      <c r="H49" s="1044"/>
      <c r="I49" s="1044"/>
      <c r="J49" s="1044"/>
      <c r="K49" s="1045"/>
    </row>
    <row r="50" spans="1:11" x14ac:dyDescent="0.25">
      <c r="A50" s="1067"/>
      <c r="B50" s="1068"/>
      <c r="C50" s="1068"/>
      <c r="D50" s="1068"/>
      <c r="E50" s="1068"/>
      <c r="F50" s="1068"/>
      <c r="G50" s="1068"/>
      <c r="H50" s="1068"/>
      <c r="I50" s="1068"/>
      <c r="J50" s="1068"/>
      <c r="K50" s="1069"/>
    </row>
    <row r="51" spans="1:11" ht="15.75" thickBot="1" x14ac:dyDescent="0.3">
      <c r="A51" s="1046"/>
      <c r="B51" s="1047"/>
      <c r="C51" s="1047"/>
      <c r="D51" s="1047"/>
      <c r="E51" s="1047"/>
      <c r="F51" s="1047"/>
      <c r="G51" s="1047"/>
      <c r="H51" s="1047"/>
      <c r="I51" s="1047"/>
      <c r="J51" s="1047"/>
      <c r="K51" s="1048"/>
    </row>
    <row r="52" spans="1:11" ht="30.75" thickBot="1" x14ac:dyDescent="0.3">
      <c r="A52" s="1054" t="s">
        <v>1009</v>
      </c>
      <c r="B52" s="1055"/>
      <c r="C52" s="1056"/>
      <c r="D52" s="1020"/>
      <c r="E52" s="1021"/>
      <c r="F52" s="1021"/>
      <c r="G52" s="1021"/>
      <c r="H52" s="1021"/>
      <c r="I52" s="1022"/>
      <c r="J52" s="378" t="s">
        <v>1008</v>
      </c>
      <c r="K52" s="631" t="s">
        <v>1415</v>
      </c>
    </row>
    <row r="53" spans="1:11" x14ac:dyDescent="0.25">
      <c r="A53" s="1064"/>
      <c r="B53" s="1065"/>
      <c r="C53" s="1065"/>
      <c r="D53" s="1065"/>
      <c r="E53" s="1065"/>
      <c r="F53" s="1065"/>
      <c r="G53" s="1065"/>
      <c r="H53" s="1065"/>
      <c r="I53" s="1065"/>
      <c r="J53" s="1065"/>
      <c r="K53" s="1066"/>
    </row>
    <row r="54" spans="1:11" x14ac:dyDescent="0.25">
      <c r="A54" s="620" t="s">
        <v>1</v>
      </c>
      <c r="B54" s="1059" t="s">
        <v>1519</v>
      </c>
      <c r="C54" s="1059"/>
      <c r="D54" s="1059"/>
      <c r="E54" s="1059"/>
      <c r="F54" s="1059"/>
      <c r="G54" s="1059"/>
      <c r="H54" s="1059"/>
      <c r="I54" s="1059"/>
      <c r="J54" s="1059"/>
      <c r="K54" s="1060"/>
    </row>
    <row r="55" spans="1:11" ht="42.75" customHeight="1" x14ac:dyDescent="0.25">
      <c r="A55" s="615"/>
      <c r="B55" s="624">
        <v>1</v>
      </c>
      <c r="C55" s="1044" t="s">
        <v>1516</v>
      </c>
      <c r="D55" s="1044"/>
      <c r="E55" s="1044"/>
      <c r="F55" s="1044"/>
      <c r="G55" s="1044"/>
      <c r="H55" s="1044"/>
      <c r="I55" s="1044"/>
      <c r="J55" s="1044"/>
      <c r="K55" s="1045"/>
    </row>
    <row r="56" spans="1:11" ht="33" customHeight="1" x14ac:dyDescent="0.25">
      <c r="A56" s="615"/>
      <c r="B56" s="624">
        <v>2</v>
      </c>
      <c r="C56" s="1044" t="s">
        <v>1517</v>
      </c>
      <c r="D56" s="1044"/>
      <c r="E56" s="1044"/>
      <c r="F56" s="1044"/>
      <c r="G56" s="1044"/>
      <c r="H56" s="1044"/>
      <c r="I56" s="1044"/>
      <c r="J56" s="1044"/>
      <c r="K56" s="1045"/>
    </row>
    <row r="57" spans="1:11" ht="31.5" customHeight="1" x14ac:dyDescent="0.25">
      <c r="A57" s="615"/>
      <c r="B57" s="150">
        <v>3</v>
      </c>
      <c r="C57" s="1044" t="s">
        <v>1518</v>
      </c>
      <c r="D57" s="1044"/>
      <c r="E57" s="1044"/>
      <c r="F57" s="1044"/>
      <c r="G57" s="1044"/>
      <c r="H57" s="1044"/>
      <c r="I57" s="1044"/>
      <c r="J57" s="1044"/>
      <c r="K57" s="1045"/>
    </row>
    <row r="58" spans="1:11" x14ac:dyDescent="0.25">
      <c r="A58" s="615"/>
      <c r="B58" s="150"/>
      <c r="C58" s="142" t="s">
        <v>1437</v>
      </c>
      <c r="D58" s="1044" t="s">
        <v>1456</v>
      </c>
      <c r="E58" s="1044"/>
      <c r="F58" s="1044"/>
      <c r="G58" s="1044"/>
      <c r="H58" s="1044"/>
      <c r="I58" s="1044"/>
      <c r="J58" s="1044"/>
      <c r="K58" s="1045"/>
    </row>
    <row r="59" spans="1:11" x14ac:dyDescent="0.25">
      <c r="A59" s="1063"/>
      <c r="B59" s="1059"/>
      <c r="C59" s="1059"/>
      <c r="D59" s="1059"/>
      <c r="E59" s="1059"/>
      <c r="F59" s="1059"/>
      <c r="G59" s="1059"/>
      <c r="H59" s="1059"/>
      <c r="I59" s="1059"/>
      <c r="J59" s="1059"/>
      <c r="K59" s="1060"/>
    </row>
    <row r="60" spans="1:11" x14ac:dyDescent="0.25">
      <c r="A60" s="620" t="s">
        <v>2</v>
      </c>
      <c r="B60" s="1059" t="s">
        <v>1520</v>
      </c>
      <c r="C60" s="1059"/>
      <c r="D60" s="1059"/>
      <c r="E60" s="1059"/>
      <c r="F60" s="1059"/>
      <c r="G60" s="1059"/>
      <c r="H60" s="1059"/>
      <c r="I60" s="1059"/>
      <c r="J60" s="1059"/>
      <c r="K60" s="1060"/>
    </row>
    <row r="61" spans="1:11" ht="32.25" customHeight="1" x14ac:dyDescent="0.25">
      <c r="A61" s="615"/>
      <c r="B61" s="624">
        <v>1</v>
      </c>
      <c r="C61" s="1052" t="s">
        <v>1521</v>
      </c>
      <c r="D61" s="1052"/>
      <c r="E61" s="1052"/>
      <c r="F61" s="1052"/>
      <c r="G61" s="1052"/>
      <c r="H61" s="1052"/>
      <c r="I61" s="1052"/>
      <c r="J61" s="1052"/>
      <c r="K61" s="1053"/>
    </row>
    <row r="62" spans="1:11" ht="32.25" customHeight="1" x14ac:dyDescent="0.25">
      <c r="A62" s="615"/>
      <c r="B62" s="150">
        <v>2</v>
      </c>
      <c r="C62" s="1052" t="s">
        <v>1522</v>
      </c>
      <c r="D62" s="1052"/>
      <c r="E62" s="1052"/>
      <c r="F62" s="1052"/>
      <c r="G62" s="1052"/>
      <c r="H62" s="1052"/>
      <c r="I62" s="1052"/>
      <c r="J62" s="1052"/>
      <c r="K62" s="1053"/>
    </row>
    <row r="63" spans="1:11" x14ac:dyDescent="0.25">
      <c r="A63" s="615"/>
      <c r="B63" s="1061"/>
      <c r="C63" s="1061"/>
      <c r="D63" s="1061"/>
      <c r="E63" s="1061"/>
      <c r="F63" s="1061"/>
      <c r="G63" s="1061"/>
      <c r="H63" s="1061"/>
      <c r="I63" s="1061"/>
      <c r="J63" s="1061"/>
      <c r="K63" s="1062"/>
    </row>
    <row r="64" spans="1:11" x14ac:dyDescent="0.25">
      <c r="A64" s="620" t="s">
        <v>3</v>
      </c>
      <c r="B64" s="1059" t="s">
        <v>1523</v>
      </c>
      <c r="C64" s="1059"/>
      <c r="D64" s="1059"/>
      <c r="E64" s="1059"/>
      <c r="F64" s="1059"/>
      <c r="G64" s="1059"/>
      <c r="H64" s="1059"/>
      <c r="I64" s="1059"/>
      <c r="J64" s="1059"/>
      <c r="K64" s="1060"/>
    </row>
    <row r="65" spans="1:11" x14ac:dyDescent="0.25">
      <c r="A65" s="615"/>
      <c r="B65" s="150">
        <v>1</v>
      </c>
      <c r="C65" s="1044" t="s">
        <v>1524</v>
      </c>
      <c r="D65" s="1044"/>
      <c r="E65" s="1044"/>
      <c r="F65" s="1044"/>
      <c r="G65" s="1044"/>
      <c r="H65" s="1044"/>
      <c r="I65" s="1044"/>
      <c r="J65" s="1044"/>
      <c r="K65" s="1045"/>
    </row>
    <row r="66" spans="1:11" ht="48" customHeight="1" x14ac:dyDescent="0.25">
      <c r="A66" s="615"/>
      <c r="B66" s="624">
        <v>2</v>
      </c>
      <c r="C66" s="1044" t="s">
        <v>1525</v>
      </c>
      <c r="D66" s="1044"/>
      <c r="E66" s="1044"/>
      <c r="F66" s="1044"/>
      <c r="G66" s="1044"/>
      <c r="H66" s="1044"/>
      <c r="I66" s="1044"/>
      <c r="J66" s="1044"/>
      <c r="K66" s="1045"/>
    </row>
    <row r="67" spans="1:11" x14ac:dyDescent="0.25">
      <c r="A67" s="615"/>
      <c r="B67" s="624">
        <v>3</v>
      </c>
      <c r="C67" s="1044" t="s">
        <v>1526</v>
      </c>
      <c r="D67" s="1044"/>
      <c r="E67" s="1044"/>
      <c r="F67" s="1044"/>
      <c r="G67" s="1044"/>
      <c r="H67" s="1044"/>
      <c r="I67" s="1044"/>
      <c r="J67" s="1044"/>
      <c r="K67" s="1045"/>
    </row>
    <row r="68" spans="1:11" x14ac:dyDescent="0.25">
      <c r="A68" s="615"/>
      <c r="B68" s="150"/>
      <c r="C68" s="150" t="s">
        <v>1437</v>
      </c>
      <c r="D68" s="1129" t="s">
        <v>1528</v>
      </c>
      <c r="E68" s="1129"/>
      <c r="F68" s="1129"/>
      <c r="G68" s="1129"/>
      <c r="H68" s="1129"/>
      <c r="I68" s="1129"/>
      <c r="J68" s="1129"/>
      <c r="K68" s="1130"/>
    </row>
    <row r="69" spans="1:11" ht="31.5" customHeight="1" x14ac:dyDescent="0.25">
      <c r="A69" s="615"/>
      <c r="B69" s="616"/>
      <c r="C69" s="150" t="s">
        <v>1466</v>
      </c>
      <c r="D69" s="1127" t="s">
        <v>1529</v>
      </c>
      <c r="E69" s="1127"/>
      <c r="F69" s="1127"/>
      <c r="G69" s="1127"/>
      <c r="H69" s="1127"/>
      <c r="I69" s="1127"/>
      <c r="J69" s="1127"/>
      <c r="K69" s="1128"/>
    </row>
    <row r="70" spans="1:11" ht="30.75" customHeight="1" x14ac:dyDescent="0.25">
      <c r="A70" s="620"/>
      <c r="B70" s="624">
        <v>4</v>
      </c>
      <c r="C70" s="1127" t="s">
        <v>1530</v>
      </c>
      <c r="D70" s="1127"/>
      <c r="E70" s="1127"/>
      <c r="F70" s="1127"/>
      <c r="G70" s="1127"/>
      <c r="H70" s="1127"/>
      <c r="I70" s="1127"/>
      <c r="J70" s="1127"/>
      <c r="K70" s="1128"/>
    </row>
    <row r="71" spans="1:11" x14ac:dyDescent="0.25">
      <c r="A71" s="615"/>
      <c r="B71" s="150"/>
      <c r="C71" s="622"/>
      <c r="D71" s="622"/>
      <c r="E71" s="622"/>
      <c r="F71" s="622"/>
      <c r="G71" s="622"/>
      <c r="H71" s="622"/>
      <c r="I71" s="622"/>
      <c r="J71" s="622"/>
      <c r="K71" s="623"/>
    </row>
    <row r="72" spans="1:11" x14ac:dyDescent="0.25">
      <c r="A72" s="620" t="s">
        <v>67</v>
      </c>
      <c r="B72" s="1059" t="s">
        <v>1527</v>
      </c>
      <c r="C72" s="1059"/>
      <c r="D72" s="1059"/>
      <c r="E72" s="1059"/>
      <c r="F72" s="1059"/>
      <c r="G72" s="1059"/>
      <c r="H72" s="1059"/>
      <c r="I72" s="1059"/>
      <c r="J72" s="1059"/>
      <c r="K72" s="1060"/>
    </row>
    <row r="73" spans="1:11" ht="30.75" customHeight="1" x14ac:dyDescent="0.25">
      <c r="A73" s="615"/>
      <c r="B73" s="624">
        <v>1</v>
      </c>
      <c r="C73" s="1044" t="s">
        <v>1531</v>
      </c>
      <c r="D73" s="1044"/>
      <c r="E73" s="1044"/>
      <c r="F73" s="1044"/>
      <c r="G73" s="1044"/>
      <c r="H73" s="1044"/>
      <c r="I73" s="1044"/>
      <c r="J73" s="1044"/>
      <c r="K73" s="1045"/>
    </row>
    <row r="74" spans="1:11" ht="48.75" customHeight="1" x14ac:dyDescent="0.25">
      <c r="A74" s="615"/>
      <c r="B74" s="624">
        <v>2</v>
      </c>
      <c r="C74" s="1095" t="s">
        <v>1532</v>
      </c>
      <c r="D74" s="1095"/>
      <c r="E74" s="1095"/>
      <c r="F74" s="1095"/>
      <c r="G74" s="1095"/>
      <c r="H74" s="1095"/>
      <c r="I74" s="1095"/>
      <c r="J74" s="1095"/>
      <c r="K74" s="1096"/>
    </row>
    <row r="75" spans="1:11" x14ac:dyDescent="0.25">
      <c r="A75" s="615"/>
      <c r="B75" s="150">
        <v>3</v>
      </c>
      <c r="C75" s="1044" t="s">
        <v>1533</v>
      </c>
      <c r="D75" s="1044"/>
      <c r="E75" s="1044"/>
      <c r="F75" s="1044"/>
      <c r="G75" s="1044"/>
      <c r="H75" s="1044"/>
      <c r="I75" s="1044"/>
      <c r="J75" s="1044"/>
      <c r="K75" s="1045"/>
    </row>
    <row r="76" spans="1:11" ht="15.75" thickBot="1" x14ac:dyDescent="0.3">
      <c r="A76" s="607"/>
      <c r="B76" s="608"/>
      <c r="C76" s="608"/>
      <c r="D76" s="608"/>
      <c r="E76" s="608"/>
      <c r="F76" s="608"/>
      <c r="G76" s="608"/>
      <c r="H76" s="608"/>
      <c r="I76" s="608"/>
      <c r="J76" s="608"/>
      <c r="K76" s="377"/>
    </row>
    <row r="77" spans="1:11" ht="30.75" thickBot="1" x14ac:dyDescent="0.3">
      <c r="A77" s="1054" t="s">
        <v>1010</v>
      </c>
      <c r="B77" s="1055"/>
      <c r="C77" s="1056"/>
      <c r="D77" s="1020"/>
      <c r="E77" s="1021"/>
      <c r="F77" s="1021"/>
      <c r="G77" s="1021"/>
      <c r="H77" s="1021"/>
      <c r="I77" s="1022"/>
      <c r="J77" s="378" t="s">
        <v>1008</v>
      </c>
      <c r="K77" s="631" t="s">
        <v>1416</v>
      </c>
    </row>
    <row r="78" spans="1:11" ht="32.25" customHeight="1" x14ac:dyDescent="0.25">
      <c r="A78" s="633">
        <v>1</v>
      </c>
      <c r="B78" s="616"/>
      <c r="C78" s="1057" t="s">
        <v>1534</v>
      </c>
      <c r="D78" s="1057"/>
      <c r="E78" s="1057"/>
      <c r="F78" s="1057"/>
      <c r="G78" s="1057"/>
      <c r="H78" s="1057"/>
      <c r="I78" s="1057"/>
      <c r="J78" s="1057"/>
      <c r="K78" s="1058"/>
    </row>
    <row r="79" spans="1:11" ht="30.75" customHeight="1" x14ac:dyDescent="0.25">
      <c r="A79" s="633">
        <v>3</v>
      </c>
      <c r="B79" s="616"/>
      <c r="C79" s="1044" t="s">
        <v>1490</v>
      </c>
      <c r="D79" s="1044"/>
      <c r="E79" s="1044"/>
      <c r="F79" s="1044"/>
      <c r="G79" s="1044"/>
      <c r="H79" s="1044"/>
      <c r="I79" s="1044"/>
      <c r="J79" s="1044"/>
      <c r="K79" s="1045"/>
    </row>
    <row r="80" spans="1:11" ht="32.25" customHeight="1" x14ac:dyDescent="0.25">
      <c r="A80" s="633">
        <v>4</v>
      </c>
      <c r="B80" s="616"/>
      <c r="C80" s="1044" t="s">
        <v>1491</v>
      </c>
      <c r="D80" s="1044"/>
      <c r="E80" s="1044"/>
      <c r="F80" s="1044"/>
      <c r="G80" s="1044"/>
      <c r="H80" s="1044"/>
      <c r="I80" s="1044"/>
      <c r="J80" s="1044"/>
      <c r="K80" s="1045"/>
    </row>
    <row r="81" spans="1:11" x14ac:dyDescent="0.25">
      <c r="A81" s="615">
        <v>5</v>
      </c>
      <c r="B81" s="616"/>
      <c r="C81" s="1044" t="s">
        <v>1492</v>
      </c>
      <c r="D81" s="1044"/>
      <c r="E81" s="1044"/>
      <c r="F81" s="1044"/>
      <c r="G81" s="1044"/>
      <c r="H81" s="1044"/>
      <c r="I81" s="1044"/>
      <c r="J81" s="1044"/>
      <c r="K81" s="1045"/>
    </row>
    <row r="82" spans="1:11" x14ac:dyDescent="0.25">
      <c r="A82" s="615">
        <v>6</v>
      </c>
      <c r="B82" s="616"/>
      <c r="C82" s="1044" t="s">
        <v>1493</v>
      </c>
      <c r="D82" s="1044"/>
      <c r="E82" s="1044"/>
      <c r="F82" s="1044"/>
      <c r="G82" s="1044"/>
      <c r="H82" s="1044"/>
      <c r="I82" s="1044"/>
      <c r="J82" s="1044"/>
      <c r="K82" s="1045"/>
    </row>
    <row r="83" spans="1:11" x14ac:dyDescent="0.25">
      <c r="A83" s="615">
        <v>7</v>
      </c>
      <c r="B83" s="616"/>
      <c r="C83" s="1044" t="s">
        <v>1494</v>
      </c>
      <c r="D83" s="1044"/>
      <c r="E83" s="1044"/>
      <c r="F83" s="1044"/>
      <c r="G83" s="1044"/>
      <c r="H83" s="1044"/>
      <c r="I83" s="1044"/>
      <c r="J83" s="1044"/>
      <c r="K83" s="1045"/>
    </row>
    <row r="84" spans="1:11" ht="28.5" customHeight="1" x14ac:dyDescent="0.25">
      <c r="A84" s="633">
        <v>8</v>
      </c>
      <c r="B84" s="616"/>
      <c r="C84" s="1044" t="s">
        <v>1488</v>
      </c>
      <c r="D84" s="1044"/>
      <c r="E84" s="1044"/>
      <c r="F84" s="1044"/>
      <c r="G84" s="1044"/>
      <c r="H84" s="1044"/>
      <c r="I84" s="1044"/>
      <c r="J84" s="1044"/>
      <c r="K84" s="1045"/>
    </row>
    <row r="85" spans="1:11" ht="15.75" thickBot="1" x14ac:dyDescent="0.3">
      <c r="A85" s="1046"/>
      <c r="B85" s="1047"/>
      <c r="C85" s="1047"/>
      <c r="D85" s="1047"/>
      <c r="E85" s="1047"/>
      <c r="F85" s="1047"/>
      <c r="G85" s="1047"/>
      <c r="H85" s="1047"/>
      <c r="I85" s="1047"/>
      <c r="J85" s="1047"/>
      <c r="K85" s="1048"/>
    </row>
    <row r="86" spans="1:11" ht="15.75" thickBot="1" x14ac:dyDescent="0.3">
      <c r="A86" s="1032" t="s">
        <v>1011</v>
      </c>
      <c r="B86" s="1033"/>
      <c r="C86" s="1033"/>
      <c r="D86" s="1033"/>
      <c r="E86" s="1033"/>
      <c r="F86" s="1033"/>
      <c r="G86" s="1033"/>
      <c r="H86" s="1033"/>
      <c r="I86" s="1033"/>
      <c r="J86" s="1033"/>
      <c r="K86" s="1034"/>
    </row>
    <row r="87" spans="1:11" ht="15.75" thickBot="1" x14ac:dyDescent="0.3">
      <c r="A87" s="629" t="s">
        <v>4</v>
      </c>
      <c r="B87" s="1041" t="s">
        <v>1012</v>
      </c>
      <c r="C87" s="1043"/>
      <c r="D87" s="1041" t="s">
        <v>1013</v>
      </c>
      <c r="E87" s="1043"/>
      <c r="F87" s="1041" t="s">
        <v>1014</v>
      </c>
      <c r="G87" s="1043"/>
      <c r="H87" s="1041" t="s">
        <v>1015</v>
      </c>
      <c r="I87" s="1042"/>
      <c r="J87" s="1042"/>
      <c r="K87" s="1043"/>
    </row>
    <row r="88" spans="1:11" ht="15.75" thickBot="1" x14ac:dyDescent="0.3">
      <c r="A88" s="630">
        <v>1</v>
      </c>
      <c r="B88" s="1020" t="s">
        <v>1016</v>
      </c>
      <c r="C88" s="1022"/>
      <c r="D88" s="1020" t="s">
        <v>1017</v>
      </c>
      <c r="E88" s="1022"/>
      <c r="F88" s="1020" t="s">
        <v>1018</v>
      </c>
      <c r="G88" s="1022"/>
      <c r="H88" s="1020" t="s">
        <v>1019</v>
      </c>
      <c r="I88" s="1021"/>
      <c r="J88" s="1021"/>
      <c r="K88" s="1022"/>
    </row>
    <row r="89" spans="1:11" ht="15.75" thickBot="1" x14ac:dyDescent="0.3">
      <c r="A89" s="630">
        <v>2</v>
      </c>
      <c r="B89" s="1020" t="s">
        <v>1020</v>
      </c>
      <c r="C89" s="1022"/>
      <c r="D89" s="1020" t="s">
        <v>1535</v>
      </c>
      <c r="E89" s="1022"/>
      <c r="F89" s="1020" t="s">
        <v>1021</v>
      </c>
      <c r="G89" s="1022"/>
      <c r="H89" s="1020" t="s">
        <v>1022</v>
      </c>
      <c r="I89" s="1021"/>
      <c r="J89" s="1021"/>
      <c r="K89" s="1022"/>
    </row>
    <row r="90" spans="1:11" ht="15.75" thickBot="1" x14ac:dyDescent="0.3">
      <c r="A90" s="630">
        <v>3</v>
      </c>
      <c r="B90" s="1020" t="s">
        <v>1023</v>
      </c>
      <c r="C90" s="1022"/>
      <c r="D90" s="1020" t="s">
        <v>1426</v>
      </c>
      <c r="E90" s="1022"/>
      <c r="F90" s="1020" t="s">
        <v>1024</v>
      </c>
      <c r="G90" s="1022"/>
      <c r="H90" s="1020" t="s">
        <v>1025</v>
      </c>
      <c r="I90" s="1021"/>
      <c r="J90" s="1021"/>
      <c r="K90" s="1022"/>
    </row>
    <row r="91" spans="1:11" ht="15.75" thickBot="1" x14ac:dyDescent="0.3">
      <c r="A91" s="1032" t="s">
        <v>1026</v>
      </c>
      <c r="B91" s="1033"/>
      <c r="C91" s="1033"/>
      <c r="D91" s="1033"/>
      <c r="E91" s="1033"/>
      <c r="F91" s="1033"/>
      <c r="G91" s="1033"/>
      <c r="H91" s="1033"/>
      <c r="I91" s="1033"/>
      <c r="J91" s="1033"/>
      <c r="K91" s="1034"/>
    </row>
    <row r="92" spans="1:11" ht="31.5" customHeight="1" thickBot="1" x14ac:dyDescent="0.3">
      <c r="A92" s="1035" t="s">
        <v>1027</v>
      </c>
      <c r="B92" s="1036"/>
      <c r="C92" s="1037"/>
      <c r="D92" s="1110" t="s">
        <v>1536</v>
      </c>
      <c r="E92" s="1111"/>
      <c r="F92" s="1111"/>
      <c r="G92" s="1111"/>
      <c r="H92" s="1111"/>
      <c r="I92" s="1111"/>
      <c r="J92" s="1111"/>
      <c r="K92" s="1112"/>
    </row>
    <row r="93" spans="1:11" ht="58.5" customHeight="1" thickBot="1" x14ac:dyDescent="0.3">
      <c r="A93" s="1035" t="s">
        <v>1028</v>
      </c>
      <c r="B93" s="1036"/>
      <c r="C93" s="1037"/>
      <c r="D93" s="1110" t="s">
        <v>1537</v>
      </c>
      <c r="E93" s="1111"/>
      <c r="F93" s="1111"/>
      <c r="G93" s="1111"/>
      <c r="H93" s="1111"/>
      <c r="I93" s="1111"/>
      <c r="J93" s="1111"/>
      <c r="K93" s="1112"/>
    </row>
    <row r="94" spans="1:11" ht="15.75" thickBot="1" x14ac:dyDescent="0.3">
      <c r="A94" s="1032" t="s">
        <v>1029</v>
      </c>
      <c r="B94" s="1033"/>
      <c r="C94" s="1033"/>
      <c r="D94" s="1033"/>
      <c r="E94" s="1033"/>
      <c r="F94" s="1033"/>
      <c r="G94" s="1033"/>
      <c r="H94" s="1033"/>
      <c r="I94" s="1033"/>
      <c r="J94" s="1033"/>
      <c r="K94" s="1034"/>
    </row>
    <row r="95" spans="1:11" ht="15.75" thickBot="1" x14ac:dyDescent="0.3">
      <c r="A95" s="629" t="s">
        <v>4</v>
      </c>
      <c r="B95" s="1041" t="s">
        <v>1012</v>
      </c>
      <c r="C95" s="1042"/>
      <c r="D95" s="1043"/>
      <c r="E95" s="1041" t="s">
        <v>1030</v>
      </c>
      <c r="F95" s="1042"/>
      <c r="G95" s="1042"/>
      <c r="H95" s="1042"/>
      <c r="I95" s="1042"/>
      <c r="J95" s="1042"/>
      <c r="K95" s="1043"/>
    </row>
    <row r="96" spans="1:11" ht="30.75" customHeight="1" thickBot="1" x14ac:dyDescent="0.3">
      <c r="A96" s="630">
        <v>1</v>
      </c>
      <c r="B96" s="1020" t="s">
        <v>1031</v>
      </c>
      <c r="C96" s="1021"/>
      <c r="D96" s="1022"/>
      <c r="E96" s="1020" t="s">
        <v>1538</v>
      </c>
      <c r="F96" s="1021"/>
      <c r="G96" s="1021"/>
      <c r="H96" s="1021"/>
      <c r="I96" s="1021"/>
      <c r="J96" s="1021"/>
      <c r="K96" s="1022"/>
    </row>
    <row r="97" spans="1:11" ht="29.25" customHeight="1" thickBot="1" x14ac:dyDescent="0.3">
      <c r="A97" s="630">
        <v>2</v>
      </c>
      <c r="B97" s="1020" t="s">
        <v>1033</v>
      </c>
      <c r="C97" s="1021"/>
      <c r="D97" s="1022"/>
      <c r="E97" s="1023" t="s">
        <v>1539</v>
      </c>
      <c r="F97" s="1024"/>
      <c r="G97" s="1024"/>
      <c r="H97" s="1024"/>
      <c r="I97" s="1024"/>
      <c r="J97" s="1024"/>
      <c r="K97" s="1025"/>
    </row>
    <row r="98" spans="1:11" ht="48" customHeight="1" thickBot="1" x14ac:dyDescent="0.3">
      <c r="A98" s="630">
        <v>3</v>
      </c>
      <c r="B98" s="1020" t="s">
        <v>1035</v>
      </c>
      <c r="C98" s="1021"/>
      <c r="D98" s="1022"/>
      <c r="E98" s="1023" t="s">
        <v>1540</v>
      </c>
      <c r="F98" s="1024"/>
      <c r="G98" s="1024"/>
      <c r="H98" s="1024"/>
      <c r="I98" s="1024"/>
      <c r="J98" s="1024"/>
      <c r="K98" s="1025"/>
    </row>
    <row r="99" spans="1:11" ht="15.75" thickBot="1" x14ac:dyDescent="0.3">
      <c r="A99" s="1026"/>
      <c r="B99" s="1027"/>
      <c r="C99" s="1027"/>
      <c r="D99" s="1027"/>
      <c r="E99" s="1027"/>
      <c r="F99" s="1027"/>
      <c r="G99" s="1027"/>
      <c r="H99" s="1027"/>
      <c r="I99" s="1027"/>
      <c r="J99" s="1027"/>
      <c r="K99" s="1028"/>
    </row>
    <row r="100" spans="1:11" x14ac:dyDescent="0.25">
      <c r="A100" s="691"/>
      <c r="B100" s="692"/>
      <c r="C100" s="692"/>
      <c r="D100" s="692"/>
      <c r="E100" s="692"/>
      <c r="F100" s="692"/>
      <c r="G100" s="692"/>
      <c r="H100" s="692"/>
      <c r="I100" s="692"/>
      <c r="J100" s="692"/>
      <c r="K100" s="693"/>
    </row>
    <row r="101" spans="1:11" ht="15" customHeight="1" x14ac:dyDescent="0.25">
      <c r="A101" s="615"/>
      <c r="D101" s="25"/>
      <c r="F101" s="616"/>
      <c r="G101" s="616"/>
      <c r="H101" s="27" t="s">
        <v>1145</v>
      </c>
      <c r="J101" s="616"/>
      <c r="K101" s="617"/>
    </row>
    <row r="102" spans="1:11" ht="15" customHeight="1" x14ac:dyDescent="0.25">
      <c r="A102" s="615"/>
      <c r="B102" s="28" t="s">
        <v>33</v>
      </c>
      <c r="D102" s="25"/>
      <c r="F102" s="616"/>
      <c r="G102" s="616"/>
      <c r="J102" s="616"/>
      <c r="K102" s="617"/>
    </row>
    <row r="103" spans="1:11" ht="15" customHeight="1" x14ac:dyDescent="0.25">
      <c r="A103" s="615"/>
      <c r="B103" s="28" t="s">
        <v>1623</v>
      </c>
      <c r="D103" s="25"/>
      <c r="F103" s="616"/>
      <c r="G103" s="616"/>
      <c r="H103" s="28" t="s">
        <v>41</v>
      </c>
      <c r="J103" s="616"/>
      <c r="K103" s="617"/>
    </row>
    <row r="104" spans="1:11" ht="15" customHeight="1" x14ac:dyDescent="0.25">
      <c r="A104" s="615"/>
      <c r="B104" s="28"/>
      <c r="D104" s="25"/>
      <c r="F104" s="616"/>
      <c r="G104" s="616"/>
      <c r="H104" s="28"/>
      <c r="J104" s="616"/>
      <c r="K104" s="617"/>
    </row>
    <row r="105" spans="1:11" ht="15.75" x14ac:dyDescent="0.25">
      <c r="A105" s="615"/>
      <c r="B105" s="28"/>
      <c r="D105" s="25"/>
      <c r="F105" s="616"/>
      <c r="G105" s="616"/>
      <c r="H105" s="28"/>
      <c r="J105" s="616"/>
      <c r="K105" s="617"/>
    </row>
    <row r="106" spans="1:11" ht="15.75" x14ac:dyDescent="0.25">
      <c r="A106" s="615"/>
      <c r="B106" s="28"/>
      <c r="D106" s="25"/>
      <c r="F106" s="616"/>
      <c r="G106" s="616"/>
      <c r="H106" s="28"/>
      <c r="J106" s="616"/>
      <c r="K106" s="617"/>
    </row>
    <row r="107" spans="1:11" ht="15.75" x14ac:dyDescent="0.25">
      <c r="A107" s="615"/>
      <c r="B107" s="34" t="s">
        <v>1622</v>
      </c>
      <c r="D107" s="25"/>
      <c r="F107" s="616"/>
      <c r="G107" s="616"/>
      <c r="H107" s="34" t="s">
        <v>1154</v>
      </c>
      <c r="J107" s="616"/>
      <c r="K107" s="617"/>
    </row>
    <row r="108" spans="1:11" ht="15" customHeight="1" x14ac:dyDescent="0.25">
      <c r="A108" s="615"/>
      <c r="B108" s="28" t="s">
        <v>1683</v>
      </c>
      <c r="D108" s="25"/>
      <c r="F108" s="616"/>
      <c r="G108" s="616"/>
      <c r="H108" s="28" t="s">
        <v>1155</v>
      </c>
      <c r="J108" s="616"/>
      <c r="K108" s="617"/>
    </row>
    <row r="109" spans="1:11" ht="15" customHeight="1" x14ac:dyDescent="0.25">
      <c r="A109" s="615"/>
      <c r="B109" s="28"/>
      <c r="D109" s="25"/>
      <c r="F109" s="616"/>
      <c r="G109" s="616"/>
      <c r="H109" s="27"/>
      <c r="J109" s="616"/>
      <c r="K109" s="617"/>
    </row>
    <row r="110" spans="1:11" ht="15.75" x14ac:dyDescent="0.25">
      <c r="A110" s="615"/>
      <c r="D110" s="25"/>
      <c r="F110" s="616"/>
      <c r="G110" s="616"/>
      <c r="J110" s="616"/>
      <c r="K110" s="617"/>
    </row>
    <row r="111" spans="1:11" ht="15.75" x14ac:dyDescent="0.25">
      <c r="A111" s="615"/>
      <c r="B111" s="28" t="s">
        <v>1624</v>
      </c>
      <c r="D111" s="25"/>
      <c r="F111" s="616"/>
      <c r="G111" s="616"/>
      <c r="H111" s="28" t="s">
        <v>1625</v>
      </c>
      <c r="J111" s="616"/>
      <c r="K111" s="617"/>
    </row>
    <row r="112" spans="1:11" ht="15.75" x14ac:dyDescent="0.25">
      <c r="A112" s="615"/>
      <c r="B112" s="28"/>
      <c r="D112" s="25"/>
      <c r="F112" s="616"/>
      <c r="G112" s="616"/>
      <c r="H112" s="28"/>
      <c r="J112" s="616"/>
      <c r="K112" s="617"/>
    </row>
    <row r="113" spans="1:11" ht="15.75" x14ac:dyDescent="0.25">
      <c r="A113" s="615"/>
      <c r="B113" s="28"/>
      <c r="D113" s="25"/>
      <c r="F113" s="616"/>
      <c r="G113" s="616"/>
      <c r="H113" s="28"/>
      <c r="J113" s="616"/>
      <c r="K113" s="617"/>
    </row>
    <row r="114" spans="1:11" ht="15.75" x14ac:dyDescent="0.25">
      <c r="A114" s="615"/>
      <c r="B114" s="28"/>
      <c r="D114" s="25"/>
      <c r="F114" s="616"/>
      <c r="G114" s="616"/>
      <c r="H114" s="28"/>
      <c r="J114" s="616"/>
      <c r="K114" s="617"/>
    </row>
    <row r="115" spans="1:11" ht="15.75" x14ac:dyDescent="0.25">
      <c r="A115" s="615"/>
      <c r="B115" s="34" t="s">
        <v>1156</v>
      </c>
      <c r="D115" s="25"/>
      <c r="F115" s="616"/>
      <c r="G115" s="616"/>
      <c r="H115" s="34" t="s">
        <v>1044</v>
      </c>
      <c r="J115" s="616"/>
      <c r="K115" s="617"/>
    </row>
    <row r="116" spans="1:11" ht="15.75" x14ac:dyDescent="0.25">
      <c r="A116" s="615"/>
      <c r="B116" s="34" t="s">
        <v>1620</v>
      </c>
      <c r="D116" s="25"/>
      <c r="F116" s="616"/>
      <c r="G116" s="616"/>
      <c r="H116" s="28" t="s">
        <v>1621</v>
      </c>
      <c r="J116" s="616"/>
      <c r="K116" s="617"/>
    </row>
    <row r="117" spans="1:11" ht="15.75" thickBot="1" x14ac:dyDescent="0.3">
      <c r="A117" s="607"/>
      <c r="B117" s="608"/>
      <c r="C117" s="608"/>
      <c r="D117" s="608"/>
      <c r="E117" s="608"/>
      <c r="F117" s="608"/>
      <c r="G117" s="608"/>
      <c r="H117" s="608"/>
      <c r="I117" s="608"/>
      <c r="J117" s="608"/>
      <c r="K117" s="377"/>
    </row>
  </sheetData>
  <mergeCells count="143">
    <mergeCell ref="B97:D97"/>
    <mergeCell ref="E97:K97"/>
    <mergeCell ref="B98:D98"/>
    <mergeCell ref="E98:K98"/>
    <mergeCell ref="A99:K99"/>
    <mergeCell ref="A93:C93"/>
    <mergeCell ref="D93:K93"/>
    <mergeCell ref="A94:K94"/>
    <mergeCell ref="B95:D95"/>
    <mergeCell ref="E95:K95"/>
    <mergeCell ref="B96:D96"/>
    <mergeCell ref="E96:K96"/>
    <mergeCell ref="B90:C90"/>
    <mergeCell ref="D90:E90"/>
    <mergeCell ref="F90:G90"/>
    <mergeCell ref="H90:K90"/>
    <mergeCell ref="A91:K91"/>
    <mergeCell ref="A92:C92"/>
    <mergeCell ref="D92:K92"/>
    <mergeCell ref="B88:C88"/>
    <mergeCell ref="D88:E88"/>
    <mergeCell ref="F88:G88"/>
    <mergeCell ref="H88:K88"/>
    <mergeCell ref="B89:C89"/>
    <mergeCell ref="D89:E89"/>
    <mergeCell ref="F89:G89"/>
    <mergeCell ref="H89:K89"/>
    <mergeCell ref="C84:K84"/>
    <mergeCell ref="A85:K85"/>
    <mergeCell ref="A86:K86"/>
    <mergeCell ref="B87:C87"/>
    <mergeCell ref="D87:E87"/>
    <mergeCell ref="F87:G87"/>
    <mergeCell ref="H87:K87"/>
    <mergeCell ref="C78:K78"/>
    <mergeCell ref="C79:K79"/>
    <mergeCell ref="C80:K80"/>
    <mergeCell ref="C81:K81"/>
    <mergeCell ref="C82:K82"/>
    <mergeCell ref="C83:K83"/>
    <mergeCell ref="B72:K72"/>
    <mergeCell ref="C73:K73"/>
    <mergeCell ref="C74:K74"/>
    <mergeCell ref="C75:K75"/>
    <mergeCell ref="A77:C77"/>
    <mergeCell ref="D77:I77"/>
    <mergeCell ref="C65:K65"/>
    <mergeCell ref="C66:K66"/>
    <mergeCell ref="C67:K67"/>
    <mergeCell ref="D68:K68"/>
    <mergeCell ref="D69:K69"/>
    <mergeCell ref="C70:K70"/>
    <mergeCell ref="A59:K59"/>
    <mergeCell ref="B60:K60"/>
    <mergeCell ref="C61:K61"/>
    <mergeCell ref="C62:K62"/>
    <mergeCell ref="B63:K63"/>
    <mergeCell ref="B64:K64"/>
    <mergeCell ref="A53:K53"/>
    <mergeCell ref="B54:K54"/>
    <mergeCell ref="C55:K55"/>
    <mergeCell ref="C56:K56"/>
    <mergeCell ref="C57:K57"/>
    <mergeCell ref="D58:K58"/>
    <mergeCell ref="C47:K47"/>
    <mergeCell ref="C48:K48"/>
    <mergeCell ref="C49:K49"/>
    <mergeCell ref="A50:K50"/>
    <mergeCell ref="A51:K51"/>
    <mergeCell ref="A52:C52"/>
    <mergeCell ref="D52:I52"/>
    <mergeCell ref="C41:K41"/>
    <mergeCell ref="C42:K42"/>
    <mergeCell ref="C43:K43"/>
    <mergeCell ref="C44:K44"/>
    <mergeCell ref="C45:K45"/>
    <mergeCell ref="C46:K46"/>
    <mergeCell ref="A36:K36"/>
    <mergeCell ref="A37:K37"/>
    <mergeCell ref="A38:K38"/>
    <mergeCell ref="A39:C39"/>
    <mergeCell ref="D39:I39"/>
    <mergeCell ref="A40:K40"/>
    <mergeCell ref="A33:C33"/>
    <mergeCell ref="D33:K33"/>
    <mergeCell ref="A34:C34"/>
    <mergeCell ref="D34:K34"/>
    <mergeCell ref="A35:C35"/>
    <mergeCell ref="D35:K35"/>
    <mergeCell ref="A27:K27"/>
    <mergeCell ref="A28:K28"/>
    <mergeCell ref="D29:K29"/>
    <mergeCell ref="E30:K30"/>
    <mergeCell ref="E31:K31"/>
    <mergeCell ref="E32:K32"/>
    <mergeCell ref="A24:C24"/>
    <mergeCell ref="D24:K24"/>
    <mergeCell ref="A25:C25"/>
    <mergeCell ref="D25:K25"/>
    <mergeCell ref="A26:C26"/>
    <mergeCell ref="D26:K26"/>
    <mergeCell ref="A29:C32"/>
    <mergeCell ref="A15:C23"/>
    <mergeCell ref="D15:K15"/>
    <mergeCell ref="E16:K16"/>
    <mergeCell ref="E17:K17"/>
    <mergeCell ref="E18:K18"/>
    <mergeCell ref="E19:K19"/>
    <mergeCell ref="E20:K20"/>
    <mergeCell ref="E21:K21"/>
    <mergeCell ref="D22:K22"/>
    <mergeCell ref="E23:K23"/>
    <mergeCell ref="A10:C10"/>
    <mergeCell ref="D10:K10"/>
    <mergeCell ref="A11:C14"/>
    <mergeCell ref="D11:K11"/>
    <mergeCell ref="D12:K12"/>
    <mergeCell ref="D13:K13"/>
    <mergeCell ref="D14:K14"/>
    <mergeCell ref="A6:B6"/>
    <mergeCell ref="C6:F6"/>
    <mergeCell ref="G6:H6"/>
    <mergeCell ref="I6:K6"/>
    <mergeCell ref="A7:K7"/>
    <mergeCell ref="D8:K9"/>
    <mergeCell ref="A8:C9"/>
    <mergeCell ref="A4:B4"/>
    <mergeCell ref="C4:F4"/>
    <mergeCell ref="G4:H4"/>
    <mergeCell ref="I4:K4"/>
    <mergeCell ref="A5:B5"/>
    <mergeCell ref="C5:F5"/>
    <mergeCell ref="G5:H5"/>
    <mergeCell ref="I5:K5"/>
    <mergeCell ref="A1:K1"/>
    <mergeCell ref="A2:B2"/>
    <mergeCell ref="C2:F2"/>
    <mergeCell ref="G2:H2"/>
    <mergeCell ref="I2:K2"/>
    <mergeCell ref="A3:B3"/>
    <mergeCell ref="C3:F3"/>
    <mergeCell ref="G3:H3"/>
    <mergeCell ref="I3:K3"/>
  </mergeCells>
  <pageMargins left="0.7" right="0.7" top="0.75" bottom="0.75" header="0.3" footer="0.3"/>
  <pageSetup paperSize="9" scale="86" fitToHeight="0"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0"/>
  </sheetPr>
  <dimension ref="A1:G31"/>
  <sheetViews>
    <sheetView topLeftCell="A7" zoomScale="74" workbookViewId="0">
      <selection activeCell="B31" sqref="B31:F31"/>
    </sheetView>
  </sheetViews>
  <sheetFormatPr defaultColWidth="9.140625" defaultRowHeight="15" x14ac:dyDescent="0.25"/>
  <cols>
    <col min="1" max="1" width="4.42578125" style="27" customWidth="1"/>
    <col min="2" max="2" width="26.28515625" style="27" customWidth="1"/>
    <col min="3" max="3" width="26.5703125" style="27" customWidth="1"/>
    <col min="4" max="4" width="20" style="27" customWidth="1"/>
    <col min="5" max="5" width="16.140625" style="27" customWidth="1"/>
    <col min="6" max="6" width="30" style="27" customWidth="1"/>
    <col min="7" max="16384" width="9.140625" style="27"/>
  </cols>
  <sheetData>
    <row r="1" spans="1:7" ht="15.75" x14ac:dyDescent="0.25">
      <c r="A1" s="25"/>
      <c r="B1" s="25"/>
      <c r="C1" s="25"/>
      <c r="D1" s="25"/>
      <c r="E1" s="25"/>
      <c r="F1" s="538" t="s">
        <v>688</v>
      </c>
      <c r="G1" s="239"/>
    </row>
    <row r="2" spans="1:7" ht="15.75" x14ac:dyDescent="0.25">
      <c r="A2" s="25"/>
      <c r="B2" s="25"/>
      <c r="C2" s="25"/>
      <c r="D2" s="25"/>
      <c r="E2" s="25"/>
      <c r="F2" s="477">
        <v>45848</v>
      </c>
      <c r="G2" s="240"/>
    </row>
    <row r="3" spans="1:7" ht="15.75" x14ac:dyDescent="0.25">
      <c r="A3" s="1140" t="s">
        <v>1058</v>
      </c>
      <c r="B3" s="1140"/>
      <c r="C3" s="1140"/>
      <c r="D3" s="1140"/>
      <c r="E3" s="1140"/>
      <c r="F3" s="1140"/>
    </row>
    <row r="4" spans="1:7" ht="15.75" x14ac:dyDescent="0.25">
      <c r="A4" s="201"/>
      <c r="B4" s="201"/>
      <c r="C4" s="201"/>
      <c r="D4" s="201"/>
      <c r="E4" s="201"/>
      <c r="F4" s="201"/>
    </row>
    <row r="5" spans="1:7" ht="15.75" x14ac:dyDescent="0.25">
      <c r="A5" s="817"/>
      <c r="B5" s="817"/>
      <c r="C5" s="817"/>
      <c r="D5" s="817"/>
      <c r="E5" s="817"/>
      <c r="F5" s="817"/>
    </row>
    <row r="6" spans="1:7" ht="15.75" x14ac:dyDescent="0.25">
      <c r="A6" s="35" t="s">
        <v>0</v>
      </c>
      <c r="B6" s="35" t="s">
        <v>327</v>
      </c>
      <c r="C6" s="35" t="s">
        <v>329</v>
      </c>
      <c r="D6" s="35" t="s">
        <v>330</v>
      </c>
      <c r="E6" s="35" t="s">
        <v>331</v>
      </c>
      <c r="F6" s="35" t="s">
        <v>164</v>
      </c>
    </row>
    <row r="7" spans="1:7" ht="94.5" x14ac:dyDescent="0.25">
      <c r="A7" s="448">
        <v>1</v>
      </c>
      <c r="B7" s="534" t="s">
        <v>706</v>
      </c>
      <c r="C7" s="534" t="s">
        <v>764</v>
      </c>
      <c r="D7" s="534" t="s">
        <v>767</v>
      </c>
      <c r="E7" s="534" t="s">
        <v>765</v>
      </c>
      <c r="F7" s="448" t="s">
        <v>763</v>
      </c>
    </row>
    <row r="8" spans="1:7" ht="94.5" x14ac:dyDescent="0.25">
      <c r="A8" s="448">
        <v>2</v>
      </c>
      <c r="B8" s="534" t="s">
        <v>707</v>
      </c>
      <c r="C8" s="534" t="s">
        <v>766</v>
      </c>
      <c r="D8" s="534" t="s">
        <v>767</v>
      </c>
      <c r="E8" s="534" t="s">
        <v>765</v>
      </c>
      <c r="F8" s="448" t="s">
        <v>763</v>
      </c>
    </row>
    <row r="9" spans="1:7" ht="126" x14ac:dyDescent="0.25">
      <c r="A9" s="448">
        <v>3</v>
      </c>
      <c r="B9" s="534" t="s">
        <v>708</v>
      </c>
      <c r="C9" s="534" t="s">
        <v>772</v>
      </c>
      <c r="D9" s="534" t="s">
        <v>768</v>
      </c>
      <c r="E9" s="534" t="s">
        <v>769</v>
      </c>
      <c r="F9" s="534" t="s">
        <v>770</v>
      </c>
    </row>
    <row r="10" spans="1:7" ht="94.5" x14ac:dyDescent="0.25">
      <c r="A10" s="448">
        <v>4</v>
      </c>
      <c r="B10" s="534" t="s">
        <v>746</v>
      </c>
      <c r="C10" s="448" t="s">
        <v>771</v>
      </c>
      <c r="D10" s="534" t="s">
        <v>773</v>
      </c>
      <c r="E10" s="534" t="s">
        <v>774</v>
      </c>
      <c r="F10" s="534" t="s">
        <v>770</v>
      </c>
    </row>
    <row r="11" spans="1:7" ht="94.5" x14ac:dyDescent="0.25">
      <c r="A11" s="448">
        <v>5</v>
      </c>
      <c r="B11" s="534" t="s">
        <v>709</v>
      </c>
      <c r="C11" s="448" t="s">
        <v>771</v>
      </c>
      <c r="D11" s="534" t="s">
        <v>773</v>
      </c>
      <c r="E11" s="534" t="s">
        <v>774</v>
      </c>
      <c r="F11" s="534" t="s">
        <v>770</v>
      </c>
    </row>
    <row r="12" spans="1:7" ht="94.5" x14ac:dyDescent="0.25">
      <c r="A12" s="448">
        <v>6</v>
      </c>
      <c r="B12" s="534" t="s">
        <v>738</v>
      </c>
      <c r="C12" s="534" t="s">
        <v>771</v>
      </c>
      <c r="D12" s="534" t="s">
        <v>773</v>
      </c>
      <c r="E12" s="534" t="s">
        <v>774</v>
      </c>
      <c r="F12" s="534" t="s">
        <v>770</v>
      </c>
    </row>
    <row r="13" spans="1:7" ht="94.5" x14ac:dyDescent="0.25">
      <c r="A13" s="448">
        <v>7</v>
      </c>
      <c r="B13" s="534" t="s">
        <v>710</v>
      </c>
      <c r="C13" s="534" t="s">
        <v>771</v>
      </c>
      <c r="D13" s="534" t="s">
        <v>773</v>
      </c>
      <c r="E13" s="534" t="s">
        <v>774</v>
      </c>
      <c r="F13" s="534" t="s">
        <v>770</v>
      </c>
    </row>
    <row r="14" spans="1:7" ht="15.75" x14ac:dyDescent="0.25">
      <c r="A14" s="25"/>
      <c r="B14" s="25"/>
      <c r="C14" s="25"/>
      <c r="D14" s="25"/>
      <c r="E14" s="25"/>
      <c r="F14" s="25"/>
    </row>
    <row r="15" spans="1:7" ht="15.75" x14ac:dyDescent="0.25">
      <c r="A15" s="25"/>
      <c r="B15" s="28"/>
      <c r="C15"/>
      <c r="D15"/>
      <c r="E15" s="25"/>
      <c r="F15" s="27" t="s">
        <v>1145</v>
      </c>
    </row>
    <row r="16" spans="1:7" ht="15.75" x14ac:dyDescent="0.25">
      <c r="A16" s="25"/>
      <c r="B16" s="28"/>
      <c r="C16"/>
      <c r="D16"/>
      <c r="E16" s="25"/>
      <c r="F16"/>
    </row>
    <row r="17" spans="1:6" ht="15.75" x14ac:dyDescent="0.25">
      <c r="A17" s="25"/>
      <c r="B17" s="28" t="s">
        <v>1623</v>
      </c>
      <c r="C17"/>
      <c r="D17"/>
      <c r="E17" s="25"/>
      <c r="F17" s="28" t="s">
        <v>41</v>
      </c>
    </row>
    <row r="18" spans="1:6" ht="15.75" x14ac:dyDescent="0.25">
      <c r="A18" s="25"/>
      <c r="B18" s="28"/>
      <c r="C18"/>
      <c r="D18"/>
      <c r="E18" s="25"/>
      <c r="F18" s="28"/>
    </row>
    <row r="19" spans="1:6" ht="15.75" x14ac:dyDescent="0.25">
      <c r="A19" s="25"/>
      <c r="B19" s="28"/>
      <c r="C19"/>
      <c r="D19"/>
      <c r="E19" s="25"/>
      <c r="F19" s="28"/>
    </row>
    <row r="20" spans="1:6" ht="15.75" x14ac:dyDescent="0.25">
      <c r="A20" s="25"/>
      <c r="B20" s="28"/>
      <c r="C20"/>
      <c r="D20"/>
      <c r="E20" s="25"/>
      <c r="F20" s="28"/>
    </row>
    <row r="21" spans="1:6" ht="15.75" x14ac:dyDescent="0.25">
      <c r="A21" s="25"/>
      <c r="B21" s="34" t="s">
        <v>1622</v>
      </c>
      <c r="C21"/>
      <c r="D21"/>
      <c r="E21" s="25"/>
      <c r="F21" s="34" t="s">
        <v>1154</v>
      </c>
    </row>
    <row r="22" spans="1:6" ht="15.75" x14ac:dyDescent="0.25">
      <c r="A22" s="25"/>
      <c r="B22" s="28" t="s">
        <v>1627</v>
      </c>
      <c r="C22"/>
      <c r="D22"/>
      <c r="E22" s="25"/>
      <c r="F22" s="28" t="s">
        <v>1155</v>
      </c>
    </row>
    <row r="23" spans="1:6" ht="15.75" x14ac:dyDescent="0.25">
      <c r="A23" s="25"/>
      <c r="B23" s="28"/>
      <c r="C23"/>
      <c r="D23"/>
      <c r="E23" s="25"/>
    </row>
    <row r="24" spans="1:6" ht="15.75" x14ac:dyDescent="0.25">
      <c r="A24" s="25"/>
      <c r="B24"/>
      <c r="C24" s="142" t="s">
        <v>33</v>
      </c>
      <c r="D24"/>
      <c r="E24" s="25"/>
      <c r="F24"/>
    </row>
    <row r="25" spans="1:6" ht="15.75" x14ac:dyDescent="0.25">
      <c r="A25" s="25"/>
      <c r="B25" s="28" t="s">
        <v>1624</v>
      </c>
      <c r="C25"/>
      <c r="D25"/>
      <c r="E25" s="25"/>
      <c r="F25" s="28" t="s">
        <v>1625</v>
      </c>
    </row>
    <row r="26" spans="1:6" ht="15.75" x14ac:dyDescent="0.25">
      <c r="A26" s="25"/>
      <c r="B26" s="28"/>
      <c r="C26"/>
      <c r="D26"/>
      <c r="E26" s="25"/>
      <c r="F26" s="28"/>
    </row>
    <row r="27" spans="1:6" ht="15.75" x14ac:dyDescent="0.25">
      <c r="A27" s="25"/>
      <c r="B27" s="28"/>
      <c r="C27"/>
      <c r="D27"/>
      <c r="E27" s="25"/>
      <c r="F27" s="28"/>
    </row>
    <row r="28" spans="1:6" ht="15.75" x14ac:dyDescent="0.25">
      <c r="A28" s="25"/>
      <c r="B28" s="28"/>
      <c r="C28"/>
      <c r="D28"/>
      <c r="E28" s="25"/>
      <c r="F28" s="28"/>
    </row>
    <row r="29" spans="1:6" ht="15.75" x14ac:dyDescent="0.25">
      <c r="A29" s="25"/>
      <c r="B29" s="34" t="s">
        <v>1156</v>
      </c>
      <c r="C29"/>
      <c r="D29"/>
      <c r="E29" s="25"/>
      <c r="F29" s="34" t="s">
        <v>1044</v>
      </c>
    </row>
    <row r="30" spans="1:6" ht="15.75" x14ac:dyDescent="0.25">
      <c r="A30" s="25"/>
      <c r="B30" s="34" t="s">
        <v>1620</v>
      </c>
      <c r="C30"/>
      <c r="D30"/>
      <c r="E30" s="25"/>
      <c r="F30" s="28" t="s">
        <v>1621</v>
      </c>
    </row>
    <row r="31" spans="1:6" ht="15.75" x14ac:dyDescent="0.25">
      <c r="A31" s="25"/>
      <c r="B31" s="456"/>
      <c r="C31" s="25"/>
      <c r="D31" s="25"/>
      <c r="E31" s="25"/>
    </row>
  </sheetData>
  <mergeCells count="2">
    <mergeCell ref="A5:F5"/>
    <mergeCell ref="A3:F3"/>
  </mergeCells>
  <pageMargins left="1" right="1" top="1" bottom="1" header="0.5" footer="0.5"/>
  <pageSetup paperSize="5"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0"/>
  </sheetPr>
  <dimension ref="A1:E43"/>
  <sheetViews>
    <sheetView zoomScale="85" zoomScaleNormal="85" workbookViewId="0">
      <selection activeCell="P54" sqref="P54"/>
    </sheetView>
  </sheetViews>
  <sheetFormatPr defaultColWidth="9.140625" defaultRowHeight="15" x14ac:dyDescent="0.25"/>
  <cols>
    <col min="1" max="1" width="5.140625" style="27" customWidth="1"/>
    <col min="2" max="2" width="31.140625" style="27" customWidth="1"/>
    <col min="3" max="3" width="18.5703125" style="27" customWidth="1"/>
    <col min="4" max="4" width="19.140625" style="27" customWidth="1"/>
    <col min="5" max="5" width="14" style="27" customWidth="1"/>
    <col min="6" max="16384" width="9.140625" style="27"/>
  </cols>
  <sheetData>
    <row r="1" spans="1:5" x14ac:dyDescent="0.25">
      <c r="E1" s="235" t="s">
        <v>689</v>
      </c>
    </row>
    <row r="2" spans="1:5" x14ac:dyDescent="0.25">
      <c r="E2" s="168">
        <v>45848</v>
      </c>
    </row>
    <row r="3" spans="1:5" ht="18.75" x14ac:dyDescent="0.3">
      <c r="A3" s="751" t="s">
        <v>17</v>
      </c>
      <c r="B3" s="751"/>
      <c r="C3" s="751"/>
      <c r="D3" s="751"/>
      <c r="E3" s="751"/>
    </row>
    <row r="4" spans="1:5" ht="9" customHeight="1" x14ac:dyDescent="0.3">
      <c r="A4" s="32"/>
      <c r="B4" s="32"/>
      <c r="C4" s="32"/>
      <c r="D4" s="32"/>
      <c r="E4" s="32"/>
    </row>
    <row r="5" spans="1:5" ht="18.75" x14ac:dyDescent="0.3">
      <c r="A5" s="27" t="s">
        <v>38</v>
      </c>
      <c r="B5" s="32"/>
      <c r="C5" s="25" t="s">
        <v>775</v>
      </c>
      <c r="D5" s="32"/>
      <c r="E5" s="32"/>
    </row>
    <row r="6" spans="1:5" ht="18.75" x14ac:dyDescent="0.3">
      <c r="A6" s="27" t="s">
        <v>39</v>
      </c>
      <c r="B6" s="32"/>
      <c r="C6" s="25" t="s">
        <v>888</v>
      </c>
      <c r="D6" s="32"/>
      <c r="E6" s="32"/>
    </row>
    <row r="7" spans="1:5" ht="18.75" x14ac:dyDescent="0.3">
      <c r="A7" s="28" t="s">
        <v>597</v>
      </c>
      <c r="B7" s="32"/>
      <c r="C7" s="25" t="s">
        <v>702</v>
      </c>
      <c r="D7" s="32"/>
      <c r="E7" s="32"/>
    </row>
    <row r="8" spans="1:5" ht="18.75" x14ac:dyDescent="0.3">
      <c r="A8" s="28" t="s">
        <v>134</v>
      </c>
      <c r="B8" s="32"/>
      <c r="C8" s="25" t="s">
        <v>776</v>
      </c>
      <c r="D8" s="32"/>
      <c r="E8" s="32"/>
    </row>
    <row r="9" spans="1:5" ht="18.75" x14ac:dyDescent="0.3">
      <c r="A9" s="27" t="s">
        <v>40</v>
      </c>
      <c r="B9" s="32"/>
      <c r="C9" s="25" t="s">
        <v>1046</v>
      </c>
      <c r="D9" s="32"/>
      <c r="E9" s="32"/>
    </row>
    <row r="10" spans="1:5" ht="9" customHeight="1" x14ac:dyDescent="0.25"/>
    <row r="11" spans="1:5" x14ac:dyDescent="0.25">
      <c r="A11" s="146" t="s">
        <v>1</v>
      </c>
      <c r="B11" s="146" t="s">
        <v>118</v>
      </c>
    </row>
    <row r="12" spans="1:5" ht="9" customHeight="1" x14ac:dyDescent="0.25">
      <c r="A12" s="146"/>
      <c r="B12" s="146"/>
    </row>
    <row r="13" spans="1:5" s="142" customFormat="1" ht="27" customHeight="1" thickBot="1" x14ac:dyDescent="0.3">
      <c r="A13" s="195" t="s">
        <v>105</v>
      </c>
      <c r="B13" s="195" t="s">
        <v>120</v>
      </c>
      <c r="C13" s="195" t="s">
        <v>121</v>
      </c>
      <c r="D13" s="195" t="s">
        <v>122</v>
      </c>
      <c r="E13" s="195" t="s">
        <v>123</v>
      </c>
    </row>
    <row r="14" spans="1:5" ht="45.75" thickTop="1" x14ac:dyDescent="0.25">
      <c r="A14" s="197">
        <v>1</v>
      </c>
      <c r="B14" s="173" t="s">
        <v>781</v>
      </c>
      <c r="C14" s="173" t="s">
        <v>782</v>
      </c>
      <c r="D14" s="173" t="s">
        <v>783</v>
      </c>
      <c r="E14" s="197">
        <v>2021</v>
      </c>
    </row>
    <row r="15" spans="1:5" ht="45" x14ac:dyDescent="0.25">
      <c r="A15" s="197">
        <v>2</v>
      </c>
      <c r="B15" s="173" t="s">
        <v>784</v>
      </c>
      <c r="C15" s="173" t="s">
        <v>785</v>
      </c>
      <c r="D15" s="162" t="s">
        <v>786</v>
      </c>
      <c r="E15" s="197">
        <v>2019</v>
      </c>
    </row>
    <row r="16" spans="1:5" ht="30" x14ac:dyDescent="0.25">
      <c r="A16" s="197">
        <v>3</v>
      </c>
      <c r="B16" s="173" t="s">
        <v>814</v>
      </c>
      <c r="C16" s="336" t="s">
        <v>813</v>
      </c>
      <c r="D16" s="302" t="s">
        <v>815</v>
      </c>
      <c r="E16" s="197">
        <v>2017</v>
      </c>
    </row>
    <row r="17" spans="1:5" x14ac:dyDescent="0.25">
      <c r="A17" s="162"/>
      <c r="B17" s="162"/>
      <c r="C17" s="162"/>
      <c r="D17" s="29"/>
      <c r="E17" s="197"/>
    </row>
    <row r="20" spans="1:5" x14ac:dyDescent="0.25">
      <c r="A20" s="146" t="s">
        <v>2</v>
      </c>
      <c r="B20" s="146" t="s">
        <v>119</v>
      </c>
    </row>
    <row r="22" spans="1:5" x14ac:dyDescent="0.25">
      <c r="A22" s="808" t="s">
        <v>105</v>
      </c>
      <c r="B22" s="808" t="s">
        <v>120</v>
      </c>
      <c r="C22" s="808" t="s">
        <v>121</v>
      </c>
      <c r="D22" s="808" t="s">
        <v>122</v>
      </c>
      <c r="E22" s="808" t="s">
        <v>123</v>
      </c>
    </row>
    <row r="23" spans="1:5" x14ac:dyDescent="0.25">
      <c r="A23" s="808"/>
      <c r="B23" s="808"/>
      <c r="C23" s="808"/>
      <c r="D23" s="808"/>
      <c r="E23" s="808"/>
    </row>
    <row r="24" spans="1:5" x14ac:dyDescent="0.25">
      <c r="A24" s="154">
        <v>1</v>
      </c>
      <c r="B24" s="29" t="s">
        <v>790</v>
      </c>
      <c r="C24" s="29" t="s">
        <v>791</v>
      </c>
      <c r="D24" s="29" t="s">
        <v>792</v>
      </c>
      <c r="E24" s="154">
        <v>2019</v>
      </c>
    </row>
    <row r="25" spans="1:5" ht="30" x14ac:dyDescent="0.25">
      <c r="A25" s="154">
        <v>2</v>
      </c>
      <c r="B25" s="302" t="s">
        <v>793</v>
      </c>
      <c r="C25" s="29" t="s">
        <v>791</v>
      </c>
      <c r="D25" s="29" t="s">
        <v>792</v>
      </c>
      <c r="E25" s="49">
        <v>2019</v>
      </c>
    </row>
    <row r="26" spans="1:5" ht="30" x14ac:dyDescent="0.25">
      <c r="A26" s="154">
        <v>3</v>
      </c>
      <c r="B26" s="302" t="s">
        <v>814</v>
      </c>
      <c r="C26" s="337" t="s">
        <v>813</v>
      </c>
      <c r="D26" s="302" t="s">
        <v>815</v>
      </c>
      <c r="E26" s="49">
        <v>2017</v>
      </c>
    </row>
    <row r="27" spans="1:5" x14ac:dyDescent="0.25">
      <c r="A27" s="29"/>
      <c r="B27" s="29"/>
      <c r="C27" s="29"/>
      <c r="D27" s="29"/>
      <c r="E27" s="29"/>
    </row>
    <row r="29" spans="1:5" s="142" customFormat="1" x14ac:dyDescent="0.25">
      <c r="B29" s="27"/>
      <c r="C29" s="27"/>
      <c r="D29" s="143" t="s">
        <v>1145</v>
      </c>
      <c r="E29" s="27"/>
    </row>
    <row r="30" spans="1:5" ht="9" customHeight="1" x14ac:dyDescent="0.25">
      <c r="B30" s="28" t="s">
        <v>33</v>
      </c>
      <c r="D30" s="28"/>
    </row>
    <row r="31" spans="1:5" ht="27" customHeight="1" x14ac:dyDescent="0.25">
      <c r="B31" s="28" t="s">
        <v>289</v>
      </c>
      <c r="D31" s="28" t="s">
        <v>41</v>
      </c>
    </row>
    <row r="32" spans="1:5" x14ac:dyDescent="0.25">
      <c r="B32" s="28"/>
      <c r="D32" s="28"/>
    </row>
    <row r="33" spans="2:4" x14ac:dyDescent="0.25">
      <c r="B33" s="28"/>
      <c r="D33" s="28"/>
    </row>
    <row r="34" spans="2:4" x14ac:dyDescent="0.25">
      <c r="B34" s="28"/>
      <c r="D34" s="28"/>
    </row>
    <row r="35" spans="2:4" x14ac:dyDescent="0.25">
      <c r="B35" s="143" t="s">
        <v>1044</v>
      </c>
      <c r="D35" s="27" t="s">
        <v>1154</v>
      </c>
    </row>
    <row r="36" spans="2:4" ht="15.75" x14ac:dyDescent="0.25">
      <c r="B36" s="18" t="s">
        <v>970</v>
      </c>
      <c r="D36" s="27" t="s">
        <v>1160</v>
      </c>
    </row>
    <row r="37" spans="2:4" x14ac:dyDescent="0.25">
      <c r="B37" s="28"/>
      <c r="D37" s="28"/>
    </row>
    <row r="38" spans="2:4" x14ac:dyDescent="0.25">
      <c r="B38" s="27" t="s">
        <v>32</v>
      </c>
      <c r="D38" s="143" t="s">
        <v>1195</v>
      </c>
    </row>
    <row r="39" spans="2:4" x14ac:dyDescent="0.25">
      <c r="B39" s="143"/>
      <c r="D39" s="143"/>
    </row>
    <row r="40" spans="2:4" x14ac:dyDescent="0.25">
      <c r="B40" s="143"/>
      <c r="D40" s="143"/>
    </row>
    <row r="41" spans="2:4" x14ac:dyDescent="0.25">
      <c r="B41" s="28"/>
      <c r="D41" s="28"/>
    </row>
    <row r="42" spans="2:4" x14ac:dyDescent="0.25">
      <c r="B42" s="28" t="s">
        <v>968</v>
      </c>
      <c r="D42" s="27" t="s">
        <v>1156</v>
      </c>
    </row>
    <row r="43" spans="2:4" x14ac:dyDescent="0.25">
      <c r="B43" s="28" t="s">
        <v>969</v>
      </c>
      <c r="D43" s="27" t="s">
        <v>1157</v>
      </c>
    </row>
  </sheetData>
  <mergeCells count="6">
    <mergeCell ref="A3:E3"/>
    <mergeCell ref="A22:A23"/>
    <mergeCell ref="B22:B23"/>
    <mergeCell ref="C22:C23"/>
    <mergeCell ref="D22:D23"/>
    <mergeCell ref="E22:E23"/>
  </mergeCells>
  <pageMargins left="0.98425196850393704" right="0.39370078740157483" top="0.59055118110236227" bottom="0.39370078740157483" header="0.31496062992125984" footer="0.31496062992125984"/>
  <pageSetup paperSize="5" orientation="portrait" horizontalDpi="300" verticalDpi="30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0"/>
    <pageSetUpPr fitToPage="1"/>
  </sheetPr>
  <dimension ref="A1:L67"/>
  <sheetViews>
    <sheetView topLeftCell="A24" zoomScale="74" workbookViewId="0">
      <selection activeCell="E47" sqref="E47"/>
    </sheetView>
  </sheetViews>
  <sheetFormatPr defaultColWidth="9.140625" defaultRowHeight="16.5" x14ac:dyDescent="0.3"/>
  <cols>
    <col min="1" max="1" width="5.7109375" style="11" customWidth="1"/>
    <col min="2" max="2" width="36.85546875" style="11" customWidth="1"/>
    <col min="3" max="3" width="9.42578125" style="11" customWidth="1"/>
    <col min="4" max="4" width="40.42578125" style="11" customWidth="1"/>
    <col min="5" max="5" width="43.5703125" style="11" customWidth="1"/>
    <col min="6" max="6" width="6.85546875" style="11" customWidth="1"/>
    <col min="7" max="7" width="15" style="11" customWidth="1"/>
    <col min="8" max="16384" width="9.140625" style="11"/>
  </cols>
  <sheetData>
    <row r="1" spans="1:12" x14ac:dyDescent="0.3">
      <c r="A1" s="119"/>
      <c r="B1" s="119"/>
      <c r="C1" s="119"/>
      <c r="D1" s="119"/>
      <c r="E1" s="119"/>
      <c r="F1" s="866" t="s">
        <v>1628</v>
      </c>
      <c r="G1" s="867"/>
    </row>
    <row r="2" spans="1:12" x14ac:dyDescent="0.3">
      <c r="A2" s="119"/>
      <c r="B2" s="119"/>
      <c r="C2" s="119"/>
      <c r="D2" s="119"/>
      <c r="E2" s="119"/>
      <c r="F2" s="868" t="s">
        <v>1616</v>
      </c>
      <c r="G2" s="869"/>
    </row>
    <row r="3" spans="1:12" ht="18.75" x14ac:dyDescent="0.3">
      <c r="A3" s="1141" t="s">
        <v>175</v>
      </c>
      <c r="B3" s="1141"/>
      <c r="C3" s="1141"/>
      <c r="D3" s="1141"/>
      <c r="E3" s="1141"/>
      <c r="F3" s="1141"/>
      <c r="G3" s="1141"/>
    </row>
    <row r="4" spans="1:12" x14ac:dyDescent="0.3">
      <c r="A4" s="120" t="s">
        <v>1688</v>
      </c>
      <c r="B4" s="120"/>
      <c r="C4" s="120"/>
      <c r="D4" s="694" t="s">
        <v>1690</v>
      </c>
      <c r="E4" s="119" t="s">
        <v>1691</v>
      </c>
      <c r="F4" s="120" t="s">
        <v>1194</v>
      </c>
      <c r="G4" s="119"/>
    </row>
    <row r="5" spans="1:12" x14ac:dyDescent="0.3">
      <c r="A5" s="120" t="s">
        <v>1689</v>
      </c>
      <c r="B5" s="120"/>
      <c r="C5" s="120"/>
      <c r="D5" s="694" t="s">
        <v>1692</v>
      </c>
      <c r="E5" s="119" t="s">
        <v>1693</v>
      </c>
      <c r="F5" s="120" t="s">
        <v>1694</v>
      </c>
      <c r="G5" s="119"/>
    </row>
    <row r="6" spans="1:12" x14ac:dyDescent="0.3">
      <c r="A6" s="120" t="s">
        <v>1677</v>
      </c>
      <c r="B6" s="120"/>
      <c r="C6" s="120"/>
      <c r="D6" s="120" t="s">
        <v>847</v>
      </c>
      <c r="E6" s="120"/>
      <c r="F6" s="119"/>
      <c r="G6" s="119"/>
    </row>
    <row r="8" spans="1:12" ht="25.5" x14ac:dyDescent="0.3">
      <c r="A8" s="121" t="s">
        <v>0</v>
      </c>
      <c r="B8" s="121" t="s">
        <v>323</v>
      </c>
      <c r="C8" s="122" t="s">
        <v>176</v>
      </c>
      <c r="D8" s="121" t="s">
        <v>177</v>
      </c>
      <c r="E8" s="121" t="s">
        <v>151</v>
      </c>
      <c r="F8" s="122" t="s">
        <v>178</v>
      </c>
      <c r="G8" s="122" t="s">
        <v>179</v>
      </c>
    </row>
    <row r="9" spans="1:12" ht="45.75" customHeight="1" x14ac:dyDescent="0.3">
      <c r="A9" s="307">
        <v>1</v>
      </c>
      <c r="B9" s="539" t="s">
        <v>1278</v>
      </c>
      <c r="C9" s="307">
        <v>1</v>
      </c>
      <c r="D9" s="540" t="s">
        <v>1279</v>
      </c>
      <c r="E9" s="540" t="s">
        <v>1280</v>
      </c>
      <c r="F9" s="307">
        <v>1</v>
      </c>
      <c r="G9" s="306" t="s">
        <v>3</v>
      </c>
    </row>
    <row r="10" spans="1:12" ht="48.75" customHeight="1" x14ac:dyDescent="0.3">
      <c r="A10" s="307">
        <v>2</v>
      </c>
      <c r="B10" s="539" t="s">
        <v>1281</v>
      </c>
      <c r="C10" s="307">
        <v>1</v>
      </c>
      <c r="D10" s="540" t="s">
        <v>1282</v>
      </c>
      <c r="E10" s="540" t="s">
        <v>1283</v>
      </c>
      <c r="F10" s="307">
        <v>2</v>
      </c>
      <c r="G10" s="306" t="s">
        <v>67</v>
      </c>
    </row>
    <row r="11" spans="1:12" ht="30" x14ac:dyDescent="0.3">
      <c r="A11" s="307">
        <v>3</v>
      </c>
      <c r="B11" s="539" t="s">
        <v>1284</v>
      </c>
      <c r="C11" s="307">
        <v>1</v>
      </c>
      <c r="D11" s="540" t="s">
        <v>1285</v>
      </c>
      <c r="E11" s="540" t="s">
        <v>1286</v>
      </c>
      <c r="F11" s="307">
        <v>3</v>
      </c>
      <c r="G11" s="306" t="s">
        <v>77</v>
      </c>
    </row>
    <row r="12" spans="1:12" ht="32.25" customHeight="1" x14ac:dyDescent="0.3">
      <c r="A12" s="307">
        <v>4</v>
      </c>
      <c r="B12" s="539" t="s">
        <v>1284</v>
      </c>
      <c r="C12" s="307">
        <v>1</v>
      </c>
      <c r="D12" s="540" t="s">
        <v>1287</v>
      </c>
      <c r="E12" s="540" t="s">
        <v>1288</v>
      </c>
      <c r="F12" s="307">
        <v>4</v>
      </c>
      <c r="G12" s="306" t="s">
        <v>1</v>
      </c>
    </row>
    <row r="13" spans="1:12" ht="49.5" customHeight="1" x14ac:dyDescent="0.3">
      <c r="A13" s="307">
        <v>5</v>
      </c>
      <c r="B13" s="539" t="s">
        <v>1289</v>
      </c>
      <c r="C13" s="307">
        <v>1</v>
      </c>
      <c r="D13" s="540" t="s">
        <v>1290</v>
      </c>
      <c r="E13" s="540" t="s">
        <v>1291</v>
      </c>
      <c r="F13" s="306">
        <v>5</v>
      </c>
      <c r="G13" s="306" t="s">
        <v>77</v>
      </c>
    </row>
    <row r="14" spans="1:12" ht="46.5" customHeight="1" x14ac:dyDescent="0.3">
      <c r="A14" s="307">
        <v>6</v>
      </c>
      <c r="B14" s="541" t="s">
        <v>1292</v>
      </c>
      <c r="C14" s="307">
        <v>1</v>
      </c>
      <c r="D14" s="540" t="s">
        <v>1293</v>
      </c>
      <c r="E14" s="540" t="s">
        <v>1294</v>
      </c>
      <c r="F14" s="306">
        <v>6</v>
      </c>
      <c r="G14" s="306" t="s">
        <v>1</v>
      </c>
    </row>
    <row r="15" spans="1:12" ht="48" customHeight="1" x14ac:dyDescent="0.3">
      <c r="A15" s="307">
        <v>7</v>
      </c>
      <c r="B15" s="541" t="s">
        <v>1295</v>
      </c>
      <c r="C15" s="307">
        <v>1</v>
      </c>
      <c r="D15" s="540" t="s">
        <v>1296</v>
      </c>
      <c r="E15" s="540" t="s">
        <v>1297</v>
      </c>
      <c r="F15" s="306">
        <v>7</v>
      </c>
      <c r="G15" s="306" t="s">
        <v>1</v>
      </c>
    </row>
    <row r="16" spans="1:12" ht="30" x14ac:dyDescent="0.3">
      <c r="A16" s="307">
        <v>8</v>
      </c>
      <c r="B16" s="541" t="s">
        <v>1295</v>
      </c>
      <c r="C16" s="307">
        <v>1</v>
      </c>
      <c r="D16" s="541" t="s">
        <v>1298</v>
      </c>
      <c r="E16" s="540" t="s">
        <v>1299</v>
      </c>
      <c r="F16" s="306">
        <v>8</v>
      </c>
      <c r="G16" s="306" t="s">
        <v>1</v>
      </c>
      <c r="L16" s="11" t="s">
        <v>36</v>
      </c>
    </row>
    <row r="17" spans="1:7" ht="30" x14ac:dyDescent="0.3">
      <c r="A17" s="307">
        <v>9</v>
      </c>
      <c r="B17" s="541" t="s">
        <v>1295</v>
      </c>
      <c r="C17" s="307">
        <v>1</v>
      </c>
      <c r="D17" s="541" t="s">
        <v>1300</v>
      </c>
      <c r="E17" s="541" t="s">
        <v>1301</v>
      </c>
      <c r="F17" s="306">
        <v>9</v>
      </c>
      <c r="G17" s="306" t="s">
        <v>3</v>
      </c>
    </row>
    <row r="18" spans="1:7" ht="47.25" customHeight="1" x14ac:dyDescent="0.3">
      <c r="A18" s="307">
        <v>10</v>
      </c>
      <c r="B18" s="541" t="s">
        <v>1302</v>
      </c>
      <c r="C18" s="307">
        <v>1</v>
      </c>
      <c r="D18" s="541" t="s">
        <v>1303</v>
      </c>
      <c r="E18" s="541" t="s">
        <v>1304</v>
      </c>
      <c r="F18" s="306">
        <v>10</v>
      </c>
      <c r="G18" s="306" t="s">
        <v>2</v>
      </c>
    </row>
    <row r="19" spans="1:7" ht="30" x14ac:dyDescent="0.3">
      <c r="A19" s="307">
        <v>11</v>
      </c>
      <c r="B19" s="541" t="s">
        <v>1305</v>
      </c>
      <c r="C19" s="307">
        <v>1</v>
      </c>
      <c r="D19" s="541" t="s">
        <v>1306</v>
      </c>
      <c r="E19" s="541" t="s">
        <v>1307</v>
      </c>
      <c r="F19" s="306">
        <v>11</v>
      </c>
      <c r="G19" s="306" t="s">
        <v>1</v>
      </c>
    </row>
    <row r="20" spans="1:7" ht="43.5" customHeight="1" x14ac:dyDescent="0.3">
      <c r="A20" s="307">
        <v>12</v>
      </c>
      <c r="B20" s="541" t="s">
        <v>1308</v>
      </c>
      <c r="C20" s="307">
        <v>1</v>
      </c>
      <c r="D20" s="541" t="s">
        <v>1309</v>
      </c>
      <c r="E20" s="541" t="s">
        <v>1310</v>
      </c>
      <c r="F20" s="306">
        <v>12</v>
      </c>
      <c r="G20" s="306" t="s">
        <v>2</v>
      </c>
    </row>
    <row r="21" spans="1:7" ht="30" x14ac:dyDescent="0.3">
      <c r="A21" s="307">
        <v>13</v>
      </c>
      <c r="B21" s="541" t="s">
        <v>1311</v>
      </c>
      <c r="C21" s="307">
        <v>1</v>
      </c>
      <c r="D21" s="541" t="s">
        <v>1312</v>
      </c>
      <c r="E21" s="541" t="s">
        <v>1313</v>
      </c>
      <c r="F21" s="306">
        <v>13</v>
      </c>
      <c r="G21" s="306" t="s">
        <v>3</v>
      </c>
    </row>
    <row r="22" spans="1:7" ht="30" x14ac:dyDescent="0.3">
      <c r="A22" s="307">
        <v>14</v>
      </c>
      <c r="B22" s="541" t="s">
        <v>1314</v>
      </c>
      <c r="C22" s="307">
        <v>1</v>
      </c>
      <c r="D22" s="541" t="s">
        <v>1315</v>
      </c>
      <c r="E22" s="541" t="s">
        <v>1316</v>
      </c>
      <c r="F22" s="306">
        <v>14</v>
      </c>
      <c r="G22" s="306" t="s">
        <v>1</v>
      </c>
    </row>
    <row r="23" spans="1:7" ht="30" x14ac:dyDescent="0.3">
      <c r="A23" s="307">
        <v>15</v>
      </c>
      <c r="B23" s="541" t="s">
        <v>1317</v>
      </c>
      <c r="C23" s="307">
        <v>1</v>
      </c>
      <c r="D23" s="541" t="s">
        <v>1318</v>
      </c>
      <c r="E23" s="541" t="s">
        <v>1319</v>
      </c>
      <c r="F23" s="306">
        <v>15</v>
      </c>
      <c r="G23" s="306" t="s">
        <v>3</v>
      </c>
    </row>
    <row r="24" spans="1:7" ht="30" x14ac:dyDescent="0.3">
      <c r="A24" s="307">
        <v>16</v>
      </c>
      <c r="B24" s="541" t="s">
        <v>1320</v>
      </c>
      <c r="C24" s="307">
        <v>1</v>
      </c>
      <c r="D24" s="541" t="s">
        <v>1321</v>
      </c>
      <c r="E24" s="541" t="s">
        <v>1322</v>
      </c>
      <c r="F24" s="306">
        <v>16</v>
      </c>
      <c r="G24" s="306" t="s">
        <v>67</v>
      </c>
    </row>
    <row r="25" spans="1:7" ht="30" x14ac:dyDescent="0.3">
      <c r="A25" s="307">
        <v>17</v>
      </c>
      <c r="B25" s="541" t="s">
        <v>1323</v>
      </c>
      <c r="C25" s="307">
        <v>1</v>
      </c>
      <c r="D25" s="541" t="s">
        <v>1324</v>
      </c>
      <c r="E25" s="541" t="s">
        <v>1325</v>
      </c>
      <c r="F25" s="306">
        <v>17</v>
      </c>
      <c r="G25" s="306" t="s">
        <v>2</v>
      </c>
    </row>
    <row r="26" spans="1:7" ht="30" x14ac:dyDescent="0.3">
      <c r="A26" s="307">
        <v>18</v>
      </c>
      <c r="B26" s="541" t="s">
        <v>1326</v>
      </c>
      <c r="C26" s="307">
        <v>1</v>
      </c>
      <c r="D26" s="541" t="s">
        <v>1327</v>
      </c>
      <c r="E26" s="541" t="s">
        <v>1328</v>
      </c>
      <c r="F26" s="306">
        <v>18</v>
      </c>
      <c r="G26" s="306" t="s">
        <v>3</v>
      </c>
    </row>
    <row r="27" spans="1:7" ht="30" x14ac:dyDescent="0.3">
      <c r="A27" s="307">
        <v>19</v>
      </c>
      <c r="B27" s="541" t="s">
        <v>1329</v>
      </c>
      <c r="C27" s="307">
        <v>1</v>
      </c>
      <c r="D27" s="541" t="s">
        <v>1330</v>
      </c>
      <c r="E27" s="541" t="s">
        <v>1331</v>
      </c>
      <c r="F27" s="306">
        <v>19</v>
      </c>
      <c r="G27" s="306" t="s">
        <v>2</v>
      </c>
    </row>
    <row r="28" spans="1:7" ht="30" x14ac:dyDescent="0.3">
      <c r="A28" s="307">
        <v>20</v>
      </c>
      <c r="B28" s="541" t="s">
        <v>1332</v>
      </c>
      <c r="C28" s="307">
        <v>1</v>
      </c>
      <c r="D28" s="542" t="s">
        <v>1333</v>
      </c>
      <c r="E28" s="541" t="s">
        <v>1334</v>
      </c>
      <c r="F28" s="306">
        <v>20</v>
      </c>
      <c r="G28" s="306" t="s">
        <v>2</v>
      </c>
    </row>
    <row r="29" spans="1:7" ht="30" x14ac:dyDescent="0.3">
      <c r="A29" s="307">
        <v>21</v>
      </c>
      <c r="B29" s="541" t="s">
        <v>1335</v>
      </c>
      <c r="C29" s="307">
        <v>1</v>
      </c>
      <c r="D29" s="541" t="s">
        <v>1336</v>
      </c>
      <c r="E29" s="541" t="s">
        <v>1337</v>
      </c>
      <c r="F29" s="306">
        <v>21</v>
      </c>
      <c r="G29" s="306" t="s">
        <v>2</v>
      </c>
    </row>
    <row r="30" spans="1:7" ht="30" x14ac:dyDescent="0.3">
      <c r="A30" s="307">
        <v>22</v>
      </c>
      <c r="B30" s="541" t="s">
        <v>1338</v>
      </c>
      <c r="C30" s="307">
        <v>1</v>
      </c>
      <c r="D30" s="541" t="s">
        <v>1339</v>
      </c>
      <c r="E30" s="541" t="s">
        <v>1340</v>
      </c>
      <c r="F30" s="306">
        <v>22</v>
      </c>
      <c r="G30" s="306" t="s">
        <v>2</v>
      </c>
    </row>
    <row r="31" spans="1:7" ht="30" x14ac:dyDescent="0.3">
      <c r="A31" s="307">
        <v>23</v>
      </c>
      <c r="B31" s="541" t="s">
        <v>1341</v>
      </c>
      <c r="C31" s="307">
        <v>1</v>
      </c>
      <c r="D31" s="541" t="s">
        <v>1342</v>
      </c>
      <c r="E31" s="543" t="s">
        <v>1343</v>
      </c>
      <c r="F31" s="306">
        <v>23</v>
      </c>
      <c r="G31" s="306" t="s">
        <v>2</v>
      </c>
    </row>
    <row r="32" spans="1:7" ht="30" x14ac:dyDescent="0.3">
      <c r="A32" s="307">
        <v>24</v>
      </c>
      <c r="B32" s="541" t="s">
        <v>1344</v>
      </c>
      <c r="C32" s="307">
        <v>1</v>
      </c>
      <c r="D32" s="541" t="s">
        <v>1345</v>
      </c>
      <c r="E32" s="541" t="s">
        <v>1346</v>
      </c>
      <c r="F32" s="306">
        <v>24</v>
      </c>
      <c r="G32" s="306" t="s">
        <v>2</v>
      </c>
    </row>
    <row r="33" spans="1:7" ht="41.25" customHeight="1" x14ac:dyDescent="0.3">
      <c r="A33" s="307">
        <v>25</v>
      </c>
      <c r="B33" s="541" t="s">
        <v>1347</v>
      </c>
      <c r="C33" s="307">
        <v>1</v>
      </c>
      <c r="D33" s="541" t="s">
        <v>1348</v>
      </c>
      <c r="E33" s="541" t="s">
        <v>1349</v>
      </c>
      <c r="F33" s="306">
        <v>25</v>
      </c>
      <c r="G33" s="306" t="s">
        <v>1</v>
      </c>
    </row>
    <row r="34" spans="1:7" ht="30" x14ac:dyDescent="0.3">
      <c r="A34" s="307">
        <v>26</v>
      </c>
      <c r="B34" s="541" t="s">
        <v>1350</v>
      </c>
      <c r="C34" s="307">
        <v>1</v>
      </c>
      <c r="D34" s="541" t="s">
        <v>1351</v>
      </c>
      <c r="E34" s="541" t="s">
        <v>1352</v>
      </c>
      <c r="F34" s="306">
        <v>26</v>
      </c>
      <c r="G34" s="306" t="s">
        <v>3</v>
      </c>
    </row>
    <row r="35" spans="1:7" ht="30" x14ac:dyDescent="0.3">
      <c r="A35" s="307">
        <v>27</v>
      </c>
      <c r="B35" s="541" t="s">
        <v>1353</v>
      </c>
      <c r="C35" s="307">
        <v>1</v>
      </c>
      <c r="D35" s="541" t="s">
        <v>1354</v>
      </c>
      <c r="E35" s="541" t="s">
        <v>1355</v>
      </c>
      <c r="F35" s="306">
        <v>27</v>
      </c>
      <c r="G35" s="306" t="s">
        <v>1</v>
      </c>
    </row>
    <row r="36" spans="1:7" ht="30" x14ac:dyDescent="0.3">
      <c r="A36" s="307">
        <v>28</v>
      </c>
      <c r="B36" s="541" t="s">
        <v>1356</v>
      </c>
      <c r="C36" s="538">
        <v>1</v>
      </c>
      <c r="D36" s="541" t="s">
        <v>1357</v>
      </c>
      <c r="E36" s="541" t="s">
        <v>1358</v>
      </c>
      <c r="F36" s="306">
        <v>28</v>
      </c>
      <c r="G36" s="306" t="s">
        <v>2</v>
      </c>
    </row>
    <row r="37" spans="1:7" ht="30" customHeight="1" x14ac:dyDescent="0.3">
      <c r="A37" s="307">
        <v>29</v>
      </c>
      <c r="B37" s="541" t="s">
        <v>1359</v>
      </c>
      <c r="C37" s="307">
        <v>1</v>
      </c>
      <c r="D37" s="541" t="s">
        <v>1360</v>
      </c>
      <c r="E37" s="541" t="s">
        <v>1361</v>
      </c>
      <c r="F37" s="306">
        <v>29</v>
      </c>
      <c r="G37" s="306" t="s">
        <v>3</v>
      </c>
    </row>
    <row r="38" spans="1:7" ht="33" customHeight="1" x14ac:dyDescent="0.3">
      <c r="A38" s="307">
        <v>30</v>
      </c>
      <c r="B38" s="541" t="s">
        <v>1362</v>
      </c>
      <c r="C38" s="307">
        <v>1</v>
      </c>
      <c r="D38" s="541" t="s">
        <v>1363</v>
      </c>
      <c r="E38" s="541" t="s">
        <v>1364</v>
      </c>
      <c r="F38" s="306">
        <v>30</v>
      </c>
      <c r="G38" s="306" t="s">
        <v>3</v>
      </c>
    </row>
    <row r="39" spans="1:7" ht="30" x14ac:dyDescent="0.3">
      <c r="A39" s="307">
        <v>31</v>
      </c>
      <c r="B39" s="541" t="s">
        <v>1365</v>
      </c>
      <c r="C39" s="307">
        <v>1</v>
      </c>
      <c r="D39" s="541" t="s">
        <v>1366</v>
      </c>
      <c r="E39" s="542" t="s">
        <v>1367</v>
      </c>
      <c r="F39" s="306">
        <v>31</v>
      </c>
      <c r="G39" s="306" t="s">
        <v>3</v>
      </c>
    </row>
    <row r="40" spans="1:7" ht="30" x14ac:dyDescent="0.3">
      <c r="A40" s="307">
        <v>32</v>
      </c>
      <c r="B40" s="541" t="s">
        <v>1365</v>
      </c>
      <c r="C40" s="307">
        <v>1</v>
      </c>
      <c r="D40" s="541" t="s">
        <v>1368</v>
      </c>
      <c r="E40" s="541" t="s">
        <v>1369</v>
      </c>
      <c r="F40" s="306">
        <v>32</v>
      </c>
      <c r="G40" s="306" t="s">
        <v>3</v>
      </c>
    </row>
    <row r="41" spans="1:7" ht="30" x14ac:dyDescent="0.3">
      <c r="A41" s="544">
        <v>33</v>
      </c>
      <c r="B41" s="543" t="s">
        <v>1370</v>
      </c>
      <c r="C41" s="545">
        <v>1</v>
      </c>
      <c r="D41" s="543" t="s">
        <v>1371</v>
      </c>
      <c r="E41" s="541" t="s">
        <v>1372</v>
      </c>
      <c r="F41" s="546">
        <v>33</v>
      </c>
      <c r="G41" s="546" t="s">
        <v>1</v>
      </c>
    </row>
    <row r="42" spans="1:7" ht="28.5" customHeight="1" x14ac:dyDescent="0.3">
      <c r="A42" s="307">
        <v>34</v>
      </c>
      <c r="B42" s="541" t="s">
        <v>1373</v>
      </c>
      <c r="C42" s="538">
        <v>1</v>
      </c>
      <c r="D42" s="541" t="s">
        <v>1374</v>
      </c>
      <c r="E42" s="540" t="s">
        <v>1391</v>
      </c>
      <c r="F42" s="306">
        <v>34</v>
      </c>
      <c r="G42" s="306" t="s">
        <v>2</v>
      </c>
    </row>
    <row r="43" spans="1:7" x14ac:dyDescent="0.3">
      <c r="A43" s="307">
        <v>35</v>
      </c>
      <c r="B43" s="541" t="s">
        <v>1375</v>
      </c>
      <c r="C43" s="538">
        <v>1</v>
      </c>
      <c r="D43" s="541" t="s">
        <v>1376</v>
      </c>
      <c r="E43" s="541" t="s">
        <v>1392</v>
      </c>
      <c r="F43" s="306">
        <v>35</v>
      </c>
      <c r="G43" s="306" t="s">
        <v>3</v>
      </c>
    </row>
    <row r="44" spans="1:7" ht="30" customHeight="1" x14ac:dyDescent="0.3">
      <c r="A44" s="307">
        <v>36</v>
      </c>
      <c r="B44" s="541" t="s">
        <v>1329</v>
      </c>
      <c r="C44" s="538">
        <v>1</v>
      </c>
      <c r="D44" s="541" t="s">
        <v>1377</v>
      </c>
      <c r="E44" s="541" t="s">
        <v>1378</v>
      </c>
      <c r="F44" s="306">
        <v>36</v>
      </c>
      <c r="G44" s="306" t="s">
        <v>3</v>
      </c>
    </row>
    <row r="45" spans="1:7" ht="30" x14ac:dyDescent="0.3">
      <c r="A45" s="307">
        <v>37</v>
      </c>
      <c r="B45" s="541" t="s">
        <v>1379</v>
      </c>
      <c r="C45" s="538">
        <v>1</v>
      </c>
      <c r="D45" s="541" t="s">
        <v>1380</v>
      </c>
      <c r="E45" s="541" t="s">
        <v>1381</v>
      </c>
      <c r="F45" s="306">
        <v>37</v>
      </c>
      <c r="G45" s="306" t="s">
        <v>2</v>
      </c>
    </row>
    <row r="46" spans="1:7" ht="34.5" customHeight="1" x14ac:dyDescent="0.3">
      <c r="A46" s="307">
        <v>38</v>
      </c>
      <c r="B46" s="541" t="s">
        <v>1382</v>
      </c>
      <c r="C46" s="538">
        <v>1</v>
      </c>
      <c r="D46" s="541" t="s">
        <v>1383</v>
      </c>
      <c r="E46" s="541" t="s">
        <v>1384</v>
      </c>
      <c r="F46" s="306">
        <v>38</v>
      </c>
      <c r="G46" s="306" t="s">
        <v>2</v>
      </c>
    </row>
    <row r="47" spans="1:7" ht="30" x14ac:dyDescent="0.3">
      <c r="A47" s="307">
        <v>39</v>
      </c>
      <c r="B47" s="541" t="s">
        <v>1385</v>
      </c>
      <c r="C47" s="538">
        <v>1</v>
      </c>
      <c r="D47" s="541" t="s">
        <v>1386</v>
      </c>
      <c r="E47" s="541" t="s">
        <v>1387</v>
      </c>
      <c r="F47" s="306">
        <v>39</v>
      </c>
      <c r="G47" s="306" t="s">
        <v>3</v>
      </c>
    </row>
    <row r="48" spans="1:7" ht="30" x14ac:dyDescent="0.3">
      <c r="A48" s="307">
        <v>40</v>
      </c>
      <c r="B48" s="541" t="s">
        <v>1388</v>
      </c>
      <c r="C48" s="538">
        <v>1</v>
      </c>
      <c r="D48" s="541" t="s">
        <v>1389</v>
      </c>
      <c r="E48" s="541" t="s">
        <v>1390</v>
      </c>
      <c r="F48" s="306">
        <v>40</v>
      </c>
      <c r="G48" s="306" t="s">
        <v>2</v>
      </c>
    </row>
    <row r="50" spans="1:11" x14ac:dyDescent="0.3">
      <c r="A50" s="616"/>
      <c r="B50" s="616"/>
      <c r="C50" s="616"/>
      <c r="D50" s="616"/>
      <c r="E50" s="27" t="s">
        <v>1145</v>
      </c>
      <c r="F50" s="616"/>
      <c r="G50" s="616"/>
      <c r="H50" s="616"/>
      <c r="I50" s="616"/>
      <c r="J50" s="616"/>
      <c r="K50" s="616"/>
    </row>
    <row r="51" spans="1:11" x14ac:dyDescent="0.3">
      <c r="A51" s="616"/>
      <c r="B51"/>
      <c r="C51"/>
      <c r="D51" s="25"/>
      <c r="E51" s="27"/>
      <c r="G51" s="616"/>
      <c r="I51"/>
      <c r="J51" s="616"/>
      <c r="K51" s="616"/>
    </row>
    <row r="52" spans="1:11" x14ac:dyDescent="0.3">
      <c r="A52" s="616"/>
      <c r="B52" s="28" t="s">
        <v>33</v>
      </c>
      <c r="D52" s="25"/>
      <c r="E52"/>
      <c r="F52" s="616"/>
      <c r="G52" s="616"/>
      <c r="I52"/>
      <c r="J52" s="616"/>
      <c r="K52" s="616"/>
    </row>
    <row r="53" spans="1:11" x14ac:dyDescent="0.3">
      <c r="A53" s="616"/>
      <c r="B53" s="28" t="s">
        <v>1623</v>
      </c>
      <c r="D53" s="25"/>
      <c r="E53" s="28" t="s">
        <v>41</v>
      </c>
      <c r="F53" s="616"/>
      <c r="G53" s="616"/>
      <c r="I53"/>
      <c r="J53" s="616"/>
      <c r="K53" s="616"/>
    </row>
    <row r="54" spans="1:11" x14ac:dyDescent="0.3">
      <c r="A54" s="616"/>
      <c r="B54" s="28"/>
      <c r="D54" s="25"/>
      <c r="E54" s="28"/>
      <c r="F54" s="616"/>
      <c r="G54" s="616"/>
      <c r="I54"/>
      <c r="J54" s="616"/>
      <c r="K54" s="616"/>
    </row>
    <row r="55" spans="1:11" x14ac:dyDescent="0.3">
      <c r="A55" s="616"/>
      <c r="B55" s="28"/>
      <c r="D55" s="25"/>
      <c r="E55" s="28"/>
      <c r="F55" s="616"/>
      <c r="G55" s="616"/>
      <c r="I55"/>
      <c r="J55" s="616"/>
      <c r="K55" s="616"/>
    </row>
    <row r="56" spans="1:11" x14ac:dyDescent="0.3">
      <c r="A56" s="616"/>
      <c r="B56" s="28"/>
      <c r="D56" s="25"/>
      <c r="E56" s="28"/>
      <c r="F56" s="616"/>
      <c r="G56" s="616"/>
      <c r="I56"/>
      <c r="J56" s="616"/>
      <c r="K56" s="616"/>
    </row>
    <row r="57" spans="1:11" x14ac:dyDescent="0.3">
      <c r="A57" s="616"/>
      <c r="B57" s="34" t="s">
        <v>1622</v>
      </c>
      <c r="D57" s="25"/>
      <c r="E57" s="34" t="s">
        <v>1154</v>
      </c>
      <c r="F57" s="616"/>
      <c r="G57" s="616"/>
      <c r="I57"/>
      <c r="J57" s="616"/>
      <c r="K57" s="616"/>
    </row>
    <row r="58" spans="1:11" x14ac:dyDescent="0.3">
      <c r="A58" s="616"/>
      <c r="B58" s="28" t="s">
        <v>1683</v>
      </c>
      <c r="D58" s="25"/>
      <c r="E58" s="28" t="s">
        <v>1155</v>
      </c>
      <c r="F58" s="616"/>
      <c r="G58" s="616"/>
      <c r="I58"/>
      <c r="J58" s="616"/>
      <c r="K58" s="616"/>
    </row>
    <row r="59" spans="1:11" x14ac:dyDescent="0.3">
      <c r="A59" s="616"/>
      <c r="B59" s="28"/>
      <c r="D59" s="25"/>
      <c r="E59" s="27"/>
      <c r="F59" s="616"/>
      <c r="G59" s="616"/>
      <c r="I59"/>
      <c r="J59" s="616"/>
      <c r="K59" s="616"/>
    </row>
    <row r="60" spans="1:11" x14ac:dyDescent="0.3">
      <c r="A60" s="616"/>
      <c r="B60"/>
      <c r="D60" s="25"/>
      <c r="E60"/>
      <c r="F60" s="616"/>
      <c r="G60" s="616"/>
      <c r="I60"/>
      <c r="J60" s="616"/>
      <c r="K60" s="616"/>
    </row>
    <row r="61" spans="1:11" x14ac:dyDescent="0.3">
      <c r="A61" s="616"/>
      <c r="B61" s="28" t="s">
        <v>1624</v>
      </c>
      <c r="D61" s="25"/>
      <c r="E61" s="28" t="s">
        <v>1625</v>
      </c>
      <c r="F61" s="616"/>
      <c r="G61" s="616"/>
      <c r="I61"/>
      <c r="J61" s="616"/>
      <c r="K61" s="616"/>
    </row>
    <row r="62" spans="1:11" x14ac:dyDescent="0.3">
      <c r="A62" s="616"/>
      <c r="B62" s="28"/>
      <c r="D62" s="25"/>
      <c r="E62" s="28"/>
      <c r="F62" s="616"/>
      <c r="G62" s="616"/>
      <c r="I62"/>
      <c r="J62" s="616"/>
      <c r="K62" s="616"/>
    </row>
    <row r="63" spans="1:11" x14ac:dyDescent="0.3">
      <c r="A63" s="616"/>
      <c r="B63" s="28"/>
      <c r="D63" s="25"/>
      <c r="E63" s="28"/>
      <c r="F63" s="616"/>
      <c r="G63" s="616"/>
      <c r="I63"/>
      <c r="J63" s="616"/>
      <c r="K63" s="616"/>
    </row>
    <row r="64" spans="1:11" x14ac:dyDescent="0.3">
      <c r="A64" s="616"/>
      <c r="B64" s="28"/>
      <c r="D64" s="25"/>
      <c r="E64" s="28"/>
      <c r="F64" s="616"/>
      <c r="G64" s="616"/>
      <c r="I64"/>
      <c r="J64" s="616"/>
      <c r="K64" s="616"/>
    </row>
    <row r="65" spans="1:11" x14ac:dyDescent="0.3">
      <c r="A65" s="616"/>
      <c r="B65" s="34" t="s">
        <v>1156</v>
      </c>
      <c r="D65" s="25"/>
      <c r="E65" s="34" t="s">
        <v>1044</v>
      </c>
      <c r="F65" s="616"/>
      <c r="G65" s="616"/>
      <c r="I65"/>
      <c r="J65" s="616"/>
      <c r="K65" s="616"/>
    </row>
    <row r="66" spans="1:11" x14ac:dyDescent="0.3">
      <c r="A66" s="616"/>
      <c r="B66" s="34" t="s">
        <v>1620</v>
      </c>
      <c r="D66" s="25"/>
      <c r="E66" s="28" t="s">
        <v>1621</v>
      </c>
      <c r="F66" s="616"/>
      <c r="G66" s="616"/>
      <c r="I66"/>
      <c r="J66" s="616"/>
      <c r="K66" s="616"/>
    </row>
    <row r="67" spans="1:11" x14ac:dyDescent="0.3">
      <c r="A67" s="616"/>
      <c r="B67" s="616"/>
      <c r="C67" s="616"/>
      <c r="D67" s="616"/>
      <c r="E67" s="616"/>
      <c r="F67" s="616"/>
      <c r="G67" s="616"/>
      <c r="H67" s="616"/>
      <c r="I67" s="616"/>
      <c r="J67" s="616"/>
      <c r="K67" s="616"/>
    </row>
  </sheetData>
  <mergeCells count="3">
    <mergeCell ref="F1:G1"/>
    <mergeCell ref="F2:G2"/>
    <mergeCell ref="A3:G3"/>
  </mergeCells>
  <printOptions horizontalCentered="1"/>
  <pageMargins left="1.45" right="0.7" top="0.75" bottom="0.75" header="0.3" footer="0.3"/>
  <pageSetup paperSize="9" scale="42" fitToWidth="0"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0"/>
  </sheetPr>
  <dimension ref="A1:AE37"/>
  <sheetViews>
    <sheetView zoomScale="81" workbookViewId="0">
      <selection activeCell="E8" sqref="E8"/>
    </sheetView>
  </sheetViews>
  <sheetFormatPr defaultRowHeight="16.5" x14ac:dyDescent="0.3"/>
  <cols>
    <col min="1" max="1" width="3.85546875" style="15" customWidth="1"/>
    <col min="2" max="2" width="34.5703125" style="15" customWidth="1"/>
    <col min="3" max="3" width="44.140625" style="15" customWidth="1"/>
    <col min="4" max="4" width="15.140625" style="15" customWidth="1"/>
    <col min="5" max="5" width="49.140625" style="15" customWidth="1"/>
    <col min="6" max="6" width="28" style="15" customWidth="1"/>
    <col min="7" max="256" width="9.140625" style="15"/>
    <col min="257" max="257" width="3.85546875" style="15" customWidth="1"/>
    <col min="258" max="258" width="26.140625" style="15" customWidth="1"/>
    <col min="259" max="259" width="34.140625" style="15" customWidth="1"/>
    <col min="260" max="260" width="10.42578125" style="15" customWidth="1"/>
    <col min="261" max="261" width="42.5703125" style="15" customWidth="1"/>
    <col min="262" max="262" width="37.5703125" style="15" customWidth="1"/>
    <col min="263" max="512" width="9.140625" style="15"/>
    <col min="513" max="513" width="3.85546875" style="15" customWidth="1"/>
    <col min="514" max="514" width="26.140625" style="15" customWidth="1"/>
    <col min="515" max="515" width="34.140625" style="15" customWidth="1"/>
    <col min="516" max="516" width="10.42578125" style="15" customWidth="1"/>
    <col min="517" max="517" width="42.5703125" style="15" customWidth="1"/>
    <col min="518" max="518" width="37.5703125" style="15" customWidth="1"/>
    <col min="519" max="768" width="9.140625" style="15"/>
    <col min="769" max="769" width="3.85546875" style="15" customWidth="1"/>
    <col min="770" max="770" width="26.140625" style="15" customWidth="1"/>
    <col min="771" max="771" width="34.140625" style="15" customWidth="1"/>
    <col min="772" max="772" width="10.42578125" style="15" customWidth="1"/>
    <col min="773" max="773" width="42.5703125" style="15" customWidth="1"/>
    <col min="774" max="774" width="37.5703125" style="15" customWidth="1"/>
    <col min="775" max="1024" width="9.140625" style="15"/>
    <col min="1025" max="1025" width="3.85546875" style="15" customWidth="1"/>
    <col min="1026" max="1026" width="26.140625" style="15" customWidth="1"/>
    <col min="1027" max="1027" width="34.140625" style="15" customWidth="1"/>
    <col min="1028" max="1028" width="10.42578125" style="15" customWidth="1"/>
    <col min="1029" max="1029" width="42.5703125" style="15" customWidth="1"/>
    <col min="1030" max="1030" width="37.5703125" style="15" customWidth="1"/>
    <col min="1031" max="1280" width="9.140625" style="15"/>
    <col min="1281" max="1281" width="3.85546875" style="15" customWidth="1"/>
    <col min="1282" max="1282" width="26.140625" style="15" customWidth="1"/>
    <col min="1283" max="1283" width="34.140625" style="15" customWidth="1"/>
    <col min="1284" max="1284" width="10.42578125" style="15" customWidth="1"/>
    <col min="1285" max="1285" width="42.5703125" style="15" customWidth="1"/>
    <col min="1286" max="1286" width="37.5703125" style="15" customWidth="1"/>
    <col min="1287" max="1536" width="9.140625" style="15"/>
    <col min="1537" max="1537" width="3.85546875" style="15" customWidth="1"/>
    <col min="1538" max="1538" width="26.140625" style="15" customWidth="1"/>
    <col min="1539" max="1539" width="34.140625" style="15" customWidth="1"/>
    <col min="1540" max="1540" width="10.42578125" style="15" customWidth="1"/>
    <col min="1541" max="1541" width="42.5703125" style="15" customWidth="1"/>
    <col min="1542" max="1542" width="37.5703125" style="15" customWidth="1"/>
    <col min="1543" max="1792" width="9.140625" style="15"/>
    <col min="1793" max="1793" width="3.85546875" style="15" customWidth="1"/>
    <col min="1794" max="1794" width="26.140625" style="15" customWidth="1"/>
    <col min="1795" max="1795" width="34.140625" style="15" customWidth="1"/>
    <col min="1796" max="1796" width="10.42578125" style="15" customWidth="1"/>
    <col min="1797" max="1797" width="42.5703125" style="15" customWidth="1"/>
    <col min="1798" max="1798" width="37.5703125" style="15" customWidth="1"/>
    <col min="1799" max="2048" width="9.140625" style="15"/>
    <col min="2049" max="2049" width="3.85546875" style="15" customWidth="1"/>
    <col min="2050" max="2050" width="26.140625" style="15" customWidth="1"/>
    <col min="2051" max="2051" width="34.140625" style="15" customWidth="1"/>
    <col min="2052" max="2052" width="10.42578125" style="15" customWidth="1"/>
    <col min="2053" max="2053" width="42.5703125" style="15" customWidth="1"/>
    <col min="2054" max="2054" width="37.5703125" style="15" customWidth="1"/>
    <col min="2055" max="2304" width="9.140625" style="15"/>
    <col min="2305" max="2305" width="3.85546875" style="15" customWidth="1"/>
    <col min="2306" max="2306" width="26.140625" style="15" customWidth="1"/>
    <col min="2307" max="2307" width="34.140625" style="15" customWidth="1"/>
    <col min="2308" max="2308" width="10.42578125" style="15" customWidth="1"/>
    <col min="2309" max="2309" width="42.5703125" style="15" customWidth="1"/>
    <col min="2310" max="2310" width="37.5703125" style="15" customWidth="1"/>
    <col min="2311" max="2560" width="9.140625" style="15"/>
    <col min="2561" max="2561" width="3.85546875" style="15" customWidth="1"/>
    <col min="2562" max="2562" width="26.140625" style="15" customWidth="1"/>
    <col min="2563" max="2563" width="34.140625" style="15" customWidth="1"/>
    <col min="2564" max="2564" width="10.42578125" style="15" customWidth="1"/>
    <col min="2565" max="2565" width="42.5703125" style="15" customWidth="1"/>
    <col min="2566" max="2566" width="37.5703125" style="15" customWidth="1"/>
    <col min="2567" max="2816" width="9.140625" style="15"/>
    <col min="2817" max="2817" width="3.85546875" style="15" customWidth="1"/>
    <col min="2818" max="2818" width="26.140625" style="15" customWidth="1"/>
    <col min="2819" max="2819" width="34.140625" style="15" customWidth="1"/>
    <col min="2820" max="2820" width="10.42578125" style="15" customWidth="1"/>
    <col min="2821" max="2821" width="42.5703125" style="15" customWidth="1"/>
    <col min="2822" max="2822" width="37.5703125" style="15" customWidth="1"/>
    <col min="2823" max="3072" width="9.140625" style="15"/>
    <col min="3073" max="3073" width="3.85546875" style="15" customWidth="1"/>
    <col min="3074" max="3074" width="26.140625" style="15" customWidth="1"/>
    <col min="3075" max="3075" width="34.140625" style="15" customWidth="1"/>
    <col min="3076" max="3076" width="10.42578125" style="15" customWidth="1"/>
    <col min="3077" max="3077" width="42.5703125" style="15" customWidth="1"/>
    <col min="3078" max="3078" width="37.5703125" style="15" customWidth="1"/>
    <col min="3079" max="3328" width="9.140625" style="15"/>
    <col min="3329" max="3329" width="3.85546875" style="15" customWidth="1"/>
    <col min="3330" max="3330" width="26.140625" style="15" customWidth="1"/>
    <col min="3331" max="3331" width="34.140625" style="15" customWidth="1"/>
    <col min="3332" max="3332" width="10.42578125" style="15" customWidth="1"/>
    <col min="3333" max="3333" width="42.5703125" style="15" customWidth="1"/>
    <col min="3334" max="3334" width="37.5703125" style="15" customWidth="1"/>
    <col min="3335" max="3584" width="9.140625" style="15"/>
    <col min="3585" max="3585" width="3.85546875" style="15" customWidth="1"/>
    <col min="3586" max="3586" width="26.140625" style="15" customWidth="1"/>
    <col min="3587" max="3587" width="34.140625" style="15" customWidth="1"/>
    <col min="3588" max="3588" width="10.42578125" style="15" customWidth="1"/>
    <col min="3589" max="3589" width="42.5703125" style="15" customWidth="1"/>
    <col min="3590" max="3590" width="37.5703125" style="15" customWidth="1"/>
    <col min="3591" max="3840" width="9.140625" style="15"/>
    <col min="3841" max="3841" width="3.85546875" style="15" customWidth="1"/>
    <col min="3842" max="3842" width="26.140625" style="15" customWidth="1"/>
    <col min="3843" max="3843" width="34.140625" style="15" customWidth="1"/>
    <col min="3844" max="3844" width="10.42578125" style="15" customWidth="1"/>
    <col min="3845" max="3845" width="42.5703125" style="15" customWidth="1"/>
    <col min="3846" max="3846" width="37.5703125" style="15" customWidth="1"/>
    <col min="3847" max="4096" width="9.140625" style="15"/>
    <col min="4097" max="4097" width="3.85546875" style="15" customWidth="1"/>
    <col min="4098" max="4098" width="26.140625" style="15" customWidth="1"/>
    <col min="4099" max="4099" width="34.140625" style="15" customWidth="1"/>
    <col min="4100" max="4100" width="10.42578125" style="15" customWidth="1"/>
    <col min="4101" max="4101" width="42.5703125" style="15" customWidth="1"/>
    <col min="4102" max="4102" width="37.5703125" style="15" customWidth="1"/>
    <col min="4103" max="4352" width="9.140625" style="15"/>
    <col min="4353" max="4353" width="3.85546875" style="15" customWidth="1"/>
    <col min="4354" max="4354" width="26.140625" style="15" customWidth="1"/>
    <col min="4355" max="4355" width="34.140625" style="15" customWidth="1"/>
    <col min="4356" max="4356" width="10.42578125" style="15" customWidth="1"/>
    <col min="4357" max="4357" width="42.5703125" style="15" customWidth="1"/>
    <col min="4358" max="4358" width="37.5703125" style="15" customWidth="1"/>
    <col min="4359" max="4608" width="9.140625" style="15"/>
    <col min="4609" max="4609" width="3.85546875" style="15" customWidth="1"/>
    <col min="4610" max="4610" width="26.140625" style="15" customWidth="1"/>
    <col min="4611" max="4611" width="34.140625" style="15" customWidth="1"/>
    <col min="4612" max="4612" width="10.42578125" style="15" customWidth="1"/>
    <col min="4613" max="4613" width="42.5703125" style="15" customWidth="1"/>
    <col min="4614" max="4614" width="37.5703125" style="15" customWidth="1"/>
    <col min="4615" max="4864" width="9.140625" style="15"/>
    <col min="4865" max="4865" width="3.85546875" style="15" customWidth="1"/>
    <col min="4866" max="4866" width="26.140625" style="15" customWidth="1"/>
    <col min="4867" max="4867" width="34.140625" style="15" customWidth="1"/>
    <col min="4868" max="4868" width="10.42578125" style="15" customWidth="1"/>
    <col min="4869" max="4869" width="42.5703125" style="15" customWidth="1"/>
    <col min="4870" max="4870" width="37.5703125" style="15" customWidth="1"/>
    <col min="4871" max="5120" width="9.140625" style="15"/>
    <col min="5121" max="5121" width="3.85546875" style="15" customWidth="1"/>
    <col min="5122" max="5122" width="26.140625" style="15" customWidth="1"/>
    <col min="5123" max="5123" width="34.140625" style="15" customWidth="1"/>
    <col min="5124" max="5124" width="10.42578125" style="15" customWidth="1"/>
    <col min="5125" max="5125" width="42.5703125" style="15" customWidth="1"/>
    <col min="5126" max="5126" width="37.5703125" style="15" customWidth="1"/>
    <col min="5127" max="5376" width="9.140625" style="15"/>
    <col min="5377" max="5377" width="3.85546875" style="15" customWidth="1"/>
    <col min="5378" max="5378" width="26.140625" style="15" customWidth="1"/>
    <col min="5379" max="5379" width="34.140625" style="15" customWidth="1"/>
    <col min="5380" max="5380" width="10.42578125" style="15" customWidth="1"/>
    <col min="5381" max="5381" width="42.5703125" style="15" customWidth="1"/>
    <col min="5382" max="5382" width="37.5703125" style="15" customWidth="1"/>
    <col min="5383" max="5632" width="9.140625" style="15"/>
    <col min="5633" max="5633" width="3.85546875" style="15" customWidth="1"/>
    <col min="5634" max="5634" width="26.140625" style="15" customWidth="1"/>
    <col min="5635" max="5635" width="34.140625" style="15" customWidth="1"/>
    <col min="5636" max="5636" width="10.42578125" style="15" customWidth="1"/>
    <col min="5637" max="5637" width="42.5703125" style="15" customWidth="1"/>
    <col min="5638" max="5638" width="37.5703125" style="15" customWidth="1"/>
    <col min="5639" max="5888" width="9.140625" style="15"/>
    <col min="5889" max="5889" width="3.85546875" style="15" customWidth="1"/>
    <col min="5890" max="5890" width="26.140625" style="15" customWidth="1"/>
    <col min="5891" max="5891" width="34.140625" style="15" customWidth="1"/>
    <col min="5892" max="5892" width="10.42578125" style="15" customWidth="1"/>
    <col min="5893" max="5893" width="42.5703125" style="15" customWidth="1"/>
    <col min="5894" max="5894" width="37.5703125" style="15" customWidth="1"/>
    <col min="5895" max="6144" width="9.140625" style="15"/>
    <col min="6145" max="6145" width="3.85546875" style="15" customWidth="1"/>
    <col min="6146" max="6146" width="26.140625" style="15" customWidth="1"/>
    <col min="6147" max="6147" width="34.140625" style="15" customWidth="1"/>
    <col min="6148" max="6148" width="10.42578125" style="15" customWidth="1"/>
    <col min="6149" max="6149" width="42.5703125" style="15" customWidth="1"/>
    <col min="6150" max="6150" width="37.5703125" style="15" customWidth="1"/>
    <col min="6151" max="6400" width="9.140625" style="15"/>
    <col min="6401" max="6401" width="3.85546875" style="15" customWidth="1"/>
    <col min="6402" max="6402" width="26.140625" style="15" customWidth="1"/>
    <col min="6403" max="6403" width="34.140625" style="15" customWidth="1"/>
    <col min="6404" max="6404" width="10.42578125" style="15" customWidth="1"/>
    <col min="6405" max="6405" width="42.5703125" style="15" customWidth="1"/>
    <col min="6406" max="6406" width="37.5703125" style="15" customWidth="1"/>
    <col min="6407" max="6656" width="9.140625" style="15"/>
    <col min="6657" max="6657" width="3.85546875" style="15" customWidth="1"/>
    <col min="6658" max="6658" width="26.140625" style="15" customWidth="1"/>
    <col min="6659" max="6659" width="34.140625" style="15" customWidth="1"/>
    <col min="6660" max="6660" width="10.42578125" style="15" customWidth="1"/>
    <col min="6661" max="6661" width="42.5703125" style="15" customWidth="1"/>
    <col min="6662" max="6662" width="37.5703125" style="15" customWidth="1"/>
    <col min="6663" max="6912" width="9.140625" style="15"/>
    <col min="6913" max="6913" width="3.85546875" style="15" customWidth="1"/>
    <col min="6914" max="6914" width="26.140625" style="15" customWidth="1"/>
    <col min="6915" max="6915" width="34.140625" style="15" customWidth="1"/>
    <col min="6916" max="6916" width="10.42578125" style="15" customWidth="1"/>
    <col min="6917" max="6917" width="42.5703125" style="15" customWidth="1"/>
    <col min="6918" max="6918" width="37.5703125" style="15" customWidth="1"/>
    <col min="6919" max="7168" width="9.140625" style="15"/>
    <col min="7169" max="7169" width="3.85546875" style="15" customWidth="1"/>
    <col min="7170" max="7170" width="26.140625" style="15" customWidth="1"/>
    <col min="7171" max="7171" width="34.140625" style="15" customWidth="1"/>
    <col min="7172" max="7172" width="10.42578125" style="15" customWidth="1"/>
    <col min="7173" max="7173" width="42.5703125" style="15" customWidth="1"/>
    <col min="7174" max="7174" width="37.5703125" style="15" customWidth="1"/>
    <col min="7175" max="7424" width="9.140625" style="15"/>
    <col min="7425" max="7425" width="3.85546875" style="15" customWidth="1"/>
    <col min="7426" max="7426" width="26.140625" style="15" customWidth="1"/>
    <col min="7427" max="7427" width="34.140625" style="15" customWidth="1"/>
    <col min="7428" max="7428" width="10.42578125" style="15" customWidth="1"/>
    <col min="7429" max="7429" width="42.5703125" style="15" customWidth="1"/>
    <col min="7430" max="7430" width="37.5703125" style="15" customWidth="1"/>
    <col min="7431" max="7680" width="9.140625" style="15"/>
    <col min="7681" max="7681" width="3.85546875" style="15" customWidth="1"/>
    <col min="7682" max="7682" width="26.140625" style="15" customWidth="1"/>
    <col min="7683" max="7683" width="34.140625" style="15" customWidth="1"/>
    <col min="7684" max="7684" width="10.42578125" style="15" customWidth="1"/>
    <col min="7685" max="7685" width="42.5703125" style="15" customWidth="1"/>
    <col min="7686" max="7686" width="37.5703125" style="15" customWidth="1"/>
    <col min="7687" max="7936" width="9.140625" style="15"/>
    <col min="7937" max="7937" width="3.85546875" style="15" customWidth="1"/>
    <col min="7938" max="7938" width="26.140625" style="15" customWidth="1"/>
    <col min="7939" max="7939" width="34.140625" style="15" customWidth="1"/>
    <col min="7940" max="7940" width="10.42578125" style="15" customWidth="1"/>
    <col min="7941" max="7941" width="42.5703125" style="15" customWidth="1"/>
    <col min="7942" max="7942" width="37.5703125" style="15" customWidth="1"/>
    <col min="7943" max="8192" width="9.140625" style="15"/>
    <col min="8193" max="8193" width="3.85546875" style="15" customWidth="1"/>
    <col min="8194" max="8194" width="26.140625" style="15" customWidth="1"/>
    <col min="8195" max="8195" width="34.140625" style="15" customWidth="1"/>
    <col min="8196" max="8196" width="10.42578125" style="15" customWidth="1"/>
    <col min="8197" max="8197" width="42.5703125" style="15" customWidth="1"/>
    <col min="8198" max="8198" width="37.5703125" style="15" customWidth="1"/>
    <col min="8199" max="8448" width="9.140625" style="15"/>
    <col min="8449" max="8449" width="3.85546875" style="15" customWidth="1"/>
    <col min="8450" max="8450" width="26.140625" style="15" customWidth="1"/>
    <col min="8451" max="8451" width="34.140625" style="15" customWidth="1"/>
    <col min="8452" max="8452" width="10.42578125" style="15" customWidth="1"/>
    <col min="8453" max="8453" width="42.5703125" style="15" customWidth="1"/>
    <col min="8454" max="8454" width="37.5703125" style="15" customWidth="1"/>
    <col min="8455" max="8704" width="9.140625" style="15"/>
    <col min="8705" max="8705" width="3.85546875" style="15" customWidth="1"/>
    <col min="8706" max="8706" width="26.140625" style="15" customWidth="1"/>
    <col min="8707" max="8707" width="34.140625" style="15" customWidth="1"/>
    <col min="8708" max="8708" width="10.42578125" style="15" customWidth="1"/>
    <col min="8709" max="8709" width="42.5703125" style="15" customWidth="1"/>
    <col min="8710" max="8710" width="37.5703125" style="15" customWidth="1"/>
    <col min="8711" max="8960" width="9.140625" style="15"/>
    <col min="8961" max="8961" width="3.85546875" style="15" customWidth="1"/>
    <col min="8962" max="8962" width="26.140625" style="15" customWidth="1"/>
    <col min="8963" max="8963" width="34.140625" style="15" customWidth="1"/>
    <col min="8964" max="8964" width="10.42578125" style="15" customWidth="1"/>
    <col min="8965" max="8965" width="42.5703125" style="15" customWidth="1"/>
    <col min="8966" max="8966" width="37.5703125" style="15" customWidth="1"/>
    <col min="8967" max="9216" width="9.140625" style="15"/>
    <col min="9217" max="9217" width="3.85546875" style="15" customWidth="1"/>
    <col min="9218" max="9218" width="26.140625" style="15" customWidth="1"/>
    <col min="9219" max="9219" width="34.140625" style="15" customWidth="1"/>
    <col min="9220" max="9220" width="10.42578125" style="15" customWidth="1"/>
    <col min="9221" max="9221" width="42.5703125" style="15" customWidth="1"/>
    <col min="9222" max="9222" width="37.5703125" style="15" customWidth="1"/>
    <col min="9223" max="9472" width="9.140625" style="15"/>
    <col min="9473" max="9473" width="3.85546875" style="15" customWidth="1"/>
    <col min="9474" max="9474" width="26.140625" style="15" customWidth="1"/>
    <col min="9475" max="9475" width="34.140625" style="15" customWidth="1"/>
    <col min="9476" max="9476" width="10.42578125" style="15" customWidth="1"/>
    <col min="9477" max="9477" width="42.5703125" style="15" customWidth="1"/>
    <col min="9478" max="9478" width="37.5703125" style="15" customWidth="1"/>
    <col min="9479" max="9728" width="9.140625" style="15"/>
    <col min="9729" max="9729" width="3.85546875" style="15" customWidth="1"/>
    <col min="9730" max="9730" width="26.140625" style="15" customWidth="1"/>
    <col min="9731" max="9731" width="34.140625" style="15" customWidth="1"/>
    <col min="9732" max="9732" width="10.42578125" style="15" customWidth="1"/>
    <col min="9733" max="9733" width="42.5703125" style="15" customWidth="1"/>
    <col min="9734" max="9734" width="37.5703125" style="15" customWidth="1"/>
    <col min="9735" max="9984" width="9.140625" style="15"/>
    <col min="9985" max="9985" width="3.85546875" style="15" customWidth="1"/>
    <col min="9986" max="9986" width="26.140625" style="15" customWidth="1"/>
    <col min="9987" max="9987" width="34.140625" style="15" customWidth="1"/>
    <col min="9988" max="9988" width="10.42578125" style="15" customWidth="1"/>
    <col min="9989" max="9989" width="42.5703125" style="15" customWidth="1"/>
    <col min="9990" max="9990" width="37.5703125" style="15" customWidth="1"/>
    <col min="9991" max="10240" width="9.140625" style="15"/>
    <col min="10241" max="10241" width="3.85546875" style="15" customWidth="1"/>
    <col min="10242" max="10242" width="26.140625" style="15" customWidth="1"/>
    <col min="10243" max="10243" width="34.140625" style="15" customWidth="1"/>
    <col min="10244" max="10244" width="10.42578125" style="15" customWidth="1"/>
    <col min="10245" max="10245" width="42.5703125" style="15" customWidth="1"/>
    <col min="10246" max="10246" width="37.5703125" style="15" customWidth="1"/>
    <col min="10247" max="10496" width="9.140625" style="15"/>
    <col min="10497" max="10497" width="3.85546875" style="15" customWidth="1"/>
    <col min="10498" max="10498" width="26.140625" style="15" customWidth="1"/>
    <col min="10499" max="10499" width="34.140625" style="15" customWidth="1"/>
    <col min="10500" max="10500" width="10.42578125" style="15" customWidth="1"/>
    <col min="10501" max="10501" width="42.5703125" style="15" customWidth="1"/>
    <col min="10502" max="10502" width="37.5703125" style="15" customWidth="1"/>
    <col min="10503" max="10752" width="9.140625" style="15"/>
    <col min="10753" max="10753" width="3.85546875" style="15" customWidth="1"/>
    <col min="10754" max="10754" width="26.140625" style="15" customWidth="1"/>
    <col min="10755" max="10755" width="34.140625" style="15" customWidth="1"/>
    <col min="10756" max="10756" width="10.42578125" style="15" customWidth="1"/>
    <col min="10757" max="10757" width="42.5703125" style="15" customWidth="1"/>
    <col min="10758" max="10758" width="37.5703125" style="15" customWidth="1"/>
    <col min="10759" max="11008" width="9.140625" style="15"/>
    <col min="11009" max="11009" width="3.85546875" style="15" customWidth="1"/>
    <col min="11010" max="11010" width="26.140625" style="15" customWidth="1"/>
    <col min="11011" max="11011" width="34.140625" style="15" customWidth="1"/>
    <col min="11012" max="11012" width="10.42578125" style="15" customWidth="1"/>
    <col min="11013" max="11013" width="42.5703125" style="15" customWidth="1"/>
    <col min="11014" max="11014" width="37.5703125" style="15" customWidth="1"/>
    <col min="11015" max="11264" width="9.140625" style="15"/>
    <col min="11265" max="11265" width="3.85546875" style="15" customWidth="1"/>
    <col min="11266" max="11266" width="26.140625" style="15" customWidth="1"/>
    <col min="11267" max="11267" width="34.140625" style="15" customWidth="1"/>
    <col min="11268" max="11268" width="10.42578125" style="15" customWidth="1"/>
    <col min="11269" max="11269" width="42.5703125" style="15" customWidth="1"/>
    <col min="11270" max="11270" width="37.5703125" style="15" customWidth="1"/>
    <col min="11271" max="11520" width="9.140625" style="15"/>
    <col min="11521" max="11521" width="3.85546875" style="15" customWidth="1"/>
    <col min="11522" max="11522" width="26.140625" style="15" customWidth="1"/>
    <col min="11523" max="11523" width="34.140625" style="15" customWidth="1"/>
    <col min="11524" max="11524" width="10.42578125" style="15" customWidth="1"/>
    <col min="11525" max="11525" width="42.5703125" style="15" customWidth="1"/>
    <col min="11526" max="11526" width="37.5703125" style="15" customWidth="1"/>
    <col min="11527" max="11776" width="9.140625" style="15"/>
    <col min="11777" max="11777" width="3.85546875" style="15" customWidth="1"/>
    <col min="11778" max="11778" width="26.140625" style="15" customWidth="1"/>
    <col min="11779" max="11779" width="34.140625" style="15" customWidth="1"/>
    <col min="11780" max="11780" width="10.42578125" style="15" customWidth="1"/>
    <col min="11781" max="11781" width="42.5703125" style="15" customWidth="1"/>
    <col min="11782" max="11782" width="37.5703125" style="15" customWidth="1"/>
    <col min="11783" max="12032" width="9.140625" style="15"/>
    <col min="12033" max="12033" width="3.85546875" style="15" customWidth="1"/>
    <col min="12034" max="12034" width="26.140625" style="15" customWidth="1"/>
    <col min="12035" max="12035" width="34.140625" style="15" customWidth="1"/>
    <col min="12036" max="12036" width="10.42578125" style="15" customWidth="1"/>
    <col min="12037" max="12037" width="42.5703125" style="15" customWidth="1"/>
    <col min="12038" max="12038" width="37.5703125" style="15" customWidth="1"/>
    <col min="12039" max="12288" width="9.140625" style="15"/>
    <col min="12289" max="12289" width="3.85546875" style="15" customWidth="1"/>
    <col min="12290" max="12290" width="26.140625" style="15" customWidth="1"/>
    <col min="12291" max="12291" width="34.140625" style="15" customWidth="1"/>
    <col min="12292" max="12292" width="10.42578125" style="15" customWidth="1"/>
    <col min="12293" max="12293" width="42.5703125" style="15" customWidth="1"/>
    <col min="12294" max="12294" width="37.5703125" style="15" customWidth="1"/>
    <col min="12295" max="12544" width="9.140625" style="15"/>
    <col min="12545" max="12545" width="3.85546875" style="15" customWidth="1"/>
    <col min="12546" max="12546" width="26.140625" style="15" customWidth="1"/>
    <col min="12547" max="12547" width="34.140625" style="15" customWidth="1"/>
    <col min="12548" max="12548" width="10.42578125" style="15" customWidth="1"/>
    <col min="12549" max="12549" width="42.5703125" style="15" customWidth="1"/>
    <col min="12550" max="12550" width="37.5703125" style="15" customWidth="1"/>
    <col min="12551" max="12800" width="9.140625" style="15"/>
    <col min="12801" max="12801" width="3.85546875" style="15" customWidth="1"/>
    <col min="12802" max="12802" width="26.140625" style="15" customWidth="1"/>
    <col min="12803" max="12803" width="34.140625" style="15" customWidth="1"/>
    <col min="12804" max="12804" width="10.42578125" style="15" customWidth="1"/>
    <col min="12805" max="12805" width="42.5703125" style="15" customWidth="1"/>
    <col min="12806" max="12806" width="37.5703125" style="15" customWidth="1"/>
    <col min="12807" max="13056" width="9.140625" style="15"/>
    <col min="13057" max="13057" width="3.85546875" style="15" customWidth="1"/>
    <col min="13058" max="13058" width="26.140625" style="15" customWidth="1"/>
    <col min="13059" max="13059" width="34.140625" style="15" customWidth="1"/>
    <col min="13060" max="13060" width="10.42578125" style="15" customWidth="1"/>
    <col min="13061" max="13061" width="42.5703125" style="15" customWidth="1"/>
    <col min="13062" max="13062" width="37.5703125" style="15" customWidth="1"/>
    <col min="13063" max="13312" width="9.140625" style="15"/>
    <col min="13313" max="13313" width="3.85546875" style="15" customWidth="1"/>
    <col min="13314" max="13314" width="26.140625" style="15" customWidth="1"/>
    <col min="13315" max="13315" width="34.140625" style="15" customWidth="1"/>
    <col min="13316" max="13316" width="10.42578125" style="15" customWidth="1"/>
    <col min="13317" max="13317" width="42.5703125" style="15" customWidth="1"/>
    <col min="13318" max="13318" width="37.5703125" style="15" customWidth="1"/>
    <col min="13319" max="13568" width="9.140625" style="15"/>
    <col min="13569" max="13569" width="3.85546875" style="15" customWidth="1"/>
    <col min="13570" max="13570" width="26.140625" style="15" customWidth="1"/>
    <col min="13571" max="13571" width="34.140625" style="15" customWidth="1"/>
    <col min="13572" max="13572" width="10.42578125" style="15" customWidth="1"/>
    <col min="13573" max="13573" width="42.5703125" style="15" customWidth="1"/>
    <col min="13574" max="13574" width="37.5703125" style="15" customWidth="1"/>
    <col min="13575" max="13824" width="9.140625" style="15"/>
    <col min="13825" max="13825" width="3.85546875" style="15" customWidth="1"/>
    <col min="13826" max="13826" width="26.140625" style="15" customWidth="1"/>
    <col min="13827" max="13827" width="34.140625" style="15" customWidth="1"/>
    <col min="13828" max="13828" width="10.42578125" style="15" customWidth="1"/>
    <col min="13829" max="13829" width="42.5703125" style="15" customWidth="1"/>
    <col min="13830" max="13830" width="37.5703125" style="15" customWidth="1"/>
    <col min="13831" max="14080" width="9.140625" style="15"/>
    <col min="14081" max="14081" width="3.85546875" style="15" customWidth="1"/>
    <col min="14082" max="14082" width="26.140625" style="15" customWidth="1"/>
    <col min="14083" max="14083" width="34.140625" style="15" customWidth="1"/>
    <col min="14084" max="14084" width="10.42578125" style="15" customWidth="1"/>
    <col min="14085" max="14085" width="42.5703125" style="15" customWidth="1"/>
    <col min="14086" max="14086" width="37.5703125" style="15" customWidth="1"/>
    <col min="14087" max="14336" width="9.140625" style="15"/>
    <col min="14337" max="14337" width="3.85546875" style="15" customWidth="1"/>
    <col min="14338" max="14338" width="26.140625" style="15" customWidth="1"/>
    <col min="14339" max="14339" width="34.140625" style="15" customWidth="1"/>
    <col min="14340" max="14340" width="10.42578125" style="15" customWidth="1"/>
    <col min="14341" max="14341" width="42.5703125" style="15" customWidth="1"/>
    <col min="14342" max="14342" width="37.5703125" style="15" customWidth="1"/>
    <col min="14343" max="14592" width="9.140625" style="15"/>
    <col min="14593" max="14593" width="3.85546875" style="15" customWidth="1"/>
    <col min="14594" max="14594" width="26.140625" style="15" customWidth="1"/>
    <col min="14595" max="14595" width="34.140625" style="15" customWidth="1"/>
    <col min="14596" max="14596" width="10.42578125" style="15" customWidth="1"/>
    <col min="14597" max="14597" width="42.5703125" style="15" customWidth="1"/>
    <col min="14598" max="14598" width="37.5703125" style="15" customWidth="1"/>
    <col min="14599" max="14848" width="9.140625" style="15"/>
    <col min="14849" max="14849" width="3.85546875" style="15" customWidth="1"/>
    <col min="14850" max="14850" width="26.140625" style="15" customWidth="1"/>
    <col min="14851" max="14851" width="34.140625" style="15" customWidth="1"/>
    <col min="14852" max="14852" width="10.42578125" style="15" customWidth="1"/>
    <col min="14853" max="14853" width="42.5703125" style="15" customWidth="1"/>
    <col min="14854" max="14854" width="37.5703125" style="15" customWidth="1"/>
    <col min="14855" max="15104" width="9.140625" style="15"/>
    <col min="15105" max="15105" width="3.85546875" style="15" customWidth="1"/>
    <col min="15106" max="15106" width="26.140625" style="15" customWidth="1"/>
    <col min="15107" max="15107" width="34.140625" style="15" customWidth="1"/>
    <col min="15108" max="15108" width="10.42578125" style="15" customWidth="1"/>
    <col min="15109" max="15109" width="42.5703125" style="15" customWidth="1"/>
    <col min="15110" max="15110" width="37.5703125" style="15" customWidth="1"/>
    <col min="15111" max="15360" width="9.140625" style="15"/>
    <col min="15361" max="15361" width="3.85546875" style="15" customWidth="1"/>
    <col min="15362" max="15362" width="26.140625" style="15" customWidth="1"/>
    <col min="15363" max="15363" width="34.140625" style="15" customWidth="1"/>
    <col min="15364" max="15364" width="10.42578125" style="15" customWidth="1"/>
    <col min="15365" max="15365" width="42.5703125" style="15" customWidth="1"/>
    <col min="15366" max="15366" width="37.5703125" style="15" customWidth="1"/>
    <col min="15367" max="15616" width="9.140625" style="15"/>
    <col min="15617" max="15617" width="3.85546875" style="15" customWidth="1"/>
    <col min="15618" max="15618" width="26.140625" style="15" customWidth="1"/>
    <col min="15619" max="15619" width="34.140625" style="15" customWidth="1"/>
    <col min="15620" max="15620" width="10.42578125" style="15" customWidth="1"/>
    <col min="15621" max="15621" width="42.5703125" style="15" customWidth="1"/>
    <col min="15622" max="15622" width="37.5703125" style="15" customWidth="1"/>
    <col min="15623" max="15872" width="9.140625" style="15"/>
    <col min="15873" max="15873" width="3.85546875" style="15" customWidth="1"/>
    <col min="15874" max="15874" width="26.140625" style="15" customWidth="1"/>
    <col min="15875" max="15875" width="34.140625" style="15" customWidth="1"/>
    <col min="15876" max="15876" width="10.42578125" style="15" customWidth="1"/>
    <col min="15877" max="15877" width="42.5703125" style="15" customWidth="1"/>
    <col min="15878" max="15878" width="37.5703125" style="15" customWidth="1"/>
    <col min="15879" max="16128" width="9.140625" style="15"/>
    <col min="16129" max="16129" width="3.85546875" style="15" customWidth="1"/>
    <col min="16130" max="16130" width="26.140625" style="15" customWidth="1"/>
    <col min="16131" max="16131" width="34.140625" style="15" customWidth="1"/>
    <col min="16132" max="16132" width="10.42578125" style="15" customWidth="1"/>
    <col min="16133" max="16133" width="42.5703125" style="15" customWidth="1"/>
    <col min="16134" max="16134" width="37.5703125" style="15" customWidth="1"/>
    <col min="16135" max="16384" width="9.140625" style="15"/>
  </cols>
  <sheetData>
    <row r="1" spans="1:8" ht="12" customHeight="1" x14ac:dyDescent="0.3">
      <c r="A1" s="39"/>
      <c r="B1" s="39"/>
      <c r="C1" s="39"/>
      <c r="D1" s="39"/>
      <c r="E1" s="39"/>
      <c r="F1" s="40" t="s">
        <v>686</v>
      </c>
      <c r="G1" s="39"/>
    </row>
    <row r="2" spans="1:8" ht="12" customHeight="1" x14ac:dyDescent="0.3">
      <c r="A2" s="39"/>
      <c r="B2" s="39"/>
      <c r="C2" s="39"/>
      <c r="D2" s="39"/>
      <c r="E2" s="39"/>
      <c r="F2" s="10">
        <v>45674</v>
      </c>
      <c r="G2" s="237"/>
      <c r="H2" s="238"/>
    </row>
    <row r="3" spans="1:8" x14ac:dyDescent="0.3">
      <c r="A3" s="1142" t="s">
        <v>275</v>
      </c>
      <c r="B3" s="1142"/>
      <c r="C3" s="1142"/>
      <c r="D3" s="1142"/>
      <c r="E3" s="1142"/>
      <c r="F3" s="1142"/>
      <c r="G3" s="42"/>
    </row>
    <row r="4" spans="1:8" ht="12" customHeight="1" x14ac:dyDescent="0.3">
      <c r="A4" s="42"/>
      <c r="B4" s="42"/>
      <c r="C4" s="42"/>
      <c r="D4" s="42"/>
      <c r="E4" s="42"/>
      <c r="F4" s="42"/>
      <c r="G4" s="42"/>
    </row>
    <row r="5" spans="1:8" x14ac:dyDescent="0.3">
      <c r="A5" s="41" t="s">
        <v>760</v>
      </c>
      <c r="B5" s="42"/>
      <c r="C5" s="198"/>
      <c r="D5" s="42" t="s">
        <v>1149</v>
      </c>
      <c r="E5" s="42"/>
      <c r="F5" s="42" t="s">
        <v>1053</v>
      </c>
      <c r="G5" s="42"/>
      <c r="H5" s="16"/>
    </row>
    <row r="6" spans="1:8" ht="12" customHeight="1" x14ac:dyDescent="0.3">
      <c r="A6" s="42"/>
      <c r="B6" s="42"/>
      <c r="C6" s="42"/>
      <c r="D6" s="42"/>
      <c r="E6" s="42"/>
      <c r="F6" s="42"/>
      <c r="G6" s="42"/>
    </row>
    <row r="7" spans="1:8" s="17" customFormat="1" ht="28.5" customHeight="1" thickBot="1" x14ac:dyDescent="0.35">
      <c r="A7" s="199" t="s">
        <v>0</v>
      </c>
      <c r="B7" s="199" t="s">
        <v>276</v>
      </c>
      <c r="C7" s="199" t="s">
        <v>277</v>
      </c>
      <c r="D7" s="199" t="s">
        <v>278</v>
      </c>
      <c r="E7" s="199" t="s">
        <v>279</v>
      </c>
      <c r="F7" s="199" t="s">
        <v>306</v>
      </c>
      <c r="G7" s="198"/>
    </row>
    <row r="8" spans="1:8" ht="20.100000000000001" customHeight="1" thickTop="1" x14ac:dyDescent="0.3">
      <c r="A8" s="43"/>
      <c r="B8" s="43"/>
      <c r="C8" s="43"/>
      <c r="D8" s="43"/>
      <c r="E8" s="43"/>
      <c r="F8" s="43"/>
      <c r="G8" s="39"/>
    </row>
    <row r="9" spans="1:8" ht="20.100000000000001" customHeight="1" x14ac:dyDescent="0.3">
      <c r="A9" s="44"/>
      <c r="B9" s="44"/>
      <c r="C9" s="44"/>
      <c r="D9" s="44"/>
      <c r="E9" s="44"/>
      <c r="F9" s="44"/>
      <c r="G9" s="39"/>
    </row>
    <row r="10" spans="1:8" ht="20.100000000000001" customHeight="1" x14ac:dyDescent="0.3">
      <c r="A10" s="44"/>
      <c r="B10" s="44"/>
      <c r="C10" s="44"/>
      <c r="D10" s="44"/>
      <c r="E10" s="44"/>
      <c r="F10" s="44"/>
      <c r="G10" s="39"/>
    </row>
    <row r="11" spans="1:8" ht="20.100000000000001" customHeight="1" x14ac:dyDescent="0.3">
      <c r="A11" s="44"/>
      <c r="B11" s="44"/>
      <c r="C11" s="44"/>
      <c r="D11" s="44"/>
      <c r="E11" s="44"/>
      <c r="F11" s="44"/>
      <c r="G11" s="39"/>
    </row>
    <row r="12" spans="1:8" ht="20.100000000000001" customHeight="1" x14ac:dyDescent="0.3">
      <c r="A12" s="44"/>
      <c r="B12" s="44"/>
      <c r="C12" s="44"/>
      <c r="D12" s="44"/>
      <c r="E12" s="44"/>
      <c r="F12" s="44"/>
      <c r="G12" s="39"/>
    </row>
    <row r="13" spans="1:8" ht="20.100000000000001" customHeight="1" x14ac:dyDescent="0.3">
      <c r="A13" s="44"/>
      <c r="B13" s="44"/>
      <c r="C13" s="44"/>
      <c r="D13" s="44"/>
      <c r="E13" s="44"/>
      <c r="F13" s="44"/>
      <c r="G13" s="39"/>
    </row>
    <row r="14" spans="1:8" ht="20.100000000000001" customHeight="1" x14ac:dyDescent="0.3">
      <c r="A14" s="44"/>
      <c r="B14" s="44"/>
      <c r="C14" s="44"/>
      <c r="D14" s="44"/>
      <c r="E14" s="44"/>
      <c r="F14" s="44"/>
      <c r="G14" s="39"/>
    </row>
    <row r="15" spans="1:8" ht="20.100000000000001" customHeight="1" x14ac:dyDescent="0.3">
      <c r="A15" s="44"/>
      <c r="B15" s="44"/>
      <c r="C15" s="44"/>
      <c r="D15" s="44"/>
      <c r="E15" s="44"/>
      <c r="F15" s="44"/>
      <c r="G15" s="39"/>
    </row>
    <row r="16" spans="1:8" ht="20.100000000000001" customHeight="1" x14ac:dyDescent="0.3">
      <c r="A16" s="44"/>
      <c r="B16" s="44"/>
      <c r="C16" s="44"/>
      <c r="D16" s="44"/>
      <c r="E16" s="44"/>
      <c r="F16" s="44"/>
      <c r="G16" s="39"/>
    </row>
    <row r="17" spans="1:31" ht="20.100000000000001" customHeight="1" x14ac:dyDescent="0.3">
      <c r="A17" s="44"/>
      <c r="B17" s="44"/>
      <c r="C17" s="44"/>
      <c r="D17" s="44"/>
      <c r="E17" s="44"/>
      <c r="F17" s="44"/>
      <c r="G17" s="39"/>
    </row>
    <row r="18" spans="1:31" ht="20.100000000000001" customHeight="1" x14ac:dyDescent="0.3">
      <c r="A18" s="44"/>
      <c r="B18" s="44"/>
      <c r="C18" s="44"/>
      <c r="D18" s="44"/>
      <c r="E18" s="44"/>
      <c r="F18" s="44"/>
      <c r="G18" s="39"/>
    </row>
    <row r="19" spans="1:31" ht="20.100000000000001" customHeight="1" x14ac:dyDescent="0.3">
      <c r="A19" s="44"/>
      <c r="B19" s="44"/>
      <c r="C19" s="44"/>
      <c r="D19" s="44"/>
      <c r="E19" s="44"/>
      <c r="F19" s="44"/>
      <c r="G19" s="39"/>
    </row>
    <row r="20" spans="1:31" ht="20.100000000000001" customHeight="1" x14ac:dyDescent="0.3">
      <c r="A20" s="44"/>
      <c r="B20" s="44"/>
      <c r="C20" s="44"/>
      <c r="D20" s="44"/>
      <c r="E20" s="44"/>
      <c r="F20" s="44"/>
      <c r="G20" s="39"/>
    </row>
    <row r="21" spans="1:31" ht="20.100000000000001" customHeight="1" x14ac:dyDescent="0.3">
      <c r="A21" s="44"/>
      <c r="B21" s="44"/>
      <c r="C21" s="44"/>
      <c r="D21" s="44"/>
      <c r="E21" s="44"/>
      <c r="F21" s="44"/>
      <c r="G21" s="39"/>
    </row>
    <row r="22" spans="1:31" ht="20.100000000000001" customHeight="1" x14ac:dyDescent="0.3">
      <c r="A22" s="44"/>
      <c r="B22" s="44"/>
      <c r="C22" s="44"/>
      <c r="D22" s="44"/>
      <c r="E22" s="44"/>
      <c r="F22" s="44"/>
      <c r="G22" s="39"/>
    </row>
    <row r="23" spans="1:31" ht="20.100000000000001" customHeight="1" x14ac:dyDescent="0.3">
      <c r="A23" s="44"/>
      <c r="B23" s="44"/>
      <c r="C23" s="44"/>
      <c r="D23" s="44"/>
      <c r="E23" s="44"/>
      <c r="F23" s="44"/>
      <c r="G23" s="39"/>
    </row>
    <row r="24" spans="1:31" ht="20.100000000000001" customHeight="1" x14ac:dyDescent="0.3">
      <c r="A24" s="44"/>
      <c r="B24" s="44"/>
      <c r="C24" s="44"/>
      <c r="D24" s="44"/>
      <c r="E24" s="44"/>
      <c r="F24" s="44"/>
      <c r="G24" s="39"/>
    </row>
    <row r="25" spans="1:31" ht="12" customHeight="1" x14ac:dyDescent="0.3">
      <c r="A25" s="39"/>
      <c r="B25" s="39"/>
      <c r="C25" s="39"/>
      <c r="D25" s="39"/>
      <c r="E25" s="39"/>
      <c r="F25" s="39"/>
      <c r="G25" s="39"/>
    </row>
    <row r="26" spans="1:31" ht="15" customHeight="1" x14ac:dyDescent="0.3">
      <c r="A26" s="39"/>
      <c r="B26" s="25"/>
      <c r="C26" s="26"/>
      <c r="D26" s="26"/>
      <c r="E26" s="26"/>
      <c r="F26" s="25" t="s">
        <v>1148</v>
      </c>
      <c r="G26" s="45"/>
      <c r="H26" s="6"/>
      <c r="I26" s="6"/>
      <c r="J26" s="6"/>
      <c r="K26" s="6"/>
      <c r="L26" s="6"/>
      <c r="M26" s="6"/>
      <c r="N26" s="6"/>
      <c r="O26" s="6"/>
      <c r="P26" s="6"/>
      <c r="Q26" s="6"/>
      <c r="R26" s="6"/>
      <c r="S26" s="6"/>
      <c r="T26" s="6"/>
      <c r="U26" s="6"/>
      <c r="V26" s="6"/>
      <c r="W26" s="6"/>
      <c r="X26" s="6"/>
      <c r="Z26" s="3"/>
      <c r="AA26" s="6"/>
      <c r="AB26" s="6"/>
      <c r="AC26" s="6"/>
      <c r="AD26" s="6"/>
      <c r="AE26" s="6"/>
    </row>
    <row r="27" spans="1:31" ht="15" customHeight="1" x14ac:dyDescent="0.3">
      <c r="A27" s="39"/>
      <c r="B27" s="26" t="s">
        <v>33</v>
      </c>
      <c r="C27" s="25"/>
      <c r="D27" s="26"/>
      <c r="E27" s="26"/>
      <c r="F27" s="25"/>
      <c r="G27" s="45"/>
      <c r="H27" s="6"/>
      <c r="I27" s="6"/>
      <c r="J27" s="6"/>
      <c r="K27" s="6"/>
      <c r="L27" s="6"/>
      <c r="M27" s="6"/>
      <c r="N27" s="6"/>
      <c r="O27" s="6"/>
      <c r="P27" s="6"/>
      <c r="Q27" s="6"/>
      <c r="R27" s="6"/>
      <c r="S27" s="6"/>
      <c r="T27" s="6"/>
      <c r="U27" s="6"/>
      <c r="V27" s="6"/>
      <c r="W27" s="6"/>
      <c r="X27" s="6"/>
      <c r="Z27" s="3"/>
      <c r="AA27" s="6"/>
      <c r="AB27" s="6"/>
      <c r="AC27" s="6"/>
      <c r="AD27" s="6"/>
      <c r="AE27" s="6"/>
    </row>
    <row r="28" spans="1:31" ht="15" customHeight="1" x14ac:dyDescent="0.3">
      <c r="A28" s="39"/>
      <c r="B28" s="26" t="s">
        <v>137</v>
      </c>
      <c r="C28" s="27" t="s">
        <v>1195</v>
      </c>
      <c r="D28" s="26"/>
      <c r="E28" s="26" t="s">
        <v>295</v>
      </c>
      <c r="F28" s="25" t="s">
        <v>41</v>
      </c>
      <c r="G28" s="45"/>
      <c r="H28" s="6"/>
      <c r="I28" s="6"/>
      <c r="J28" s="6"/>
      <c r="K28" s="6"/>
      <c r="L28" s="6"/>
      <c r="M28" s="6"/>
      <c r="N28" s="6"/>
      <c r="P28" s="7"/>
      <c r="Q28" s="6"/>
      <c r="R28" s="6"/>
      <c r="S28" s="6"/>
      <c r="T28" s="6"/>
      <c r="U28" s="6"/>
      <c r="V28" s="6"/>
      <c r="W28" s="6"/>
      <c r="X28" s="6"/>
      <c r="Z28" s="3"/>
      <c r="AA28" s="6"/>
      <c r="AB28" s="6"/>
      <c r="AC28" s="6"/>
      <c r="AD28" s="6"/>
      <c r="AE28" s="6"/>
    </row>
    <row r="29" spans="1:31" ht="15" customHeight="1" x14ac:dyDescent="0.3">
      <c r="A29" s="39"/>
      <c r="B29" s="26"/>
      <c r="C29" s="27"/>
      <c r="D29" s="26"/>
      <c r="E29" s="26"/>
      <c r="F29" s="25"/>
      <c r="G29" s="45"/>
      <c r="H29" s="6"/>
      <c r="I29" s="6"/>
      <c r="J29" s="6"/>
      <c r="K29" s="6"/>
      <c r="L29" s="6"/>
      <c r="M29" s="6"/>
      <c r="N29" s="6"/>
      <c r="P29" s="7"/>
      <c r="Q29" s="6"/>
      <c r="R29" s="6"/>
      <c r="S29" s="6"/>
      <c r="T29" s="6"/>
      <c r="U29" s="6"/>
      <c r="V29" s="6"/>
      <c r="W29" s="6"/>
      <c r="X29" s="6"/>
      <c r="Z29" s="3"/>
      <c r="AA29" s="6"/>
      <c r="AB29" s="6"/>
      <c r="AC29" s="6"/>
      <c r="AD29" s="6"/>
      <c r="AE29" s="6"/>
    </row>
    <row r="30" spans="1:31" ht="15" customHeight="1" x14ac:dyDescent="0.3">
      <c r="A30" s="39"/>
      <c r="B30" s="26"/>
      <c r="C30" s="27"/>
      <c r="D30" s="26"/>
      <c r="E30" s="26"/>
      <c r="F30" s="25"/>
      <c r="G30" s="45"/>
      <c r="H30" s="6"/>
      <c r="I30" s="6"/>
      <c r="J30" s="6"/>
      <c r="K30" s="6"/>
      <c r="L30" s="6"/>
      <c r="M30" s="6"/>
      <c r="N30" s="6"/>
      <c r="P30" s="7"/>
      <c r="Q30" s="6"/>
      <c r="R30" s="6"/>
      <c r="S30" s="6"/>
      <c r="T30" s="6"/>
      <c r="U30" s="6"/>
      <c r="V30" s="6"/>
      <c r="W30" s="6"/>
      <c r="X30" s="6"/>
      <c r="Z30" s="3"/>
      <c r="AA30" s="6"/>
      <c r="AB30" s="6"/>
      <c r="AC30" s="6"/>
      <c r="AD30" s="6"/>
      <c r="AE30" s="6"/>
    </row>
    <row r="31" spans="1:31" x14ac:dyDescent="0.3">
      <c r="A31" s="39"/>
      <c r="B31" s="143" t="s">
        <v>968</v>
      </c>
      <c r="C31" s="27" t="s">
        <v>1156</v>
      </c>
      <c r="D31" s="26"/>
      <c r="E31" s="34" t="s">
        <v>967</v>
      </c>
      <c r="F31" s="27" t="s">
        <v>1154</v>
      </c>
      <c r="G31" s="45"/>
      <c r="H31" s="6"/>
      <c r="I31" s="6"/>
      <c r="J31" s="6"/>
      <c r="K31" s="6"/>
      <c r="L31" s="6"/>
      <c r="M31" s="6"/>
      <c r="N31" s="6"/>
      <c r="P31" s="7"/>
      <c r="Q31" s="6"/>
      <c r="R31" s="6"/>
      <c r="S31" s="6"/>
      <c r="T31" s="6"/>
      <c r="U31" s="6"/>
      <c r="V31" s="6"/>
      <c r="W31" s="6"/>
      <c r="X31" s="6"/>
      <c r="Z31" s="3"/>
      <c r="AA31" s="6"/>
      <c r="AB31" s="6"/>
      <c r="AC31" s="6"/>
      <c r="AD31" s="6"/>
      <c r="AE31" s="6"/>
    </row>
    <row r="32" spans="1:31" x14ac:dyDescent="0.3">
      <c r="A32" s="39"/>
      <c r="B32" s="143" t="s">
        <v>283</v>
      </c>
      <c r="C32" s="27" t="s">
        <v>1157</v>
      </c>
      <c r="D32" s="26"/>
      <c r="E32" s="28" t="s">
        <v>970</v>
      </c>
      <c r="F32" s="27" t="s">
        <v>1160</v>
      </c>
      <c r="G32" s="45"/>
      <c r="H32" s="6"/>
      <c r="I32" s="6"/>
      <c r="J32" s="6"/>
      <c r="K32" s="6"/>
      <c r="L32" s="6"/>
      <c r="M32" s="6"/>
      <c r="N32" s="6"/>
      <c r="P32" s="7"/>
      <c r="Q32" s="6"/>
      <c r="R32" s="6"/>
      <c r="S32" s="6"/>
      <c r="T32" s="6"/>
      <c r="U32" s="6"/>
      <c r="V32" s="6"/>
      <c r="W32" s="6"/>
      <c r="X32" s="6"/>
      <c r="Z32" s="3"/>
      <c r="AA32" s="6"/>
      <c r="AB32" s="6"/>
      <c r="AC32" s="6"/>
      <c r="AD32" s="6"/>
      <c r="AE32" s="6"/>
    </row>
    <row r="33" spans="1:7" x14ac:dyDescent="0.3">
      <c r="A33" s="39"/>
      <c r="B33" s="42"/>
      <c r="D33" s="42"/>
      <c r="E33" s="42"/>
      <c r="F33" s="42"/>
      <c r="G33" s="39"/>
    </row>
    <row r="34" spans="1:7" x14ac:dyDescent="0.3">
      <c r="A34" s="39"/>
      <c r="B34" s="42"/>
      <c r="C34" s="42"/>
      <c r="D34" s="42"/>
      <c r="E34" s="42"/>
      <c r="F34" s="42"/>
      <c r="G34" s="39"/>
    </row>
    <row r="35" spans="1:7" x14ac:dyDescent="0.3">
      <c r="A35" s="39"/>
      <c r="B35" s="39"/>
      <c r="C35" s="39"/>
      <c r="D35" s="39"/>
      <c r="E35" s="39"/>
      <c r="F35" s="39"/>
      <c r="G35" s="39"/>
    </row>
    <row r="36" spans="1:7" x14ac:dyDescent="0.3">
      <c r="A36" s="39"/>
      <c r="B36" s="39"/>
      <c r="C36" s="39"/>
      <c r="D36" s="39"/>
      <c r="E36" s="39"/>
      <c r="F36" s="39"/>
      <c r="G36" s="39"/>
    </row>
    <row r="37" spans="1:7" x14ac:dyDescent="0.3">
      <c r="A37" s="39"/>
      <c r="B37" s="39"/>
      <c r="C37" s="39"/>
      <c r="D37" s="39"/>
      <c r="E37" s="39"/>
      <c r="F37" s="39"/>
      <c r="G37" s="39"/>
    </row>
  </sheetData>
  <mergeCells count="1">
    <mergeCell ref="A3:F3"/>
  </mergeCells>
  <pageMargins left="0.98425196850393704" right="1.3385826771653544" top="0.59055118110236227" bottom="0.23622047244094491" header="0.31496062992125984" footer="0.31496062992125984"/>
  <pageSetup paperSize="5" scale="85" orientation="landscape" horizontalDpi="4294967293"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0"/>
  </sheetPr>
  <dimension ref="A1:AO54"/>
  <sheetViews>
    <sheetView topLeftCell="A19" zoomScale="77" zoomScaleNormal="85" workbookViewId="0">
      <selection activeCell="C10" sqref="C10"/>
    </sheetView>
  </sheetViews>
  <sheetFormatPr defaultColWidth="9.140625" defaultRowHeight="16.5" x14ac:dyDescent="0.25"/>
  <cols>
    <col min="1" max="1" width="3.5703125" style="12" customWidth="1"/>
    <col min="2" max="2" width="33.28515625" style="12" customWidth="1"/>
    <col min="3" max="3" width="9.140625" style="12" customWidth="1"/>
    <col min="4" max="4" width="4.5703125" style="12" customWidth="1"/>
    <col min="5" max="6" width="4.42578125" style="12" customWidth="1"/>
    <col min="7" max="7" width="4.140625" style="12" customWidth="1"/>
    <col min="8" max="8" width="4.42578125" style="12" customWidth="1"/>
    <col min="9" max="9" width="4.5703125" style="12" customWidth="1"/>
    <col min="10" max="12" width="4.42578125" style="12" customWidth="1"/>
    <col min="13" max="13" width="4.5703125" style="12" customWidth="1"/>
    <col min="14" max="14" width="4.42578125" style="12" customWidth="1"/>
    <col min="15" max="15" width="4.140625" style="12" customWidth="1"/>
    <col min="16" max="17" width="4.42578125" style="12" customWidth="1"/>
    <col min="18" max="18" width="4.5703125" style="12" customWidth="1"/>
    <col min="19" max="19" width="4.42578125" style="12" customWidth="1"/>
    <col min="20" max="21" width="4.5703125" style="12" customWidth="1"/>
    <col min="22" max="23" width="4.42578125" style="12" customWidth="1"/>
    <col min="24" max="24" width="3.85546875" style="12" customWidth="1"/>
    <col min="25" max="27" width="4.42578125" style="12" customWidth="1"/>
    <col min="28" max="28" width="4" style="12" customWidth="1"/>
    <col min="29" max="29" width="4.140625" style="12" customWidth="1"/>
    <col min="30" max="30" width="2.85546875" style="12" customWidth="1"/>
    <col min="31" max="31" width="3.140625" style="12" customWidth="1"/>
    <col min="32" max="32" width="2.85546875" style="12" customWidth="1"/>
    <col min="33" max="34" width="3.140625" style="12" customWidth="1"/>
    <col min="35" max="35" width="3.5703125" style="12" customWidth="1"/>
    <col min="36" max="36" width="3.140625" style="12" customWidth="1"/>
    <col min="37" max="37" width="9.140625" style="12"/>
    <col min="38" max="38" width="5.5703125" style="12" customWidth="1"/>
    <col min="39" max="39" width="3.140625" style="12" hidden="1" customWidth="1"/>
    <col min="40" max="16384" width="9.140625" style="12"/>
  </cols>
  <sheetData>
    <row r="1" spans="1:41" x14ac:dyDescent="0.25">
      <c r="AE1" s="14"/>
      <c r="AF1" s="1170" t="s">
        <v>687</v>
      </c>
      <c r="AG1" s="1171"/>
      <c r="AH1" s="1172"/>
      <c r="AI1" s="1173"/>
      <c r="AJ1" s="1173"/>
      <c r="AK1" s="1173"/>
    </row>
    <row r="2" spans="1:41" x14ac:dyDescent="0.25">
      <c r="A2" s="1174" t="s">
        <v>665</v>
      </c>
      <c r="B2" s="1174"/>
      <c r="C2" s="1174"/>
      <c r="D2" s="1174"/>
      <c r="E2" s="1174"/>
      <c r="F2" s="1174"/>
      <c r="G2" s="1174"/>
      <c r="H2" s="1174"/>
      <c r="I2" s="1174"/>
      <c r="J2" s="1174"/>
      <c r="K2" s="1174"/>
      <c r="L2" s="1174"/>
      <c r="M2" s="1174"/>
      <c r="N2" s="1174"/>
      <c r="O2" s="1174"/>
      <c r="P2" s="1174"/>
      <c r="Q2" s="1174"/>
      <c r="R2" s="1174"/>
      <c r="S2" s="1174"/>
      <c r="T2" s="1174"/>
      <c r="U2" s="1174"/>
      <c r="V2" s="1174"/>
      <c r="W2" s="1174"/>
      <c r="X2" s="1174"/>
      <c r="Y2" s="1174"/>
      <c r="Z2" s="1174"/>
      <c r="AA2" s="1174"/>
      <c r="AB2" s="1174"/>
      <c r="AC2" s="1174"/>
      <c r="AD2" s="1174"/>
      <c r="AE2" s="1175"/>
      <c r="AF2" s="1176">
        <v>45852</v>
      </c>
      <c r="AG2" s="1177"/>
      <c r="AH2" s="1178"/>
      <c r="AI2" s="1179"/>
      <c r="AJ2" s="1179"/>
      <c r="AK2" s="1179"/>
    </row>
    <row r="3" spans="1:41" ht="8.25" customHeight="1" x14ac:dyDescent="0.25">
      <c r="A3" s="1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row>
    <row r="4" spans="1:41" x14ac:dyDescent="0.25">
      <c r="A4" s="50" t="s">
        <v>761</v>
      </c>
      <c r="B4" s="51"/>
      <c r="C4" s="52"/>
      <c r="D4" s="52"/>
      <c r="E4" s="50" t="s">
        <v>1043</v>
      </c>
      <c r="F4" s="53"/>
      <c r="G4" s="50"/>
      <c r="H4" s="50"/>
      <c r="I4" s="50"/>
      <c r="J4" s="50"/>
      <c r="K4" s="50" t="s">
        <v>762</v>
      </c>
      <c r="L4" s="53"/>
      <c r="M4" s="53"/>
      <c r="N4" s="50"/>
      <c r="O4" s="50"/>
      <c r="P4" s="50"/>
      <c r="Q4" s="50"/>
      <c r="R4" s="50"/>
      <c r="S4" s="50"/>
      <c r="T4" s="53"/>
      <c r="U4" s="52"/>
      <c r="V4" s="52"/>
      <c r="W4" s="50" t="s">
        <v>1150</v>
      </c>
      <c r="X4" s="53"/>
      <c r="Y4" s="53"/>
      <c r="Z4" s="50"/>
      <c r="AA4" s="50"/>
      <c r="AB4" s="50" t="s">
        <v>1054</v>
      </c>
      <c r="AC4" s="50"/>
      <c r="AD4" s="50"/>
      <c r="AE4" s="50"/>
      <c r="AF4" s="50"/>
      <c r="AG4" s="50"/>
      <c r="AH4" s="54"/>
    </row>
    <row r="5" spans="1:41" ht="9" customHeight="1" thickBot="1" x14ac:dyDescent="0.3">
      <c r="A5" s="53"/>
      <c r="B5" s="50"/>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row>
    <row r="6" spans="1:41" ht="15" customHeight="1" thickBot="1" x14ac:dyDescent="0.3">
      <c r="A6" s="1180" t="s">
        <v>0</v>
      </c>
      <c r="B6" s="1183" t="s">
        <v>259</v>
      </c>
      <c r="C6" s="1146" t="s">
        <v>666</v>
      </c>
      <c r="D6" s="1147"/>
      <c r="E6" s="1147"/>
      <c r="F6" s="1147"/>
      <c r="G6" s="1147"/>
      <c r="H6" s="1147"/>
      <c r="I6" s="1147"/>
      <c r="J6" s="1147"/>
      <c r="K6" s="1147"/>
      <c r="L6" s="1147"/>
      <c r="M6" s="1147"/>
      <c r="N6" s="1147"/>
      <c r="O6" s="1147"/>
      <c r="P6" s="1147"/>
      <c r="Q6" s="1147"/>
      <c r="R6" s="1147"/>
      <c r="S6" s="1147"/>
      <c r="T6" s="1147"/>
      <c r="U6" s="1147"/>
      <c r="V6" s="1147"/>
      <c r="W6" s="1147"/>
      <c r="X6" s="1147"/>
      <c r="Y6" s="1147"/>
      <c r="Z6" s="1147"/>
      <c r="AA6" s="1147"/>
      <c r="AB6" s="1147"/>
      <c r="AC6" s="1147"/>
      <c r="AD6" s="1147"/>
      <c r="AE6" s="1147"/>
      <c r="AF6" s="1147"/>
      <c r="AG6" s="1147"/>
      <c r="AH6" s="1147"/>
      <c r="AI6" s="1147"/>
      <c r="AJ6" s="1147"/>
      <c r="AK6" s="1147"/>
      <c r="AL6" s="1147"/>
      <c r="AM6" s="1147"/>
      <c r="AN6" s="1148"/>
      <c r="AO6" s="1149"/>
    </row>
    <row r="7" spans="1:41" ht="25.5" customHeight="1" thickBot="1" x14ac:dyDescent="0.3">
      <c r="A7" s="1181"/>
      <c r="B7" s="1184"/>
      <c r="C7" s="383" t="s">
        <v>667</v>
      </c>
      <c r="D7" s="1146">
        <v>1</v>
      </c>
      <c r="E7" s="1150"/>
      <c r="F7" s="1151"/>
      <c r="G7" s="1146">
        <v>2</v>
      </c>
      <c r="H7" s="1150"/>
      <c r="I7" s="1151"/>
      <c r="J7" s="1146">
        <v>3</v>
      </c>
      <c r="K7" s="1150"/>
      <c r="L7" s="1151"/>
      <c r="M7" s="1146">
        <v>4</v>
      </c>
      <c r="N7" s="1150"/>
      <c r="O7" s="1151"/>
      <c r="P7" s="1146">
        <v>5</v>
      </c>
      <c r="Q7" s="1150"/>
      <c r="R7" s="1151"/>
      <c r="S7" s="1146">
        <v>6</v>
      </c>
      <c r="T7" s="1150"/>
      <c r="U7" s="1151"/>
      <c r="V7" s="1146">
        <v>7</v>
      </c>
      <c r="W7" s="1150"/>
      <c r="X7" s="1151"/>
      <c r="Y7" s="1146">
        <v>8</v>
      </c>
      <c r="Z7" s="1150"/>
      <c r="AA7" s="1151"/>
      <c r="AB7" s="1146">
        <v>9</v>
      </c>
      <c r="AC7" s="1150"/>
      <c r="AD7" s="1151"/>
      <c r="AE7" s="1146" t="s">
        <v>1041</v>
      </c>
      <c r="AF7" s="1147"/>
      <c r="AG7" s="1149"/>
      <c r="AH7" s="1146" t="s">
        <v>1042</v>
      </c>
      <c r="AI7" s="1152"/>
      <c r="AJ7" s="1152"/>
      <c r="AK7" s="1162" t="s">
        <v>211</v>
      </c>
      <c r="AL7" s="1148"/>
      <c r="AM7" s="1148"/>
      <c r="AN7" s="1156" t="s">
        <v>185</v>
      </c>
      <c r="AO7" s="1159" t="s">
        <v>209</v>
      </c>
    </row>
    <row r="8" spans="1:41" ht="15" customHeight="1" thickBot="1" x14ac:dyDescent="0.3">
      <c r="A8" s="1181"/>
      <c r="B8" s="1184"/>
      <c r="C8" s="383" t="s">
        <v>183</v>
      </c>
      <c r="D8" s="1167"/>
      <c r="E8" s="1168"/>
      <c r="F8" s="1169"/>
      <c r="G8" s="1167"/>
      <c r="H8" s="1168"/>
      <c r="I8" s="1169"/>
      <c r="J8" s="1167"/>
      <c r="K8" s="1168"/>
      <c r="L8" s="1169"/>
      <c r="M8" s="1167"/>
      <c r="N8" s="1168"/>
      <c r="O8" s="1169"/>
      <c r="P8" s="1167"/>
      <c r="Q8" s="1168"/>
      <c r="R8" s="1169"/>
      <c r="S8" s="1167"/>
      <c r="T8" s="1168"/>
      <c r="U8" s="1169"/>
      <c r="V8" s="1167"/>
      <c r="W8" s="1168"/>
      <c r="X8" s="1169"/>
      <c r="Y8" s="1167"/>
      <c r="Z8" s="1168"/>
      <c r="AA8" s="1169"/>
      <c r="AB8" s="1167"/>
      <c r="AC8" s="1168"/>
      <c r="AD8" s="1169"/>
      <c r="AE8" s="1167"/>
      <c r="AF8" s="1168"/>
      <c r="AG8" s="1169"/>
      <c r="AH8" s="1167"/>
      <c r="AI8" s="1168"/>
      <c r="AJ8" s="1168"/>
      <c r="AK8" s="1163"/>
      <c r="AL8" s="1164"/>
      <c r="AM8" s="1164"/>
      <c r="AN8" s="1157"/>
      <c r="AO8" s="1160"/>
    </row>
    <row r="9" spans="1:41" ht="14.45" customHeight="1" thickBot="1" x14ac:dyDescent="0.3">
      <c r="A9" s="1182"/>
      <c r="B9" s="1185"/>
      <c r="C9" s="383" t="s">
        <v>31</v>
      </c>
      <c r="D9" s="384" t="s">
        <v>212</v>
      </c>
      <c r="E9" s="385" t="s">
        <v>184</v>
      </c>
      <c r="F9" s="386" t="s">
        <v>185</v>
      </c>
      <c r="G9" s="384" t="s">
        <v>212</v>
      </c>
      <c r="H9" s="385" t="s">
        <v>184</v>
      </c>
      <c r="I9" s="386" t="s">
        <v>185</v>
      </c>
      <c r="J9" s="384" t="s">
        <v>212</v>
      </c>
      <c r="K9" s="385" t="s">
        <v>184</v>
      </c>
      <c r="L9" s="386" t="s">
        <v>185</v>
      </c>
      <c r="M9" s="384" t="s">
        <v>212</v>
      </c>
      <c r="N9" s="385" t="s">
        <v>184</v>
      </c>
      <c r="O9" s="386" t="s">
        <v>185</v>
      </c>
      <c r="P9" s="384" t="s">
        <v>212</v>
      </c>
      <c r="Q9" s="385" t="s">
        <v>184</v>
      </c>
      <c r="R9" s="386" t="s">
        <v>185</v>
      </c>
      <c r="S9" s="384" t="s">
        <v>212</v>
      </c>
      <c r="T9" s="385" t="s">
        <v>184</v>
      </c>
      <c r="U9" s="386" t="s">
        <v>185</v>
      </c>
      <c r="V9" s="384" t="s">
        <v>212</v>
      </c>
      <c r="W9" s="385" t="s">
        <v>184</v>
      </c>
      <c r="X9" s="386" t="s">
        <v>185</v>
      </c>
      <c r="Y9" s="384" t="s">
        <v>212</v>
      </c>
      <c r="Z9" s="385" t="s">
        <v>184</v>
      </c>
      <c r="AA9" s="386" t="s">
        <v>185</v>
      </c>
      <c r="AB9" s="384" t="s">
        <v>212</v>
      </c>
      <c r="AC9" s="385" t="s">
        <v>184</v>
      </c>
      <c r="AD9" s="386" t="s">
        <v>185</v>
      </c>
      <c r="AE9" s="384" t="s">
        <v>212</v>
      </c>
      <c r="AF9" s="385" t="s">
        <v>184</v>
      </c>
      <c r="AG9" s="386" t="s">
        <v>185</v>
      </c>
      <c r="AH9" s="384" t="s">
        <v>212</v>
      </c>
      <c r="AI9" s="385" t="s">
        <v>184</v>
      </c>
      <c r="AJ9" s="424" t="s">
        <v>185</v>
      </c>
      <c r="AK9" s="1165"/>
      <c r="AL9" s="1166"/>
      <c r="AM9" s="1166"/>
      <c r="AN9" s="1158"/>
      <c r="AO9" s="1161"/>
    </row>
    <row r="10" spans="1:41" x14ac:dyDescent="0.25">
      <c r="A10" s="387">
        <v>1</v>
      </c>
      <c r="B10" s="421" t="s">
        <v>927</v>
      </c>
      <c r="C10" s="422"/>
      <c r="D10" s="390"/>
      <c r="E10" s="388"/>
      <c r="F10" s="389"/>
      <c r="G10" s="390"/>
      <c r="H10" s="388"/>
      <c r="I10" s="389"/>
      <c r="J10" s="390"/>
      <c r="K10" s="388"/>
      <c r="L10" s="389"/>
      <c r="M10" s="390"/>
      <c r="N10" s="388"/>
      <c r="O10" s="389"/>
      <c r="P10" s="390"/>
      <c r="Q10" s="388"/>
      <c r="R10" s="389"/>
      <c r="S10" s="390"/>
      <c r="T10" s="388"/>
      <c r="U10" s="389"/>
      <c r="V10" s="390"/>
      <c r="W10" s="388"/>
      <c r="X10" s="389"/>
      <c r="Y10" s="390"/>
      <c r="Z10" s="388"/>
      <c r="AA10" s="389"/>
      <c r="AB10" s="390"/>
      <c r="AC10" s="388"/>
      <c r="AD10" s="389"/>
      <c r="AE10" s="390"/>
      <c r="AF10" s="388"/>
      <c r="AG10" s="389"/>
      <c r="AH10" s="390"/>
      <c r="AI10" s="388"/>
      <c r="AJ10" s="408"/>
      <c r="AK10" s="409"/>
      <c r="AL10" s="417"/>
      <c r="AM10" s="417"/>
      <c r="AN10" s="453"/>
      <c r="AO10" s="425"/>
    </row>
    <row r="11" spans="1:41" x14ac:dyDescent="0.25">
      <c r="A11" s="391">
        <v>2</v>
      </c>
      <c r="B11" s="599" t="s">
        <v>928</v>
      </c>
      <c r="C11" s="395"/>
      <c r="D11" s="394"/>
      <c r="E11" s="392"/>
      <c r="F11" s="393"/>
      <c r="G11" s="394"/>
      <c r="H11" s="392"/>
      <c r="I11" s="393"/>
      <c r="J11" s="394"/>
      <c r="K11" s="392"/>
      <c r="L11" s="393"/>
      <c r="M11" s="394"/>
      <c r="N11" s="392"/>
      <c r="O11" s="393"/>
      <c r="P11" s="394"/>
      <c r="Q11" s="392"/>
      <c r="R11" s="393"/>
      <c r="S11" s="394"/>
      <c r="T11" s="392"/>
      <c r="U11" s="393"/>
      <c r="V11" s="394"/>
      <c r="W11" s="392"/>
      <c r="X11" s="393"/>
      <c r="Y11" s="394"/>
      <c r="Z11" s="392"/>
      <c r="AA11" s="393"/>
      <c r="AB11" s="394"/>
      <c r="AC11" s="392"/>
      <c r="AD11" s="393"/>
      <c r="AE11" s="394"/>
      <c r="AF11" s="392"/>
      <c r="AG11" s="393"/>
      <c r="AH11" s="394"/>
      <c r="AI11" s="392"/>
      <c r="AJ11" s="410"/>
      <c r="AK11" s="426"/>
      <c r="AL11" s="427"/>
      <c r="AM11" s="450"/>
      <c r="AN11" s="449"/>
      <c r="AO11" s="425"/>
    </row>
    <row r="12" spans="1:41" x14ac:dyDescent="0.25">
      <c r="A12" s="391">
        <v>3</v>
      </c>
      <c r="B12" s="600" t="s">
        <v>929</v>
      </c>
      <c r="C12" s="395"/>
      <c r="D12" s="394"/>
      <c r="E12" s="392"/>
      <c r="F12" s="393"/>
      <c r="G12" s="394"/>
      <c r="H12" s="392"/>
      <c r="I12" s="393"/>
      <c r="J12" s="394"/>
      <c r="K12" s="392"/>
      <c r="L12" s="393"/>
      <c r="M12" s="394"/>
      <c r="N12" s="392"/>
      <c r="O12" s="393"/>
      <c r="P12" s="394"/>
      <c r="Q12" s="392"/>
      <c r="R12" s="393"/>
      <c r="S12" s="394"/>
      <c r="T12" s="392"/>
      <c r="U12" s="393"/>
      <c r="V12" s="394"/>
      <c r="W12" s="392"/>
      <c r="X12" s="393"/>
      <c r="Y12" s="394"/>
      <c r="Z12" s="392"/>
      <c r="AA12" s="393"/>
      <c r="AB12" s="394"/>
      <c r="AC12" s="392"/>
      <c r="AD12" s="393"/>
      <c r="AE12" s="394"/>
      <c r="AF12" s="392"/>
      <c r="AG12" s="393"/>
      <c r="AH12" s="394"/>
      <c r="AI12" s="392"/>
      <c r="AJ12" s="410"/>
      <c r="AK12" s="412"/>
      <c r="AL12" s="419"/>
      <c r="AM12" s="419"/>
      <c r="AN12" s="449"/>
      <c r="AO12" s="425"/>
    </row>
    <row r="13" spans="1:41" x14ac:dyDescent="0.25">
      <c r="A13" s="391">
        <v>4</v>
      </c>
      <c r="B13" s="600" t="s">
        <v>953</v>
      </c>
      <c r="C13" s="395"/>
      <c r="D13" s="394"/>
      <c r="E13" s="392"/>
      <c r="F13" s="393"/>
      <c r="G13" s="394"/>
      <c r="H13" s="392"/>
      <c r="I13" s="393"/>
      <c r="J13" s="394"/>
      <c r="K13" s="392"/>
      <c r="L13" s="393"/>
      <c r="M13" s="394"/>
      <c r="N13" s="392"/>
      <c r="O13" s="393"/>
      <c r="P13" s="394"/>
      <c r="Q13" s="392"/>
      <c r="R13" s="393"/>
      <c r="S13" s="394"/>
      <c r="T13" s="392"/>
      <c r="U13" s="393"/>
      <c r="V13" s="394"/>
      <c r="W13" s="392"/>
      <c r="X13" s="393"/>
      <c r="Y13" s="394"/>
      <c r="Z13" s="392"/>
      <c r="AA13" s="393"/>
      <c r="AB13" s="394"/>
      <c r="AC13" s="392"/>
      <c r="AD13" s="393"/>
      <c r="AE13" s="394"/>
      <c r="AF13" s="392"/>
      <c r="AG13" s="393"/>
      <c r="AH13" s="394"/>
      <c r="AI13" s="392"/>
      <c r="AJ13" s="410"/>
      <c r="AK13" s="411"/>
      <c r="AL13" s="418"/>
      <c r="AM13" s="451"/>
      <c r="AN13" s="449"/>
      <c r="AO13" s="425"/>
    </row>
    <row r="14" spans="1:41" x14ac:dyDescent="0.25">
      <c r="A14" s="391">
        <v>5</v>
      </c>
      <c r="B14" s="599" t="s">
        <v>954</v>
      </c>
      <c r="C14" s="395"/>
      <c r="D14" s="394"/>
      <c r="E14" s="392"/>
      <c r="F14" s="393"/>
      <c r="G14" s="394"/>
      <c r="H14" s="392"/>
      <c r="I14" s="393"/>
      <c r="J14" s="394"/>
      <c r="K14" s="392"/>
      <c r="L14" s="393"/>
      <c r="M14" s="394"/>
      <c r="N14" s="392"/>
      <c r="O14" s="393"/>
      <c r="P14" s="394"/>
      <c r="Q14" s="392"/>
      <c r="R14" s="393"/>
      <c r="S14" s="394"/>
      <c r="T14" s="392"/>
      <c r="U14" s="393"/>
      <c r="V14" s="394"/>
      <c r="W14" s="392"/>
      <c r="X14" s="393"/>
      <c r="Y14" s="394"/>
      <c r="Z14" s="392"/>
      <c r="AA14" s="393"/>
      <c r="AB14" s="394"/>
      <c r="AC14" s="392"/>
      <c r="AD14" s="393"/>
      <c r="AE14" s="394"/>
      <c r="AF14" s="392"/>
      <c r="AG14" s="393"/>
      <c r="AH14" s="394"/>
      <c r="AI14" s="392"/>
      <c r="AJ14" s="410"/>
      <c r="AK14" s="412"/>
      <c r="AL14" s="419"/>
      <c r="AM14" s="419"/>
      <c r="AN14" s="449"/>
      <c r="AO14" s="425"/>
    </row>
    <row r="15" spans="1:41" x14ac:dyDescent="0.25">
      <c r="A15" s="391">
        <v>6</v>
      </c>
      <c r="B15" s="599" t="s">
        <v>930</v>
      </c>
      <c r="C15" s="395"/>
      <c r="D15" s="394"/>
      <c r="E15" s="392"/>
      <c r="F15" s="393"/>
      <c r="G15" s="394"/>
      <c r="H15" s="392"/>
      <c r="I15" s="393"/>
      <c r="J15" s="394"/>
      <c r="K15" s="392"/>
      <c r="L15" s="393"/>
      <c r="M15" s="394"/>
      <c r="N15" s="392"/>
      <c r="O15" s="393"/>
      <c r="P15" s="394"/>
      <c r="Q15" s="392"/>
      <c r="R15" s="393"/>
      <c r="S15" s="394"/>
      <c r="T15" s="392"/>
      <c r="U15" s="393"/>
      <c r="V15" s="394"/>
      <c r="W15" s="392"/>
      <c r="X15" s="393"/>
      <c r="Y15" s="394"/>
      <c r="Z15" s="392"/>
      <c r="AA15" s="393"/>
      <c r="AB15" s="394"/>
      <c r="AC15" s="392"/>
      <c r="AD15" s="393"/>
      <c r="AE15" s="394"/>
      <c r="AF15" s="392"/>
      <c r="AG15" s="393"/>
      <c r="AH15" s="394"/>
      <c r="AI15" s="392"/>
      <c r="AJ15" s="410"/>
      <c r="AK15" s="411"/>
      <c r="AL15" s="418"/>
      <c r="AM15" s="451"/>
      <c r="AN15" s="449"/>
      <c r="AO15" s="425"/>
    </row>
    <row r="16" spans="1:41" x14ac:dyDescent="0.25">
      <c r="A16" s="391">
        <v>7</v>
      </c>
      <c r="B16" s="599" t="s">
        <v>931</v>
      </c>
      <c r="C16" s="395"/>
      <c r="D16" s="394"/>
      <c r="E16" s="392"/>
      <c r="F16" s="393"/>
      <c r="G16" s="394"/>
      <c r="H16" s="392"/>
      <c r="I16" s="393"/>
      <c r="J16" s="394"/>
      <c r="K16" s="392"/>
      <c r="L16" s="393"/>
      <c r="M16" s="394"/>
      <c r="N16" s="392"/>
      <c r="O16" s="393"/>
      <c r="P16" s="394"/>
      <c r="Q16" s="392"/>
      <c r="R16" s="393"/>
      <c r="S16" s="394"/>
      <c r="T16" s="392"/>
      <c r="U16" s="393"/>
      <c r="V16" s="394"/>
      <c r="W16" s="392"/>
      <c r="X16" s="393"/>
      <c r="Y16" s="394"/>
      <c r="Z16" s="392"/>
      <c r="AA16" s="393"/>
      <c r="AB16" s="394"/>
      <c r="AC16" s="392"/>
      <c r="AD16" s="393"/>
      <c r="AE16" s="394"/>
      <c r="AF16" s="392"/>
      <c r="AG16" s="393"/>
      <c r="AH16" s="394"/>
      <c r="AI16" s="392"/>
      <c r="AJ16" s="410"/>
      <c r="AK16" s="412"/>
      <c r="AL16" s="419"/>
      <c r="AM16" s="419"/>
      <c r="AN16" s="449"/>
      <c r="AO16" s="425"/>
    </row>
    <row r="17" spans="1:41" x14ac:dyDescent="0.25">
      <c r="A17" s="391">
        <v>8</v>
      </c>
      <c r="B17" s="599" t="s">
        <v>932</v>
      </c>
      <c r="C17" s="395"/>
      <c r="D17" s="394"/>
      <c r="E17" s="392"/>
      <c r="F17" s="393"/>
      <c r="G17" s="394"/>
      <c r="H17" s="392"/>
      <c r="I17" s="393"/>
      <c r="J17" s="394"/>
      <c r="K17" s="392"/>
      <c r="L17" s="393"/>
      <c r="M17" s="394"/>
      <c r="N17" s="392"/>
      <c r="O17" s="393"/>
      <c r="P17" s="394"/>
      <c r="Q17" s="392"/>
      <c r="R17" s="393"/>
      <c r="S17" s="394"/>
      <c r="T17" s="392"/>
      <c r="U17" s="393"/>
      <c r="V17" s="394"/>
      <c r="W17" s="392"/>
      <c r="X17" s="393"/>
      <c r="Y17" s="394"/>
      <c r="Z17" s="392"/>
      <c r="AA17" s="393"/>
      <c r="AB17" s="394"/>
      <c r="AC17" s="392"/>
      <c r="AD17" s="393"/>
      <c r="AE17" s="394"/>
      <c r="AF17" s="392"/>
      <c r="AG17" s="393"/>
      <c r="AH17" s="394"/>
      <c r="AI17" s="392"/>
      <c r="AJ17" s="410"/>
      <c r="AK17" s="411"/>
      <c r="AL17" s="418"/>
      <c r="AM17" s="451"/>
      <c r="AN17" s="449"/>
      <c r="AO17" s="425"/>
    </row>
    <row r="18" spans="1:41" x14ac:dyDescent="0.25">
      <c r="A18" s="391">
        <v>9</v>
      </c>
      <c r="B18" s="599" t="s">
        <v>933</v>
      </c>
      <c r="C18" s="395"/>
      <c r="D18" s="394"/>
      <c r="E18" s="392"/>
      <c r="F18" s="393"/>
      <c r="G18" s="394"/>
      <c r="H18" s="392"/>
      <c r="I18" s="393"/>
      <c r="J18" s="394"/>
      <c r="K18" s="392"/>
      <c r="L18" s="393"/>
      <c r="M18" s="394"/>
      <c r="N18" s="392"/>
      <c r="O18" s="393"/>
      <c r="P18" s="394"/>
      <c r="Q18" s="392"/>
      <c r="R18" s="393"/>
      <c r="S18" s="394"/>
      <c r="T18" s="392"/>
      <c r="U18" s="393"/>
      <c r="V18" s="394"/>
      <c r="W18" s="392"/>
      <c r="X18" s="393"/>
      <c r="Y18" s="394"/>
      <c r="Z18" s="392"/>
      <c r="AA18" s="393"/>
      <c r="AB18" s="394"/>
      <c r="AC18" s="392"/>
      <c r="AD18" s="393"/>
      <c r="AE18" s="394"/>
      <c r="AF18" s="392"/>
      <c r="AG18" s="393"/>
      <c r="AH18" s="394"/>
      <c r="AI18" s="392"/>
      <c r="AJ18" s="410"/>
      <c r="AK18" s="412"/>
      <c r="AL18" s="419"/>
      <c r="AM18" s="419"/>
      <c r="AN18" s="449"/>
      <c r="AO18" s="425"/>
    </row>
    <row r="19" spans="1:41" x14ac:dyDescent="0.25">
      <c r="A19" s="391">
        <v>10</v>
      </c>
      <c r="B19" s="599" t="s">
        <v>934</v>
      </c>
      <c r="C19" s="395"/>
      <c r="D19" s="394"/>
      <c r="E19" s="392"/>
      <c r="F19" s="393"/>
      <c r="G19" s="394"/>
      <c r="H19" s="392"/>
      <c r="I19" s="393"/>
      <c r="J19" s="394"/>
      <c r="K19" s="392"/>
      <c r="L19" s="393"/>
      <c r="M19" s="394"/>
      <c r="N19" s="392"/>
      <c r="O19" s="393"/>
      <c r="P19" s="394"/>
      <c r="Q19" s="392"/>
      <c r="R19" s="393"/>
      <c r="S19" s="394"/>
      <c r="T19" s="392"/>
      <c r="U19" s="393"/>
      <c r="V19" s="394"/>
      <c r="W19" s="392"/>
      <c r="X19" s="393"/>
      <c r="Y19" s="394"/>
      <c r="Z19" s="392"/>
      <c r="AA19" s="393"/>
      <c r="AB19" s="394"/>
      <c r="AC19" s="392"/>
      <c r="AD19" s="393"/>
      <c r="AE19" s="394"/>
      <c r="AF19" s="392"/>
      <c r="AG19" s="393"/>
      <c r="AH19" s="394"/>
      <c r="AI19" s="392"/>
      <c r="AJ19" s="410"/>
      <c r="AK19" s="411"/>
      <c r="AL19" s="418"/>
      <c r="AM19" s="451"/>
      <c r="AN19" s="449"/>
      <c r="AO19" s="425"/>
    </row>
    <row r="20" spans="1:41" x14ac:dyDescent="0.25">
      <c r="A20" s="391">
        <v>11</v>
      </c>
      <c r="B20" s="599" t="s">
        <v>935</v>
      </c>
      <c r="C20" s="395"/>
      <c r="D20" s="394"/>
      <c r="E20" s="392"/>
      <c r="F20" s="393"/>
      <c r="G20" s="394"/>
      <c r="H20" s="392"/>
      <c r="I20" s="393"/>
      <c r="J20" s="394"/>
      <c r="K20" s="392"/>
      <c r="L20" s="393"/>
      <c r="M20" s="394"/>
      <c r="N20" s="392"/>
      <c r="O20" s="393"/>
      <c r="P20" s="394"/>
      <c r="Q20" s="392"/>
      <c r="R20" s="393"/>
      <c r="S20" s="394"/>
      <c r="T20" s="392"/>
      <c r="U20" s="393"/>
      <c r="V20" s="394"/>
      <c r="W20" s="392"/>
      <c r="X20" s="393"/>
      <c r="Y20" s="394"/>
      <c r="Z20" s="392"/>
      <c r="AA20" s="393"/>
      <c r="AB20" s="394"/>
      <c r="AC20" s="392"/>
      <c r="AD20" s="393"/>
      <c r="AE20" s="394"/>
      <c r="AF20" s="392"/>
      <c r="AG20" s="393"/>
      <c r="AH20" s="394"/>
      <c r="AI20" s="392"/>
      <c r="AJ20" s="410"/>
      <c r="AK20" s="412"/>
      <c r="AL20" s="419"/>
      <c r="AM20" s="419"/>
      <c r="AN20" s="449"/>
      <c r="AO20" s="425"/>
    </row>
    <row r="21" spans="1:41" x14ac:dyDescent="0.25">
      <c r="A21" s="391">
        <v>12</v>
      </c>
      <c r="B21" s="599" t="s">
        <v>936</v>
      </c>
      <c r="C21" s="395"/>
      <c r="D21" s="394"/>
      <c r="E21" s="392"/>
      <c r="F21" s="393"/>
      <c r="G21" s="394"/>
      <c r="H21" s="392"/>
      <c r="I21" s="393"/>
      <c r="J21" s="394"/>
      <c r="K21" s="392"/>
      <c r="L21" s="393"/>
      <c r="M21" s="394"/>
      <c r="N21" s="392"/>
      <c r="O21" s="393"/>
      <c r="P21" s="394"/>
      <c r="Q21" s="392"/>
      <c r="R21" s="393"/>
      <c r="S21" s="394"/>
      <c r="T21" s="392"/>
      <c r="U21" s="393"/>
      <c r="V21" s="394"/>
      <c r="W21" s="392"/>
      <c r="X21" s="393"/>
      <c r="Y21" s="394"/>
      <c r="Z21" s="392"/>
      <c r="AA21" s="393"/>
      <c r="AB21" s="394"/>
      <c r="AC21" s="392"/>
      <c r="AD21" s="393"/>
      <c r="AE21" s="394"/>
      <c r="AF21" s="392"/>
      <c r="AG21" s="393"/>
      <c r="AH21" s="394"/>
      <c r="AI21" s="392"/>
      <c r="AJ21" s="410"/>
      <c r="AK21" s="411"/>
      <c r="AL21" s="418"/>
      <c r="AM21" s="451"/>
      <c r="AN21" s="449"/>
      <c r="AO21" s="425"/>
    </row>
    <row r="22" spans="1:41" x14ac:dyDescent="0.25">
      <c r="A22" s="391">
        <v>13</v>
      </c>
      <c r="B22" s="599" t="s">
        <v>937</v>
      </c>
      <c r="C22" s="395"/>
      <c r="D22" s="394"/>
      <c r="E22" s="392"/>
      <c r="F22" s="393"/>
      <c r="G22" s="394"/>
      <c r="H22" s="392"/>
      <c r="I22" s="393"/>
      <c r="J22" s="394"/>
      <c r="K22" s="392"/>
      <c r="L22" s="393"/>
      <c r="M22" s="394"/>
      <c r="N22" s="392"/>
      <c r="O22" s="393"/>
      <c r="P22" s="394"/>
      <c r="Q22" s="392"/>
      <c r="R22" s="393"/>
      <c r="S22" s="394"/>
      <c r="T22" s="392"/>
      <c r="U22" s="393"/>
      <c r="V22" s="394"/>
      <c r="W22" s="392"/>
      <c r="X22" s="393"/>
      <c r="Y22" s="394"/>
      <c r="Z22" s="392"/>
      <c r="AA22" s="393"/>
      <c r="AB22" s="394"/>
      <c r="AC22" s="392"/>
      <c r="AD22" s="393"/>
      <c r="AE22" s="394"/>
      <c r="AF22" s="392"/>
      <c r="AG22" s="393"/>
      <c r="AH22" s="394"/>
      <c r="AI22" s="392"/>
      <c r="AJ22" s="410"/>
      <c r="AK22" s="412"/>
      <c r="AL22" s="419"/>
      <c r="AM22" s="419"/>
      <c r="AN22" s="449"/>
      <c r="AO22" s="425"/>
    </row>
    <row r="23" spans="1:41" x14ac:dyDescent="0.25">
      <c r="A23" s="391">
        <v>14</v>
      </c>
      <c r="B23" s="599" t="s">
        <v>938</v>
      </c>
      <c r="C23" s="397"/>
      <c r="D23" s="394"/>
      <c r="E23" s="392"/>
      <c r="F23" s="393"/>
      <c r="G23" s="394"/>
      <c r="H23" s="392"/>
      <c r="I23" s="393"/>
      <c r="J23" s="394"/>
      <c r="K23" s="392"/>
      <c r="L23" s="393"/>
      <c r="M23" s="394"/>
      <c r="N23" s="392"/>
      <c r="O23" s="393"/>
      <c r="P23" s="394"/>
      <c r="Q23" s="392"/>
      <c r="R23" s="393"/>
      <c r="S23" s="394"/>
      <c r="T23" s="392"/>
      <c r="U23" s="393"/>
      <c r="V23" s="394"/>
      <c r="W23" s="392"/>
      <c r="X23" s="393"/>
      <c r="Y23" s="394"/>
      <c r="Z23" s="392"/>
      <c r="AA23" s="393"/>
      <c r="AB23" s="394"/>
      <c r="AC23" s="392"/>
      <c r="AD23" s="393"/>
      <c r="AE23" s="394"/>
      <c r="AF23" s="392"/>
      <c r="AG23" s="393"/>
      <c r="AH23" s="394"/>
      <c r="AI23" s="392"/>
      <c r="AJ23" s="410"/>
      <c r="AK23" s="411"/>
      <c r="AL23" s="418"/>
      <c r="AM23" s="451"/>
      <c r="AN23" s="449"/>
      <c r="AO23" s="425"/>
    </row>
    <row r="24" spans="1:41" x14ac:dyDescent="0.25">
      <c r="A24" s="391">
        <v>15</v>
      </c>
      <c r="B24" s="599" t="s">
        <v>939</v>
      </c>
      <c r="C24" s="396"/>
      <c r="D24" s="394"/>
      <c r="E24" s="392"/>
      <c r="F24" s="393"/>
      <c r="G24" s="394"/>
      <c r="H24" s="392"/>
      <c r="I24" s="393"/>
      <c r="J24" s="394"/>
      <c r="K24" s="392"/>
      <c r="L24" s="393"/>
      <c r="M24" s="394"/>
      <c r="N24" s="392"/>
      <c r="O24" s="393"/>
      <c r="P24" s="394"/>
      <c r="Q24" s="392"/>
      <c r="R24" s="393"/>
      <c r="S24" s="394"/>
      <c r="T24" s="392"/>
      <c r="U24" s="393"/>
      <c r="V24" s="394"/>
      <c r="W24" s="392"/>
      <c r="X24" s="393"/>
      <c r="Y24" s="394"/>
      <c r="Z24" s="392"/>
      <c r="AA24" s="393"/>
      <c r="AB24" s="394"/>
      <c r="AC24" s="392"/>
      <c r="AD24" s="393"/>
      <c r="AE24" s="394"/>
      <c r="AF24" s="392"/>
      <c r="AG24" s="393"/>
      <c r="AH24" s="394"/>
      <c r="AI24" s="392"/>
      <c r="AJ24" s="410"/>
      <c r="AK24" s="412"/>
      <c r="AL24" s="419"/>
      <c r="AM24" s="419"/>
      <c r="AN24" s="449"/>
      <c r="AO24" s="425"/>
    </row>
    <row r="25" spans="1:41" x14ac:dyDescent="0.25">
      <c r="A25" s="391">
        <v>16</v>
      </c>
      <c r="B25" s="599" t="s">
        <v>940</v>
      </c>
      <c r="C25" s="395"/>
      <c r="D25" s="394"/>
      <c r="E25" s="392"/>
      <c r="F25" s="393"/>
      <c r="G25" s="394"/>
      <c r="H25" s="392"/>
      <c r="I25" s="393"/>
      <c r="J25" s="394"/>
      <c r="K25" s="392"/>
      <c r="L25" s="393"/>
      <c r="M25" s="394"/>
      <c r="N25" s="392"/>
      <c r="O25" s="393"/>
      <c r="P25" s="394"/>
      <c r="Q25" s="392"/>
      <c r="R25" s="393"/>
      <c r="S25" s="394"/>
      <c r="T25" s="392"/>
      <c r="U25" s="393"/>
      <c r="V25" s="394"/>
      <c r="W25" s="392"/>
      <c r="X25" s="393"/>
      <c r="Y25" s="394"/>
      <c r="Z25" s="392"/>
      <c r="AA25" s="393"/>
      <c r="AB25" s="394"/>
      <c r="AC25" s="392"/>
      <c r="AD25" s="393"/>
      <c r="AE25" s="394"/>
      <c r="AF25" s="392"/>
      <c r="AG25" s="393"/>
      <c r="AH25" s="394"/>
      <c r="AI25" s="392"/>
      <c r="AJ25" s="410"/>
      <c r="AK25" s="411"/>
      <c r="AL25" s="418"/>
      <c r="AM25" s="451"/>
      <c r="AN25" s="449"/>
      <c r="AO25" s="425"/>
    </row>
    <row r="26" spans="1:41" x14ac:dyDescent="0.25">
      <c r="A26" s="391">
        <v>17</v>
      </c>
      <c r="B26" s="599" t="s">
        <v>941</v>
      </c>
      <c r="C26" s="395"/>
      <c r="D26" s="394"/>
      <c r="E26" s="392"/>
      <c r="F26" s="393"/>
      <c r="G26" s="394"/>
      <c r="H26" s="392"/>
      <c r="I26" s="393"/>
      <c r="J26" s="394"/>
      <c r="K26" s="392"/>
      <c r="L26" s="393"/>
      <c r="M26" s="394"/>
      <c r="N26" s="392"/>
      <c r="O26" s="393"/>
      <c r="P26" s="394"/>
      <c r="Q26" s="392"/>
      <c r="R26" s="393"/>
      <c r="S26" s="394"/>
      <c r="T26" s="392"/>
      <c r="U26" s="393"/>
      <c r="V26" s="394"/>
      <c r="W26" s="392"/>
      <c r="X26" s="393"/>
      <c r="Y26" s="394"/>
      <c r="Z26" s="392"/>
      <c r="AA26" s="393"/>
      <c r="AB26" s="394"/>
      <c r="AC26" s="392"/>
      <c r="AD26" s="393"/>
      <c r="AE26" s="394"/>
      <c r="AF26" s="392"/>
      <c r="AG26" s="393"/>
      <c r="AH26" s="394"/>
      <c r="AI26" s="392"/>
      <c r="AJ26" s="410"/>
      <c r="AK26" s="412"/>
      <c r="AL26" s="419"/>
      <c r="AM26" s="419"/>
      <c r="AN26" s="449"/>
      <c r="AO26" s="425"/>
    </row>
    <row r="27" spans="1:41" x14ac:dyDescent="0.25">
      <c r="A27" s="391">
        <v>18</v>
      </c>
      <c r="B27" s="599" t="s">
        <v>942</v>
      </c>
      <c r="C27" s="395"/>
      <c r="D27" s="394"/>
      <c r="E27" s="392"/>
      <c r="F27" s="393"/>
      <c r="G27" s="394"/>
      <c r="H27" s="392"/>
      <c r="I27" s="393"/>
      <c r="J27" s="394"/>
      <c r="K27" s="392"/>
      <c r="L27" s="393"/>
      <c r="M27" s="394"/>
      <c r="N27" s="392"/>
      <c r="O27" s="393"/>
      <c r="P27" s="394"/>
      <c r="Q27" s="392"/>
      <c r="R27" s="393"/>
      <c r="S27" s="394"/>
      <c r="T27" s="392"/>
      <c r="U27" s="393"/>
      <c r="V27" s="394"/>
      <c r="W27" s="392"/>
      <c r="X27" s="393"/>
      <c r="Y27" s="394"/>
      <c r="Z27" s="392"/>
      <c r="AA27" s="393"/>
      <c r="AB27" s="394"/>
      <c r="AC27" s="392"/>
      <c r="AD27" s="393"/>
      <c r="AE27" s="394"/>
      <c r="AF27" s="392"/>
      <c r="AG27" s="393"/>
      <c r="AH27" s="394"/>
      <c r="AI27" s="392"/>
      <c r="AJ27" s="410"/>
      <c r="AK27" s="411"/>
      <c r="AL27" s="418"/>
      <c r="AM27" s="451"/>
      <c r="AN27" s="449"/>
      <c r="AO27" s="425"/>
    </row>
    <row r="28" spans="1:41" x14ac:dyDescent="0.25">
      <c r="A28" s="391">
        <v>19</v>
      </c>
      <c r="B28" s="599" t="s">
        <v>956</v>
      </c>
      <c r="C28" s="395"/>
      <c r="D28" s="394"/>
      <c r="E28" s="392"/>
      <c r="F28" s="393"/>
      <c r="G28" s="394"/>
      <c r="H28" s="392"/>
      <c r="I28" s="393"/>
      <c r="J28" s="394"/>
      <c r="K28" s="392"/>
      <c r="L28" s="393"/>
      <c r="M28" s="394"/>
      <c r="N28" s="392"/>
      <c r="O28" s="393"/>
      <c r="P28" s="394"/>
      <c r="Q28" s="392"/>
      <c r="R28" s="393"/>
      <c r="S28" s="394"/>
      <c r="T28" s="392"/>
      <c r="U28" s="393"/>
      <c r="V28" s="394"/>
      <c r="W28" s="392"/>
      <c r="X28" s="393"/>
      <c r="Y28" s="394"/>
      <c r="Z28" s="392"/>
      <c r="AA28" s="393"/>
      <c r="AB28" s="394"/>
      <c r="AC28" s="392"/>
      <c r="AD28" s="393"/>
      <c r="AE28" s="394"/>
      <c r="AF28" s="392"/>
      <c r="AG28" s="393"/>
      <c r="AH28" s="394"/>
      <c r="AI28" s="392"/>
      <c r="AJ28" s="410"/>
      <c r="AK28" s="412"/>
      <c r="AL28" s="419"/>
      <c r="AM28" s="419"/>
      <c r="AN28" s="449"/>
      <c r="AO28" s="425"/>
    </row>
    <row r="29" spans="1:41" x14ac:dyDescent="0.25">
      <c r="A29" s="391">
        <v>20</v>
      </c>
      <c r="B29" s="599" t="s">
        <v>943</v>
      </c>
      <c r="C29" s="395"/>
      <c r="D29" s="394"/>
      <c r="E29" s="392"/>
      <c r="F29" s="393"/>
      <c r="G29" s="394"/>
      <c r="H29" s="392"/>
      <c r="I29" s="393"/>
      <c r="J29" s="394"/>
      <c r="K29" s="392"/>
      <c r="L29" s="393"/>
      <c r="M29" s="394"/>
      <c r="N29" s="392"/>
      <c r="O29" s="393"/>
      <c r="P29" s="394"/>
      <c r="Q29" s="392"/>
      <c r="R29" s="393"/>
      <c r="S29" s="394"/>
      <c r="T29" s="392"/>
      <c r="U29" s="393"/>
      <c r="V29" s="394"/>
      <c r="W29" s="392"/>
      <c r="X29" s="393"/>
      <c r="Y29" s="394"/>
      <c r="Z29" s="392"/>
      <c r="AA29" s="393"/>
      <c r="AB29" s="394"/>
      <c r="AC29" s="392"/>
      <c r="AD29" s="393"/>
      <c r="AE29" s="394"/>
      <c r="AF29" s="392"/>
      <c r="AG29" s="393"/>
      <c r="AH29" s="394"/>
      <c r="AI29" s="392"/>
      <c r="AJ29" s="410"/>
      <c r="AK29" s="411"/>
      <c r="AL29" s="418"/>
      <c r="AM29" s="451"/>
      <c r="AN29" s="449"/>
      <c r="AO29" s="425"/>
    </row>
    <row r="30" spans="1:41" x14ac:dyDescent="0.25">
      <c r="A30" s="391">
        <v>21</v>
      </c>
      <c r="B30" s="599" t="s">
        <v>944</v>
      </c>
      <c r="C30" s="395"/>
      <c r="D30" s="394"/>
      <c r="E30" s="392"/>
      <c r="F30" s="393"/>
      <c r="G30" s="394"/>
      <c r="H30" s="392"/>
      <c r="I30" s="393"/>
      <c r="J30" s="394"/>
      <c r="K30" s="392"/>
      <c r="L30" s="393"/>
      <c r="M30" s="394"/>
      <c r="N30" s="392"/>
      <c r="O30" s="393"/>
      <c r="P30" s="394"/>
      <c r="Q30" s="392"/>
      <c r="R30" s="393"/>
      <c r="S30" s="394"/>
      <c r="T30" s="392"/>
      <c r="U30" s="393"/>
      <c r="V30" s="394"/>
      <c r="W30" s="392"/>
      <c r="X30" s="393"/>
      <c r="Y30" s="394"/>
      <c r="Z30" s="392"/>
      <c r="AA30" s="393"/>
      <c r="AB30" s="394"/>
      <c r="AC30" s="392"/>
      <c r="AD30" s="393"/>
      <c r="AE30" s="394"/>
      <c r="AF30" s="392"/>
      <c r="AG30" s="393"/>
      <c r="AH30" s="394"/>
      <c r="AI30" s="392"/>
      <c r="AJ30" s="410"/>
      <c r="AK30" s="412"/>
      <c r="AL30" s="419"/>
      <c r="AM30" s="419"/>
      <c r="AN30" s="449"/>
      <c r="AO30" s="425"/>
    </row>
    <row r="31" spans="1:41" x14ac:dyDescent="0.25">
      <c r="A31" s="391">
        <v>22</v>
      </c>
      <c r="B31" s="599" t="s">
        <v>957</v>
      </c>
      <c r="C31" s="395"/>
      <c r="D31" s="394"/>
      <c r="E31" s="392"/>
      <c r="F31" s="393"/>
      <c r="G31" s="394"/>
      <c r="H31" s="392"/>
      <c r="I31" s="393"/>
      <c r="J31" s="394"/>
      <c r="K31" s="392"/>
      <c r="L31" s="393"/>
      <c r="M31" s="394"/>
      <c r="N31" s="392"/>
      <c r="O31" s="393"/>
      <c r="P31" s="394"/>
      <c r="Q31" s="392"/>
      <c r="R31" s="393"/>
      <c r="S31" s="394"/>
      <c r="T31" s="392"/>
      <c r="U31" s="393"/>
      <c r="V31" s="394"/>
      <c r="W31" s="392"/>
      <c r="X31" s="393"/>
      <c r="Y31" s="394"/>
      <c r="Z31" s="392"/>
      <c r="AA31" s="393"/>
      <c r="AB31" s="394"/>
      <c r="AC31" s="392"/>
      <c r="AD31" s="393"/>
      <c r="AE31" s="394"/>
      <c r="AF31" s="392"/>
      <c r="AG31" s="393"/>
      <c r="AH31" s="394"/>
      <c r="AI31" s="392"/>
      <c r="AJ31" s="410"/>
      <c r="AK31" s="411"/>
      <c r="AL31" s="418"/>
      <c r="AM31" s="451"/>
      <c r="AN31" s="449"/>
      <c r="AO31" s="425"/>
    </row>
    <row r="32" spans="1:41" x14ac:dyDescent="0.25">
      <c r="A32" s="391">
        <v>23</v>
      </c>
      <c r="B32" s="599" t="s">
        <v>945</v>
      </c>
      <c r="C32" s="395"/>
      <c r="D32" s="394"/>
      <c r="E32" s="392"/>
      <c r="F32" s="393"/>
      <c r="G32" s="394"/>
      <c r="H32" s="392"/>
      <c r="I32" s="393"/>
      <c r="J32" s="394"/>
      <c r="K32" s="392"/>
      <c r="L32" s="393"/>
      <c r="M32" s="394"/>
      <c r="N32" s="392"/>
      <c r="O32" s="393"/>
      <c r="P32" s="394"/>
      <c r="Q32" s="392"/>
      <c r="R32" s="393"/>
      <c r="S32" s="394"/>
      <c r="T32" s="392"/>
      <c r="U32" s="393"/>
      <c r="V32" s="394"/>
      <c r="W32" s="392"/>
      <c r="X32" s="393"/>
      <c r="Y32" s="394"/>
      <c r="Z32" s="392"/>
      <c r="AA32" s="393"/>
      <c r="AB32" s="394"/>
      <c r="AC32" s="392"/>
      <c r="AD32" s="393"/>
      <c r="AE32" s="394"/>
      <c r="AF32" s="392"/>
      <c r="AG32" s="393"/>
      <c r="AH32" s="394"/>
      <c r="AI32" s="392"/>
      <c r="AJ32" s="410"/>
      <c r="AK32" s="412"/>
      <c r="AL32" s="419"/>
      <c r="AM32" s="419"/>
      <c r="AN32" s="449"/>
      <c r="AO32" s="425"/>
    </row>
    <row r="33" spans="1:41" x14ac:dyDescent="0.25">
      <c r="A33" s="391">
        <v>24</v>
      </c>
      <c r="B33" s="599" t="s">
        <v>958</v>
      </c>
      <c r="C33" s="395"/>
      <c r="D33" s="394"/>
      <c r="E33" s="392"/>
      <c r="F33" s="393"/>
      <c r="G33" s="394"/>
      <c r="H33" s="392"/>
      <c r="I33" s="393"/>
      <c r="J33" s="394"/>
      <c r="K33" s="392"/>
      <c r="L33" s="393"/>
      <c r="M33" s="394"/>
      <c r="N33" s="392"/>
      <c r="O33" s="393"/>
      <c r="P33" s="394"/>
      <c r="Q33" s="392"/>
      <c r="R33" s="393"/>
      <c r="S33" s="394"/>
      <c r="T33" s="392"/>
      <c r="U33" s="393"/>
      <c r="V33" s="394"/>
      <c r="W33" s="392"/>
      <c r="X33" s="393"/>
      <c r="Y33" s="394"/>
      <c r="Z33" s="392"/>
      <c r="AA33" s="393"/>
      <c r="AB33" s="394"/>
      <c r="AC33" s="392"/>
      <c r="AD33" s="393"/>
      <c r="AE33" s="394"/>
      <c r="AF33" s="392"/>
      <c r="AG33" s="393"/>
      <c r="AH33" s="394"/>
      <c r="AI33" s="392"/>
      <c r="AJ33" s="410"/>
      <c r="AK33" s="411"/>
      <c r="AL33" s="418"/>
      <c r="AM33" s="451"/>
      <c r="AN33" s="449"/>
      <c r="AO33" s="425"/>
    </row>
    <row r="34" spans="1:41" x14ac:dyDescent="0.25">
      <c r="A34" s="391">
        <v>25</v>
      </c>
      <c r="B34" s="599" t="s">
        <v>946</v>
      </c>
      <c r="C34" s="395"/>
      <c r="D34" s="394"/>
      <c r="E34" s="392"/>
      <c r="F34" s="393"/>
      <c r="G34" s="394"/>
      <c r="H34" s="392"/>
      <c r="I34" s="393"/>
      <c r="J34" s="394"/>
      <c r="K34" s="392"/>
      <c r="L34" s="393"/>
      <c r="M34" s="394"/>
      <c r="N34" s="392"/>
      <c r="O34" s="393"/>
      <c r="P34" s="394"/>
      <c r="Q34" s="392"/>
      <c r="R34" s="393"/>
      <c r="S34" s="394"/>
      <c r="T34" s="392"/>
      <c r="U34" s="393"/>
      <c r="V34" s="394"/>
      <c r="W34" s="392"/>
      <c r="X34" s="393"/>
      <c r="Y34" s="394"/>
      <c r="Z34" s="392"/>
      <c r="AA34" s="393"/>
      <c r="AB34" s="394"/>
      <c r="AC34" s="392"/>
      <c r="AD34" s="393"/>
      <c r="AE34" s="394"/>
      <c r="AF34" s="392"/>
      <c r="AG34" s="393"/>
      <c r="AH34" s="394"/>
      <c r="AI34" s="392"/>
      <c r="AJ34" s="410"/>
      <c r="AK34" s="412"/>
      <c r="AL34" s="419"/>
      <c r="AM34" s="419"/>
      <c r="AN34" s="449"/>
      <c r="AO34" s="425"/>
    </row>
    <row r="35" spans="1:41" x14ac:dyDescent="0.25">
      <c r="A35" s="391">
        <v>26</v>
      </c>
      <c r="B35" s="599" t="s">
        <v>947</v>
      </c>
      <c r="C35" s="395"/>
      <c r="D35" s="394"/>
      <c r="E35" s="392"/>
      <c r="F35" s="393"/>
      <c r="G35" s="394"/>
      <c r="H35" s="392"/>
      <c r="I35" s="393"/>
      <c r="J35" s="394"/>
      <c r="K35" s="392"/>
      <c r="L35" s="393"/>
      <c r="M35" s="394"/>
      <c r="N35" s="392"/>
      <c r="O35" s="393"/>
      <c r="P35" s="394"/>
      <c r="Q35" s="392"/>
      <c r="R35" s="393"/>
      <c r="S35" s="394"/>
      <c r="T35" s="392"/>
      <c r="U35" s="393"/>
      <c r="V35" s="394"/>
      <c r="W35" s="392"/>
      <c r="X35" s="393"/>
      <c r="Y35" s="394"/>
      <c r="Z35" s="392"/>
      <c r="AA35" s="393"/>
      <c r="AB35" s="394"/>
      <c r="AC35" s="392"/>
      <c r="AD35" s="393"/>
      <c r="AE35" s="394"/>
      <c r="AF35" s="392"/>
      <c r="AG35" s="393"/>
      <c r="AH35" s="394"/>
      <c r="AI35" s="392"/>
      <c r="AJ35" s="410"/>
      <c r="AK35" s="411"/>
      <c r="AL35" s="418"/>
      <c r="AM35" s="451"/>
      <c r="AN35" s="449"/>
      <c r="AO35" s="425"/>
    </row>
    <row r="36" spans="1:41" x14ac:dyDescent="0.25">
      <c r="A36" s="391">
        <v>27</v>
      </c>
      <c r="B36" s="599" t="s">
        <v>959</v>
      </c>
      <c r="C36" s="395"/>
      <c r="D36" s="394"/>
      <c r="E36" s="392"/>
      <c r="F36" s="393"/>
      <c r="G36" s="394"/>
      <c r="H36" s="392"/>
      <c r="I36" s="393"/>
      <c r="J36" s="394"/>
      <c r="K36" s="392"/>
      <c r="L36" s="393"/>
      <c r="M36" s="394"/>
      <c r="N36" s="392"/>
      <c r="O36" s="393"/>
      <c r="P36" s="394"/>
      <c r="Q36" s="392"/>
      <c r="R36" s="393"/>
      <c r="S36" s="394"/>
      <c r="T36" s="392"/>
      <c r="U36" s="393"/>
      <c r="V36" s="394"/>
      <c r="W36" s="392"/>
      <c r="X36" s="393"/>
      <c r="Y36" s="394"/>
      <c r="Z36" s="392"/>
      <c r="AA36" s="393"/>
      <c r="AB36" s="394"/>
      <c r="AC36" s="392"/>
      <c r="AD36" s="393"/>
      <c r="AE36" s="394"/>
      <c r="AF36" s="392"/>
      <c r="AG36" s="393"/>
      <c r="AH36" s="394"/>
      <c r="AI36" s="392"/>
      <c r="AJ36" s="410"/>
      <c r="AK36" s="412"/>
      <c r="AL36" s="419"/>
      <c r="AM36" s="419"/>
      <c r="AN36" s="449"/>
      <c r="AO36" s="425"/>
    </row>
    <row r="37" spans="1:41" x14ac:dyDescent="0.25">
      <c r="A37" s="391">
        <v>28</v>
      </c>
      <c r="B37" s="599" t="s">
        <v>960</v>
      </c>
      <c r="C37" s="395"/>
      <c r="D37" s="394"/>
      <c r="E37" s="392"/>
      <c r="F37" s="398"/>
      <c r="G37" s="394"/>
      <c r="H37" s="392"/>
      <c r="I37" s="398"/>
      <c r="J37" s="394"/>
      <c r="K37" s="392"/>
      <c r="L37" s="398"/>
      <c r="M37" s="394"/>
      <c r="N37" s="392"/>
      <c r="O37" s="398"/>
      <c r="P37" s="394"/>
      <c r="Q37" s="392"/>
      <c r="R37" s="398"/>
      <c r="S37" s="394"/>
      <c r="T37" s="392"/>
      <c r="U37" s="398"/>
      <c r="V37" s="394"/>
      <c r="W37" s="392"/>
      <c r="X37" s="398"/>
      <c r="Y37" s="394"/>
      <c r="Z37" s="392"/>
      <c r="AA37" s="398"/>
      <c r="AB37" s="394"/>
      <c r="AC37" s="392"/>
      <c r="AD37" s="398"/>
      <c r="AE37" s="394"/>
      <c r="AF37" s="392"/>
      <c r="AG37" s="398"/>
      <c r="AH37" s="394"/>
      <c r="AI37" s="392"/>
      <c r="AJ37" s="413"/>
      <c r="AK37" s="411"/>
      <c r="AL37" s="418"/>
      <c r="AM37" s="451"/>
      <c r="AN37" s="449"/>
      <c r="AO37" s="425"/>
    </row>
    <row r="38" spans="1:41" x14ac:dyDescent="0.25">
      <c r="A38" s="391">
        <v>29</v>
      </c>
      <c r="B38" s="599" t="s">
        <v>948</v>
      </c>
      <c r="C38" s="395"/>
      <c r="D38" s="394"/>
      <c r="E38" s="392"/>
      <c r="F38" s="393"/>
      <c r="G38" s="394"/>
      <c r="H38" s="392"/>
      <c r="I38" s="393"/>
      <c r="J38" s="394"/>
      <c r="K38" s="392"/>
      <c r="L38" s="393"/>
      <c r="M38" s="394"/>
      <c r="N38" s="392"/>
      <c r="O38" s="393"/>
      <c r="P38" s="394"/>
      <c r="Q38" s="392"/>
      <c r="R38" s="393"/>
      <c r="S38" s="394"/>
      <c r="T38" s="392"/>
      <c r="U38" s="393"/>
      <c r="V38" s="394"/>
      <c r="W38" s="392"/>
      <c r="X38" s="393"/>
      <c r="Y38" s="394"/>
      <c r="Z38" s="392"/>
      <c r="AA38" s="393"/>
      <c r="AB38" s="394"/>
      <c r="AC38" s="392"/>
      <c r="AD38" s="393"/>
      <c r="AE38" s="394"/>
      <c r="AF38" s="392"/>
      <c r="AG38" s="393"/>
      <c r="AH38" s="394"/>
      <c r="AI38" s="392"/>
      <c r="AJ38" s="410"/>
      <c r="AK38" s="412"/>
      <c r="AL38" s="419"/>
      <c r="AM38" s="419"/>
      <c r="AN38" s="449"/>
      <c r="AO38" s="425"/>
    </row>
    <row r="39" spans="1:41" x14ac:dyDescent="0.25">
      <c r="A39" s="391">
        <v>30</v>
      </c>
      <c r="B39" s="599" t="s">
        <v>961</v>
      </c>
      <c r="C39" s="395"/>
      <c r="D39" s="394"/>
      <c r="E39" s="392"/>
      <c r="F39" s="393"/>
      <c r="G39" s="394"/>
      <c r="H39" s="392"/>
      <c r="I39" s="393"/>
      <c r="J39" s="394"/>
      <c r="K39" s="392"/>
      <c r="L39" s="393"/>
      <c r="M39" s="394"/>
      <c r="N39" s="392"/>
      <c r="O39" s="393"/>
      <c r="P39" s="394"/>
      <c r="Q39" s="392"/>
      <c r="R39" s="393"/>
      <c r="S39" s="394"/>
      <c r="T39" s="392"/>
      <c r="U39" s="393"/>
      <c r="V39" s="394"/>
      <c r="W39" s="392"/>
      <c r="X39" s="393"/>
      <c r="Y39" s="394"/>
      <c r="Z39" s="392"/>
      <c r="AA39" s="393"/>
      <c r="AB39" s="394"/>
      <c r="AC39" s="392"/>
      <c r="AD39" s="393"/>
      <c r="AE39" s="394"/>
      <c r="AF39" s="392"/>
      <c r="AG39" s="393"/>
      <c r="AH39" s="394"/>
      <c r="AI39" s="392"/>
      <c r="AJ39" s="410"/>
      <c r="AK39" s="411"/>
      <c r="AL39" s="418"/>
      <c r="AM39" s="451"/>
      <c r="AN39" s="449"/>
      <c r="AO39" s="425"/>
    </row>
    <row r="40" spans="1:41" x14ac:dyDescent="0.25">
      <c r="A40" s="391">
        <v>31</v>
      </c>
      <c r="B40" s="599" t="s">
        <v>949</v>
      </c>
      <c r="C40" s="395"/>
      <c r="D40" s="394"/>
      <c r="E40" s="392"/>
      <c r="F40" s="393"/>
      <c r="G40" s="394"/>
      <c r="H40" s="392"/>
      <c r="I40" s="393"/>
      <c r="J40" s="394"/>
      <c r="K40" s="392"/>
      <c r="L40" s="393"/>
      <c r="M40" s="394"/>
      <c r="N40" s="392"/>
      <c r="O40" s="393"/>
      <c r="P40" s="394"/>
      <c r="Q40" s="392"/>
      <c r="R40" s="393"/>
      <c r="S40" s="394"/>
      <c r="T40" s="392"/>
      <c r="U40" s="393"/>
      <c r="V40" s="394"/>
      <c r="W40" s="392"/>
      <c r="X40" s="393"/>
      <c r="Y40" s="394"/>
      <c r="Z40" s="392"/>
      <c r="AA40" s="393"/>
      <c r="AB40" s="394"/>
      <c r="AC40" s="392"/>
      <c r="AD40" s="393"/>
      <c r="AE40" s="394"/>
      <c r="AF40" s="392"/>
      <c r="AG40" s="393"/>
      <c r="AH40" s="394"/>
      <c r="AI40" s="392"/>
      <c r="AJ40" s="410"/>
      <c r="AK40" s="412"/>
      <c r="AL40" s="419"/>
      <c r="AM40" s="419"/>
      <c r="AN40" s="449"/>
      <c r="AO40" s="425"/>
    </row>
    <row r="41" spans="1:41" x14ac:dyDescent="0.25">
      <c r="A41" s="391">
        <v>32</v>
      </c>
      <c r="B41" s="599" t="s">
        <v>950</v>
      </c>
      <c r="C41" s="429"/>
      <c r="D41" s="430"/>
      <c r="E41" s="431"/>
      <c r="F41" s="432"/>
      <c r="G41" s="430"/>
      <c r="H41" s="431"/>
      <c r="I41" s="432"/>
      <c r="J41" s="430"/>
      <c r="K41" s="431"/>
      <c r="L41" s="432"/>
      <c r="M41" s="430"/>
      <c r="N41" s="431"/>
      <c r="O41" s="432"/>
      <c r="P41" s="430"/>
      <c r="Q41" s="431"/>
      <c r="R41" s="432"/>
      <c r="S41" s="430"/>
      <c r="T41" s="431"/>
      <c r="U41" s="432"/>
      <c r="V41" s="430"/>
      <c r="W41" s="431"/>
      <c r="X41" s="432"/>
      <c r="Y41" s="430"/>
      <c r="Z41" s="431"/>
      <c r="AA41" s="432"/>
      <c r="AB41" s="430"/>
      <c r="AC41" s="431"/>
      <c r="AD41" s="432"/>
      <c r="AE41" s="430"/>
      <c r="AF41" s="431"/>
      <c r="AG41" s="432"/>
      <c r="AH41" s="430"/>
      <c r="AI41" s="431"/>
      <c r="AJ41" s="433"/>
      <c r="AK41" s="434"/>
      <c r="AL41" s="435"/>
      <c r="AM41" s="435"/>
      <c r="AN41" s="449"/>
      <c r="AO41" s="449"/>
    </row>
    <row r="42" spans="1:41" x14ac:dyDescent="0.25">
      <c r="A42" s="391">
        <v>33</v>
      </c>
      <c r="B42" s="599" t="s">
        <v>962</v>
      </c>
      <c r="C42" s="429"/>
      <c r="D42" s="430"/>
      <c r="E42" s="431"/>
      <c r="F42" s="432"/>
      <c r="G42" s="430"/>
      <c r="H42" s="431"/>
      <c r="I42" s="432"/>
      <c r="J42" s="430"/>
      <c r="K42" s="431"/>
      <c r="L42" s="432"/>
      <c r="M42" s="430"/>
      <c r="N42" s="431"/>
      <c r="O42" s="432"/>
      <c r="P42" s="430"/>
      <c r="Q42" s="431"/>
      <c r="R42" s="432"/>
      <c r="S42" s="430"/>
      <c r="T42" s="431"/>
      <c r="U42" s="432"/>
      <c r="V42" s="430"/>
      <c r="W42" s="431"/>
      <c r="X42" s="432"/>
      <c r="Y42" s="430"/>
      <c r="Z42" s="431"/>
      <c r="AA42" s="432"/>
      <c r="AB42" s="430"/>
      <c r="AC42" s="431"/>
      <c r="AD42" s="432"/>
      <c r="AE42" s="430"/>
      <c r="AF42" s="431"/>
      <c r="AG42" s="432"/>
      <c r="AH42" s="430"/>
      <c r="AI42" s="431"/>
      <c r="AJ42" s="433"/>
      <c r="AK42" s="434"/>
      <c r="AL42" s="435"/>
      <c r="AM42" s="435"/>
      <c r="AN42" s="449"/>
      <c r="AO42" s="449"/>
    </row>
    <row r="43" spans="1:41" x14ac:dyDescent="0.25">
      <c r="A43" s="391">
        <v>34</v>
      </c>
      <c r="B43" s="599" t="s">
        <v>951</v>
      </c>
      <c r="C43" s="429"/>
      <c r="D43" s="430"/>
      <c r="E43" s="431"/>
      <c r="F43" s="432"/>
      <c r="G43" s="430"/>
      <c r="H43" s="431"/>
      <c r="I43" s="432"/>
      <c r="J43" s="430"/>
      <c r="K43" s="431"/>
      <c r="L43" s="432"/>
      <c r="M43" s="430"/>
      <c r="N43" s="431"/>
      <c r="O43" s="432"/>
      <c r="P43" s="430"/>
      <c r="Q43" s="431"/>
      <c r="R43" s="432"/>
      <c r="S43" s="430"/>
      <c r="T43" s="431"/>
      <c r="U43" s="432"/>
      <c r="V43" s="430"/>
      <c r="W43" s="431"/>
      <c r="X43" s="432"/>
      <c r="Y43" s="430"/>
      <c r="Z43" s="431"/>
      <c r="AA43" s="432"/>
      <c r="AB43" s="430"/>
      <c r="AC43" s="431"/>
      <c r="AD43" s="432"/>
      <c r="AE43" s="430"/>
      <c r="AF43" s="431"/>
      <c r="AG43" s="432"/>
      <c r="AH43" s="430"/>
      <c r="AI43" s="431"/>
      <c r="AJ43" s="433"/>
      <c r="AK43" s="434"/>
      <c r="AL43" s="435"/>
      <c r="AM43" s="435"/>
      <c r="AN43" s="449"/>
      <c r="AO43" s="449"/>
    </row>
    <row r="44" spans="1:41" x14ac:dyDescent="0.25">
      <c r="A44" s="391">
        <v>35</v>
      </c>
      <c r="B44" s="599" t="s">
        <v>963</v>
      </c>
      <c r="C44" s="429"/>
      <c r="D44" s="430"/>
      <c r="E44" s="431"/>
      <c r="F44" s="432"/>
      <c r="G44" s="430"/>
      <c r="H44" s="431"/>
      <c r="I44" s="432"/>
      <c r="J44" s="430"/>
      <c r="K44" s="431"/>
      <c r="L44" s="432"/>
      <c r="M44" s="430"/>
      <c r="N44" s="431"/>
      <c r="O44" s="432"/>
      <c r="P44" s="430"/>
      <c r="Q44" s="431"/>
      <c r="R44" s="432"/>
      <c r="S44" s="430"/>
      <c r="T44" s="431"/>
      <c r="U44" s="432"/>
      <c r="V44" s="430"/>
      <c r="W44" s="431"/>
      <c r="X44" s="432"/>
      <c r="Y44" s="430"/>
      <c r="Z44" s="431"/>
      <c r="AA44" s="432"/>
      <c r="AB44" s="430"/>
      <c r="AC44" s="431"/>
      <c r="AD44" s="432"/>
      <c r="AE44" s="430"/>
      <c r="AF44" s="431"/>
      <c r="AG44" s="432"/>
      <c r="AH44" s="430"/>
      <c r="AI44" s="431"/>
      <c r="AJ44" s="433"/>
      <c r="AK44" s="434"/>
      <c r="AL44" s="435"/>
      <c r="AM44" s="435"/>
      <c r="AN44" s="449"/>
      <c r="AO44" s="449"/>
    </row>
    <row r="45" spans="1:41" ht="17.25" thickBot="1" x14ac:dyDescent="0.3">
      <c r="A45" s="391">
        <v>36</v>
      </c>
      <c r="B45" s="599" t="s">
        <v>964</v>
      </c>
      <c r="C45" s="399"/>
      <c r="D45" s="402"/>
      <c r="E45" s="400"/>
      <c r="F45" s="401"/>
      <c r="G45" s="402"/>
      <c r="H45" s="400"/>
      <c r="I45" s="401"/>
      <c r="J45" s="402"/>
      <c r="K45" s="400"/>
      <c r="L45" s="401"/>
      <c r="M45" s="402"/>
      <c r="N45" s="400"/>
      <c r="O45" s="401"/>
      <c r="P45" s="402"/>
      <c r="Q45" s="400"/>
      <c r="R45" s="401"/>
      <c r="S45" s="402"/>
      <c r="T45" s="400"/>
      <c r="U45" s="401"/>
      <c r="V45" s="402"/>
      <c r="W45" s="400"/>
      <c r="X45" s="401"/>
      <c r="Y45" s="402"/>
      <c r="Z45" s="400"/>
      <c r="AA45" s="401"/>
      <c r="AB45" s="402"/>
      <c r="AC45" s="400"/>
      <c r="AD45" s="401"/>
      <c r="AE45" s="402"/>
      <c r="AF45" s="400"/>
      <c r="AG45" s="401"/>
      <c r="AH45" s="402"/>
      <c r="AI45" s="400"/>
      <c r="AJ45" s="414"/>
      <c r="AK45" s="415"/>
      <c r="AL45" s="420"/>
      <c r="AM45" s="452"/>
      <c r="AN45" s="449"/>
      <c r="AO45" s="449"/>
    </row>
    <row r="46" spans="1:41" x14ac:dyDescent="0.25">
      <c r="A46" s="379"/>
      <c r="B46" s="379"/>
      <c r="C46" s="379"/>
      <c r="D46" s="379"/>
      <c r="E46" s="423"/>
      <c r="F46" s="423"/>
      <c r="G46" s="423"/>
      <c r="H46" s="423"/>
      <c r="I46" s="379"/>
      <c r="J46" s="379"/>
      <c r="K46" s="379"/>
      <c r="L46" s="379"/>
      <c r="M46" s="379"/>
      <c r="N46" s="379"/>
      <c r="O46" s="379"/>
      <c r="P46" s="379"/>
      <c r="Q46" s="379"/>
      <c r="R46" s="379"/>
      <c r="S46" s="379"/>
      <c r="T46" s="379"/>
      <c r="U46" s="379"/>
      <c r="V46" s="379"/>
      <c r="W46" s="379"/>
      <c r="X46" s="379"/>
      <c r="Y46" s="379"/>
      <c r="Z46" s="379"/>
      <c r="AA46" s="379"/>
      <c r="AB46" s="379"/>
      <c r="AC46" s="379"/>
      <c r="AD46" s="379"/>
      <c r="AE46" s="379"/>
      <c r="AF46" s="379"/>
      <c r="AG46" s="379"/>
      <c r="AH46" s="379"/>
      <c r="AI46" s="428"/>
      <c r="AJ46" s="428"/>
      <c r="AK46" s="428"/>
      <c r="AL46" s="379"/>
      <c r="AM46" s="379"/>
      <c r="AN46" s="379"/>
      <c r="AO46" s="379"/>
    </row>
    <row r="47" spans="1:41" ht="14.45" customHeight="1" thickBot="1" x14ac:dyDescent="0.3">
      <c r="A47" s="379"/>
      <c r="B47" s="381" t="s">
        <v>172</v>
      </c>
      <c r="C47" s="381"/>
      <c r="D47" s="381"/>
      <c r="E47" s="381"/>
      <c r="F47" s="381"/>
      <c r="G47" s="381"/>
      <c r="H47" s="381"/>
      <c r="I47" s="380"/>
      <c r="J47" s="380"/>
      <c r="K47" s="380"/>
      <c r="L47" s="380"/>
      <c r="M47" s="380"/>
      <c r="N47" s="382" t="s">
        <v>191</v>
      </c>
      <c r="O47" s="380"/>
      <c r="P47" s="380"/>
      <c r="Q47" s="380"/>
      <c r="R47" s="380"/>
      <c r="S47" s="380"/>
      <c r="T47" s="380"/>
      <c r="U47" s="380"/>
      <c r="V47" s="380"/>
      <c r="W47" s="380"/>
      <c r="X47" s="380"/>
      <c r="Y47" s="380"/>
      <c r="Z47" s="380"/>
      <c r="AA47" s="380"/>
      <c r="AB47" s="380"/>
      <c r="AC47" s="380"/>
      <c r="AD47" s="380"/>
      <c r="AE47" s="380"/>
      <c r="AF47" s="380"/>
      <c r="AG47" s="380"/>
      <c r="AH47" s="380"/>
      <c r="AI47" s="382"/>
      <c r="AJ47" s="382" t="s">
        <v>1196</v>
      </c>
      <c r="AK47" s="382"/>
      <c r="AL47" s="380"/>
      <c r="AM47" s="380"/>
      <c r="AN47" s="380"/>
      <c r="AO47" s="380"/>
    </row>
    <row r="48" spans="1:41" ht="15.6" customHeight="1" x14ac:dyDescent="0.25">
      <c r="A48" s="379"/>
      <c r="B48" s="403" t="s">
        <v>281</v>
      </c>
      <c r="C48" s="381"/>
      <c r="D48" s="381"/>
      <c r="E48" s="1153" t="s">
        <v>203</v>
      </c>
      <c r="F48" s="1153"/>
      <c r="G48" s="381"/>
      <c r="H48" s="381"/>
      <c r="I48" s="380"/>
      <c r="J48" s="380"/>
      <c r="K48" s="380"/>
      <c r="L48" s="380"/>
      <c r="M48" s="380"/>
      <c r="N48" s="380" t="s">
        <v>213</v>
      </c>
      <c r="O48" s="380" t="s">
        <v>214</v>
      </c>
      <c r="P48" s="380"/>
      <c r="Q48" s="380"/>
      <c r="R48" s="380"/>
      <c r="S48" s="380" t="s">
        <v>204</v>
      </c>
      <c r="T48" s="380" t="s">
        <v>215</v>
      </c>
      <c r="U48" s="380"/>
      <c r="V48" s="380"/>
      <c r="W48" s="380"/>
      <c r="X48" s="380"/>
      <c r="Y48" s="405"/>
      <c r="Z48" s="1154" t="s">
        <v>216</v>
      </c>
      <c r="AA48" s="1154"/>
      <c r="AB48" s="1154"/>
      <c r="AC48" s="1154"/>
      <c r="AD48" s="1155"/>
      <c r="AE48" s="380"/>
      <c r="AF48" s="380"/>
      <c r="AG48" s="380"/>
      <c r="AH48" s="380"/>
      <c r="AI48" s="381"/>
      <c r="AJ48" s="381" t="s">
        <v>174</v>
      </c>
      <c r="AK48" s="381"/>
      <c r="AL48" s="380"/>
      <c r="AM48" s="380"/>
      <c r="AN48" s="380"/>
      <c r="AO48" s="380"/>
    </row>
    <row r="49" spans="1:41" x14ac:dyDescent="0.25">
      <c r="A49" s="379"/>
      <c r="B49" s="382"/>
      <c r="C49" s="382"/>
      <c r="D49" s="382"/>
      <c r="E49" s="1143" t="s">
        <v>212</v>
      </c>
      <c r="F49" s="1143"/>
      <c r="G49" s="382" t="s">
        <v>65</v>
      </c>
      <c r="H49" s="382" t="s">
        <v>217</v>
      </c>
      <c r="I49" s="380"/>
      <c r="J49" s="380"/>
      <c r="K49" s="380"/>
      <c r="L49" s="380"/>
      <c r="M49" s="380"/>
      <c r="N49" s="380" t="s">
        <v>218</v>
      </c>
      <c r="O49" s="380" t="s">
        <v>219</v>
      </c>
      <c r="P49" s="380"/>
      <c r="Q49" s="380"/>
      <c r="R49" s="380"/>
      <c r="S49" s="380" t="s">
        <v>3</v>
      </c>
      <c r="T49" s="380" t="s">
        <v>220</v>
      </c>
      <c r="U49" s="380"/>
      <c r="V49" s="380"/>
      <c r="W49" s="380"/>
      <c r="X49" s="380"/>
      <c r="Y49" s="406" t="s">
        <v>221</v>
      </c>
      <c r="Z49" s="380"/>
      <c r="AA49" s="380"/>
      <c r="AB49" s="380"/>
      <c r="AC49" s="380"/>
      <c r="AD49" s="416"/>
      <c r="AE49" s="380"/>
      <c r="AF49" s="380"/>
      <c r="AG49" s="380"/>
      <c r="AH49" s="380"/>
      <c r="AI49" s="382"/>
      <c r="AJ49" s="380"/>
      <c r="AK49" s="382"/>
      <c r="AL49" s="382"/>
      <c r="AM49" s="380"/>
      <c r="AN49" s="380"/>
      <c r="AO49" s="380"/>
    </row>
    <row r="50" spans="1:41" ht="17.25" thickBot="1" x14ac:dyDescent="0.3">
      <c r="A50" s="379"/>
      <c r="B50" s="382"/>
      <c r="C50" s="382"/>
      <c r="D50" s="382"/>
      <c r="E50" s="1143" t="s">
        <v>184</v>
      </c>
      <c r="F50" s="1143"/>
      <c r="G50" s="382" t="s">
        <v>65</v>
      </c>
      <c r="H50" s="382" t="s">
        <v>222</v>
      </c>
      <c r="I50" s="380"/>
      <c r="J50" s="380"/>
      <c r="K50" s="380"/>
      <c r="L50" s="380"/>
      <c r="M50" s="380"/>
      <c r="N50" s="380" t="s">
        <v>205</v>
      </c>
      <c r="O50" s="380" t="s">
        <v>223</v>
      </c>
      <c r="P50" s="380"/>
      <c r="Q50" s="380"/>
      <c r="R50" s="380"/>
      <c r="S50" s="380" t="s">
        <v>206</v>
      </c>
      <c r="T50" s="380" t="s">
        <v>224</v>
      </c>
      <c r="U50" s="380"/>
      <c r="V50" s="380"/>
      <c r="W50" s="380"/>
      <c r="X50" s="380"/>
      <c r="Y50" s="407"/>
      <c r="Z50" s="1144">
        <v>100</v>
      </c>
      <c r="AA50" s="1144"/>
      <c r="AB50" s="1144"/>
      <c r="AC50" s="1144"/>
      <c r="AD50" s="1145"/>
      <c r="AE50" s="380"/>
      <c r="AF50" s="380"/>
      <c r="AG50" s="380"/>
      <c r="AH50" s="380"/>
      <c r="AI50" s="382"/>
      <c r="AJ50" s="380"/>
      <c r="AK50" s="382"/>
      <c r="AL50" s="382"/>
      <c r="AM50" s="380"/>
      <c r="AN50" s="380"/>
      <c r="AO50" s="380"/>
    </row>
    <row r="51" spans="1:41" ht="13.7" customHeight="1" x14ac:dyDescent="0.25">
      <c r="A51" s="379"/>
      <c r="B51" s="404" t="s">
        <v>1044</v>
      </c>
      <c r="C51" s="404"/>
      <c r="D51" s="404"/>
      <c r="E51" s="403" t="s">
        <v>225</v>
      </c>
      <c r="F51" s="380"/>
      <c r="G51" s="403"/>
      <c r="H51" s="403"/>
      <c r="I51" s="380"/>
      <c r="J51" s="380"/>
      <c r="K51" s="380"/>
      <c r="L51" s="380"/>
      <c r="M51" s="380"/>
      <c r="N51" s="380" t="s">
        <v>2</v>
      </c>
      <c r="O51" s="380" t="s">
        <v>226</v>
      </c>
      <c r="P51" s="380"/>
      <c r="Q51" s="380"/>
      <c r="R51" s="380"/>
      <c r="S51" s="380" t="s">
        <v>207</v>
      </c>
      <c r="T51" s="380" t="s">
        <v>227</v>
      </c>
      <c r="U51" s="380"/>
      <c r="V51" s="380"/>
      <c r="W51" s="380"/>
      <c r="X51" s="380"/>
      <c r="Y51" s="380"/>
      <c r="Z51" s="380"/>
      <c r="AA51" s="380"/>
      <c r="AB51" s="380"/>
      <c r="AC51" s="380"/>
      <c r="AD51" s="380"/>
      <c r="AE51" s="380"/>
      <c r="AF51" s="380"/>
      <c r="AG51" s="380"/>
      <c r="AH51" s="380"/>
      <c r="AI51" s="381"/>
      <c r="AJ51" s="27" t="s">
        <v>1154</v>
      </c>
      <c r="AK51" s="381"/>
      <c r="AL51" s="381"/>
      <c r="AM51" s="380"/>
      <c r="AN51" s="380"/>
      <c r="AO51" s="380"/>
    </row>
    <row r="52" spans="1:41" ht="13.7" customHeight="1" x14ac:dyDescent="0.25">
      <c r="A52" s="379"/>
      <c r="B52" s="381" t="s">
        <v>970</v>
      </c>
      <c r="C52" s="381"/>
      <c r="D52" s="381"/>
      <c r="E52" s="403"/>
      <c r="F52" s="380"/>
      <c r="G52" s="403"/>
      <c r="H52" s="403"/>
      <c r="I52" s="380"/>
      <c r="J52" s="380"/>
      <c r="K52" s="380"/>
      <c r="L52" s="380"/>
      <c r="M52" s="380"/>
      <c r="N52" s="380" t="s">
        <v>208</v>
      </c>
      <c r="O52" s="380" t="s">
        <v>228</v>
      </c>
      <c r="P52" s="380"/>
      <c r="Q52" s="380"/>
      <c r="R52" s="380"/>
      <c r="S52" s="380" t="s">
        <v>207</v>
      </c>
      <c r="T52" s="380" t="s">
        <v>229</v>
      </c>
      <c r="U52" s="380"/>
      <c r="V52" s="380"/>
      <c r="W52" s="380"/>
      <c r="X52" s="380"/>
      <c r="Y52" s="380"/>
      <c r="Z52" s="380"/>
      <c r="AA52" s="380"/>
      <c r="AB52" s="380"/>
      <c r="AC52" s="380"/>
      <c r="AD52" s="380"/>
      <c r="AE52" s="380"/>
      <c r="AF52" s="380"/>
      <c r="AG52" s="380"/>
      <c r="AH52" s="380"/>
      <c r="AI52" s="381"/>
      <c r="AJ52" s="27" t="s">
        <v>1160</v>
      </c>
      <c r="AK52" s="381"/>
      <c r="AL52" s="381"/>
      <c r="AM52" s="380"/>
      <c r="AN52" s="380"/>
      <c r="AO52" s="380"/>
    </row>
    <row r="53" spans="1:41" x14ac:dyDescent="0.25">
      <c r="I53" s="380"/>
      <c r="J53" s="380"/>
      <c r="K53" s="380"/>
      <c r="L53" s="380"/>
      <c r="M53" s="380"/>
      <c r="N53" s="380"/>
      <c r="O53" s="380"/>
      <c r="P53" s="380"/>
      <c r="Q53" s="380"/>
      <c r="R53" s="380"/>
      <c r="S53" s="380"/>
      <c r="T53" s="380"/>
      <c r="U53" s="380"/>
      <c r="V53" s="380"/>
      <c r="W53" s="380"/>
      <c r="X53" s="380"/>
      <c r="Y53" s="380"/>
      <c r="Z53" s="380"/>
      <c r="AA53" s="380"/>
      <c r="AB53" s="380"/>
      <c r="AC53" s="380"/>
      <c r="AD53" s="380"/>
      <c r="AE53" s="380"/>
      <c r="AF53" s="380"/>
      <c r="AG53" s="380"/>
      <c r="AH53" s="380"/>
      <c r="AI53" s="381"/>
      <c r="AJ53" s="381"/>
      <c r="AK53" s="381"/>
      <c r="AL53" s="381"/>
      <c r="AM53" s="380"/>
      <c r="AN53" s="380"/>
      <c r="AO53" s="380"/>
    </row>
    <row r="54" spans="1:41" x14ac:dyDescent="0.25">
      <c r="I54" s="379"/>
      <c r="J54" s="379"/>
      <c r="K54" s="379"/>
      <c r="L54" s="379"/>
      <c r="M54" s="379"/>
      <c r="N54" s="379"/>
      <c r="O54" s="379"/>
      <c r="P54" s="379"/>
      <c r="Q54" s="379"/>
      <c r="R54" s="379"/>
      <c r="S54" s="379"/>
      <c r="T54" s="379"/>
      <c r="U54" s="379"/>
      <c r="V54" s="379"/>
      <c r="W54" s="379"/>
      <c r="X54" s="379"/>
      <c r="Y54" s="379"/>
      <c r="Z54" s="379"/>
      <c r="AA54" s="379"/>
      <c r="AB54" s="379"/>
      <c r="AC54" s="379"/>
      <c r="AD54" s="379"/>
      <c r="AE54" s="379"/>
      <c r="AF54" s="379"/>
      <c r="AG54" s="379"/>
      <c r="AH54" s="379"/>
      <c r="AI54" s="423"/>
      <c r="AJ54" s="423"/>
      <c r="AK54" s="423"/>
      <c r="AL54" s="423"/>
      <c r="AM54" s="379"/>
      <c r="AN54" s="379"/>
      <c r="AO54" s="379"/>
    </row>
  </sheetData>
  <mergeCells count="38">
    <mergeCell ref="E49:F49"/>
    <mergeCell ref="AF1:AH1"/>
    <mergeCell ref="AI1:AK1"/>
    <mergeCell ref="A2:AE2"/>
    <mergeCell ref="AF2:AH2"/>
    <mergeCell ref="AI2:AK2"/>
    <mergeCell ref="A6:A9"/>
    <mergeCell ref="B6:B9"/>
    <mergeCell ref="D8:F8"/>
    <mergeCell ref="G8:I8"/>
    <mergeCell ref="J8:L8"/>
    <mergeCell ref="M8:O8"/>
    <mergeCell ref="P8:R8"/>
    <mergeCell ref="AN7:AN9"/>
    <mergeCell ref="AO7:AO9"/>
    <mergeCell ref="AK7:AM9"/>
    <mergeCell ref="AH8:AJ8"/>
    <mergeCell ref="S8:U8"/>
    <mergeCell ref="V8:X8"/>
    <mergeCell ref="Y8:AA8"/>
    <mergeCell ref="AB8:AD8"/>
    <mergeCell ref="AE8:AG8"/>
    <mergeCell ref="E50:F50"/>
    <mergeCell ref="Z50:AD50"/>
    <mergeCell ref="C6:AO6"/>
    <mergeCell ref="D7:F7"/>
    <mergeCell ref="G7:I7"/>
    <mergeCell ref="J7:L7"/>
    <mergeCell ref="M7:O7"/>
    <mergeCell ref="P7:R7"/>
    <mergeCell ref="S7:U7"/>
    <mergeCell ref="V7:X7"/>
    <mergeCell ref="Y7:AA7"/>
    <mergeCell ref="AB7:AD7"/>
    <mergeCell ref="AE7:AG7"/>
    <mergeCell ref="AH7:AJ7"/>
    <mergeCell ref="E48:F48"/>
    <mergeCell ref="Z48:AD48"/>
  </mergeCells>
  <pageMargins left="0.78740157480314965" right="1.3779527559055118" top="0.31496062992125984" bottom="0.19685039370078741" header="0.31496062992125984" footer="0.31496062992125984"/>
  <pageSetup paperSize="5" scale="70" orientation="landscape" horizontalDpi="4294967293"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U55"/>
  <sheetViews>
    <sheetView zoomScale="75" zoomScaleNormal="75" workbookViewId="0">
      <selection activeCell="C7" sqref="C7"/>
    </sheetView>
  </sheetViews>
  <sheetFormatPr defaultColWidth="9.140625" defaultRowHeight="15" x14ac:dyDescent="0.25"/>
  <cols>
    <col min="1" max="1" width="4.42578125" style="53" customWidth="1"/>
    <col min="2" max="2" width="22.5703125" style="53" customWidth="1"/>
    <col min="3" max="3" width="7.140625" style="53" customWidth="1"/>
    <col min="4" max="4" width="3.5703125" style="53" customWidth="1"/>
    <col min="5" max="7" width="3.140625" style="53" customWidth="1"/>
    <col min="8" max="9" width="3.5703125" style="53" customWidth="1"/>
    <col min="10" max="11" width="3.42578125" style="53" customWidth="1"/>
    <col min="12" max="12" width="3.5703125" style="53" customWidth="1"/>
    <col min="13" max="14" width="3.42578125" style="53" customWidth="1"/>
    <col min="15" max="15" width="3.140625" style="53" customWidth="1"/>
    <col min="16" max="17" width="3.42578125" style="53" customWidth="1"/>
    <col min="18" max="18" width="3.140625" style="53" customWidth="1"/>
    <col min="19" max="19" width="3.5703125" style="53" customWidth="1"/>
    <col min="20" max="21" width="3.42578125" style="53" customWidth="1"/>
    <col min="22" max="22" width="3.140625" style="53" customWidth="1"/>
    <col min="23" max="24" width="3.5703125" style="53" customWidth="1"/>
    <col min="25" max="26" width="3.42578125" style="53" customWidth="1"/>
    <col min="27" max="27" width="4.85546875" style="53" customWidth="1"/>
    <col min="28" max="28" width="3.5703125" style="53" customWidth="1"/>
    <col min="29" max="29" width="3.42578125" style="53" customWidth="1"/>
    <col min="30" max="33" width="3.5703125" style="53" customWidth="1"/>
    <col min="34" max="35" width="3.42578125" style="53" customWidth="1"/>
    <col min="36" max="36" width="4.85546875" style="53" customWidth="1"/>
    <col min="37" max="38" width="3.42578125" style="53" customWidth="1"/>
    <col min="39" max="39" width="3.5703125" style="53" customWidth="1"/>
    <col min="40" max="40" width="2" style="53" customWidth="1"/>
    <col min="41" max="41" width="2.42578125" style="53" customWidth="1"/>
    <col min="42" max="42" width="4.5703125" style="53" customWidth="1"/>
    <col min="43" max="43" width="13.42578125" style="53" customWidth="1"/>
    <col min="44" max="16384" width="9.140625" style="53"/>
  </cols>
  <sheetData>
    <row r="1" spans="1:47" x14ac:dyDescent="0.25">
      <c r="AP1" s="98"/>
      <c r="AQ1" s="1203" t="s">
        <v>396</v>
      </c>
      <c r="AR1" s="1204"/>
      <c r="AT1" s="1205"/>
      <c r="AU1" s="1205"/>
    </row>
    <row r="2" spans="1:47" ht="15.75" x14ac:dyDescent="0.25">
      <c r="A2" s="1174" t="s">
        <v>230</v>
      </c>
      <c r="B2" s="1174"/>
      <c r="C2" s="1174"/>
      <c r="D2" s="1174"/>
      <c r="E2" s="1174"/>
      <c r="F2" s="1174"/>
      <c r="G2" s="1174"/>
      <c r="H2" s="1174"/>
      <c r="I2" s="1174"/>
      <c r="J2" s="1174"/>
      <c r="K2" s="1174"/>
      <c r="L2" s="1174"/>
      <c r="M2" s="1174"/>
      <c r="N2" s="1174"/>
      <c r="O2" s="1174"/>
      <c r="P2" s="1174"/>
      <c r="Q2" s="1174"/>
      <c r="R2" s="1174"/>
      <c r="S2" s="1174"/>
      <c r="T2" s="1174"/>
      <c r="U2" s="1174"/>
      <c r="V2" s="1174"/>
      <c r="W2" s="1174"/>
      <c r="X2" s="1174"/>
      <c r="Y2" s="1174"/>
      <c r="Z2" s="1174"/>
      <c r="AA2" s="1174"/>
      <c r="AB2" s="1174"/>
      <c r="AC2" s="1174"/>
      <c r="AD2" s="1174"/>
      <c r="AE2" s="1174"/>
      <c r="AF2" s="1174"/>
      <c r="AG2" s="1174"/>
      <c r="AH2" s="1174"/>
      <c r="AI2" s="1174"/>
      <c r="AJ2" s="1174"/>
      <c r="AK2" s="1174"/>
      <c r="AL2" s="1174"/>
      <c r="AM2" s="1174"/>
      <c r="AN2" s="1174"/>
      <c r="AO2" s="1174"/>
      <c r="AP2" s="99"/>
      <c r="AQ2" s="850">
        <v>41783</v>
      </c>
      <c r="AR2" s="850"/>
      <c r="AT2" s="1206"/>
      <c r="AU2" s="1206"/>
    </row>
    <row r="3" spans="1:47" ht="8.25" customHeight="1" x14ac:dyDescent="0.25">
      <c r="A3" s="100"/>
      <c r="B3" s="100"/>
      <c r="C3" s="100"/>
      <c r="D3" s="100"/>
      <c r="E3" s="100"/>
      <c r="F3" s="100"/>
      <c r="G3" s="100"/>
      <c r="H3" s="100"/>
      <c r="I3" s="100"/>
      <c r="J3" s="100"/>
      <c r="K3" s="100"/>
      <c r="L3" s="100"/>
      <c r="M3" s="100"/>
      <c r="N3" s="100"/>
      <c r="O3" s="100"/>
      <c r="P3" s="100"/>
      <c r="Q3" s="100"/>
      <c r="R3" s="100"/>
      <c r="S3" s="100"/>
      <c r="T3" s="100"/>
      <c r="U3" s="100"/>
      <c r="V3" s="100"/>
      <c r="W3" s="100"/>
      <c r="X3" s="100"/>
      <c r="Y3" s="100"/>
      <c r="Z3" s="100"/>
      <c r="AA3" s="100"/>
      <c r="AB3" s="100"/>
      <c r="AC3" s="100"/>
      <c r="AD3" s="100"/>
      <c r="AE3" s="100"/>
      <c r="AF3" s="100"/>
      <c r="AG3" s="100"/>
      <c r="AH3" s="100"/>
      <c r="AI3" s="100"/>
      <c r="AJ3" s="100"/>
      <c r="AK3" s="100"/>
      <c r="AL3" s="100"/>
      <c r="AM3" s="100"/>
      <c r="AN3" s="100"/>
      <c r="AO3" s="100"/>
      <c r="AP3" s="100"/>
      <c r="AQ3" s="100"/>
    </row>
    <row r="4" spans="1:47" ht="15.75" x14ac:dyDescent="0.25">
      <c r="A4" s="50" t="s">
        <v>201</v>
      </c>
      <c r="B4" s="50"/>
      <c r="C4" s="51"/>
      <c r="D4" s="52"/>
      <c r="E4" s="52"/>
      <c r="F4" s="50" t="s">
        <v>202</v>
      </c>
      <c r="H4" s="50"/>
      <c r="I4" s="50"/>
      <c r="J4" s="50"/>
      <c r="K4" s="50"/>
      <c r="L4" s="50" t="s">
        <v>601</v>
      </c>
      <c r="O4" s="50"/>
      <c r="P4" s="50"/>
      <c r="Q4" s="50"/>
      <c r="R4" s="50"/>
      <c r="S4" s="50"/>
      <c r="T4" s="50"/>
      <c r="U4" s="50"/>
      <c r="V4" s="50"/>
      <c r="W4" s="50" t="s">
        <v>180</v>
      </c>
      <c r="X4" s="52"/>
      <c r="Y4" s="52"/>
      <c r="Z4" s="50"/>
      <c r="AA4" s="50" t="s">
        <v>181</v>
      </c>
      <c r="AD4" s="50"/>
      <c r="AE4" s="50"/>
      <c r="AF4" s="50"/>
      <c r="AH4" s="50"/>
      <c r="AI4" s="50"/>
      <c r="AJ4" s="50"/>
      <c r="AK4" s="50"/>
      <c r="AM4" s="50"/>
      <c r="AN4" s="50"/>
      <c r="AO4" s="50"/>
      <c r="AP4" s="50"/>
      <c r="AQ4" s="54"/>
    </row>
    <row r="5" spans="1:47" ht="9" customHeight="1" thickBot="1" x14ac:dyDescent="0.3">
      <c r="A5" s="50"/>
      <c r="B5" s="50"/>
      <c r="C5" s="50"/>
      <c r="D5" s="51"/>
      <c r="E5" s="51"/>
      <c r="F5" s="50"/>
      <c r="G5" s="50"/>
      <c r="H5" s="50"/>
      <c r="I5" s="50"/>
      <c r="J5" s="50"/>
      <c r="K5" s="50"/>
      <c r="L5" s="50"/>
      <c r="M5" s="50"/>
      <c r="N5" s="50"/>
      <c r="O5" s="50"/>
      <c r="P5" s="50"/>
      <c r="Q5" s="50"/>
      <c r="R5" s="50"/>
      <c r="S5" s="50"/>
      <c r="T5" s="50"/>
      <c r="U5" s="50"/>
      <c r="V5" s="50"/>
      <c r="W5" s="51"/>
      <c r="X5" s="51"/>
      <c r="Y5" s="51"/>
      <c r="Z5" s="51"/>
      <c r="AA5" s="51"/>
      <c r="AB5" s="51"/>
      <c r="AC5" s="51"/>
      <c r="AD5" s="51"/>
      <c r="AE5" s="51"/>
      <c r="AF5" s="51"/>
      <c r="AG5" s="51"/>
      <c r="AH5" s="51"/>
      <c r="AI5" s="51"/>
      <c r="AJ5" s="51"/>
      <c r="AK5" s="51"/>
      <c r="AL5" s="51"/>
      <c r="AM5" s="51"/>
      <c r="AN5" s="51"/>
      <c r="AO5" s="51"/>
      <c r="AP5" s="51"/>
    </row>
    <row r="6" spans="1:47" ht="14.1" customHeight="1" thickBot="1" x14ac:dyDescent="0.3">
      <c r="A6" s="1207" t="s">
        <v>0</v>
      </c>
      <c r="B6" s="1210" t="s">
        <v>259</v>
      </c>
      <c r="C6" s="1213" t="s">
        <v>666</v>
      </c>
      <c r="D6" s="1214"/>
      <c r="E6" s="1214"/>
      <c r="F6" s="1214"/>
      <c r="G6" s="1214"/>
      <c r="H6" s="1214"/>
      <c r="I6" s="1214"/>
      <c r="J6" s="1214"/>
      <c r="K6" s="1214"/>
      <c r="L6" s="1214"/>
      <c r="M6" s="1214"/>
      <c r="N6" s="1214"/>
      <c r="O6" s="1214"/>
      <c r="P6" s="1214"/>
      <c r="Q6" s="1214"/>
      <c r="R6" s="1214"/>
      <c r="S6" s="1214"/>
      <c r="T6" s="1214"/>
      <c r="U6" s="1214"/>
      <c r="V6" s="1214"/>
      <c r="W6" s="1214"/>
      <c r="X6" s="1214"/>
      <c r="Y6" s="1214"/>
      <c r="Z6" s="1214"/>
      <c r="AA6" s="1214"/>
      <c r="AB6" s="1214"/>
      <c r="AC6" s="1214"/>
      <c r="AD6" s="1214"/>
      <c r="AE6" s="1214"/>
      <c r="AF6" s="1214"/>
      <c r="AG6" s="1214"/>
      <c r="AH6" s="1214"/>
      <c r="AI6" s="1214"/>
      <c r="AJ6" s="1214"/>
      <c r="AK6" s="1214"/>
      <c r="AL6" s="1214"/>
      <c r="AM6" s="1214"/>
      <c r="AN6" s="1214"/>
      <c r="AO6" s="1214"/>
      <c r="AP6" s="1214"/>
      <c r="AQ6" s="1214"/>
      <c r="AR6" s="1215"/>
    </row>
    <row r="7" spans="1:47" ht="14.1" customHeight="1" thickBot="1" x14ac:dyDescent="0.3">
      <c r="A7" s="1208"/>
      <c r="B7" s="1211"/>
      <c r="C7" s="55" t="s">
        <v>210</v>
      </c>
      <c r="D7" s="1195" t="s">
        <v>231</v>
      </c>
      <c r="E7" s="1196"/>
      <c r="F7" s="1197"/>
      <c r="G7" s="1195" t="s">
        <v>232</v>
      </c>
      <c r="H7" s="1196"/>
      <c r="I7" s="1197"/>
      <c r="J7" s="1195" t="s">
        <v>233</v>
      </c>
      <c r="K7" s="1196"/>
      <c r="L7" s="1197"/>
      <c r="M7" s="1195" t="s">
        <v>234</v>
      </c>
      <c r="N7" s="1196"/>
      <c r="O7" s="1197"/>
      <c r="P7" s="1195" t="s">
        <v>235</v>
      </c>
      <c r="Q7" s="1196"/>
      <c r="R7" s="1197"/>
      <c r="S7" s="1195" t="s">
        <v>236</v>
      </c>
      <c r="T7" s="1196"/>
      <c r="U7" s="1197"/>
      <c r="V7" s="1195" t="s">
        <v>237</v>
      </c>
      <c r="W7" s="1196"/>
      <c r="X7" s="1197"/>
      <c r="Y7" s="1195" t="s">
        <v>238</v>
      </c>
      <c r="Z7" s="1196"/>
      <c r="AA7" s="1197"/>
      <c r="AB7" s="1195" t="s">
        <v>239</v>
      </c>
      <c r="AC7" s="1196"/>
      <c r="AD7" s="1197"/>
      <c r="AE7" s="1195" t="s">
        <v>240</v>
      </c>
      <c r="AF7" s="1196"/>
      <c r="AG7" s="1197"/>
      <c r="AH7" s="1195" t="s">
        <v>241</v>
      </c>
      <c r="AI7" s="1196"/>
      <c r="AJ7" s="1197"/>
      <c r="AK7" s="1195" t="s">
        <v>242</v>
      </c>
      <c r="AL7" s="1196"/>
      <c r="AM7" s="1197"/>
      <c r="AN7" s="1198" t="s">
        <v>211</v>
      </c>
      <c r="AO7" s="1199"/>
      <c r="AP7" s="1200"/>
      <c r="AQ7" s="1190" t="s">
        <v>243</v>
      </c>
      <c r="AR7" s="1190" t="s">
        <v>209</v>
      </c>
    </row>
    <row r="8" spans="1:47" ht="14.1" customHeight="1" thickBot="1" x14ac:dyDescent="0.3">
      <c r="A8" s="1208"/>
      <c r="B8" s="1211"/>
      <c r="C8" s="55" t="s">
        <v>183</v>
      </c>
      <c r="D8" s="1192"/>
      <c r="E8" s="1193"/>
      <c r="F8" s="1194"/>
      <c r="G8" s="1192"/>
      <c r="H8" s="1193"/>
      <c r="I8" s="1194"/>
      <c r="J8" s="1192"/>
      <c r="K8" s="1193"/>
      <c r="L8" s="1194"/>
      <c r="M8" s="1192"/>
      <c r="N8" s="1193"/>
      <c r="O8" s="1194"/>
      <c r="P8" s="1192"/>
      <c r="Q8" s="1193"/>
      <c r="R8" s="1194"/>
      <c r="S8" s="1192"/>
      <c r="T8" s="1193"/>
      <c r="U8" s="1194"/>
      <c r="V8" s="1192"/>
      <c r="W8" s="1193"/>
      <c r="X8" s="1194"/>
      <c r="Y8" s="1192"/>
      <c r="Z8" s="1193"/>
      <c r="AA8" s="1194"/>
      <c r="AB8" s="1192"/>
      <c r="AC8" s="1193"/>
      <c r="AD8" s="1194"/>
      <c r="AE8" s="1192"/>
      <c r="AF8" s="1193"/>
      <c r="AG8" s="1194"/>
      <c r="AH8" s="1192"/>
      <c r="AI8" s="1193"/>
      <c r="AJ8" s="1194"/>
      <c r="AK8" s="1192"/>
      <c r="AL8" s="1193"/>
      <c r="AM8" s="1194"/>
      <c r="AN8" s="1201"/>
      <c r="AO8" s="1174"/>
      <c r="AP8" s="1202"/>
      <c r="AQ8" s="1191"/>
      <c r="AR8" s="1191"/>
    </row>
    <row r="9" spans="1:47" ht="14.1" customHeight="1" thickBot="1" x14ac:dyDescent="0.3">
      <c r="A9" s="1209"/>
      <c r="B9" s="1212"/>
      <c r="C9" s="55" t="s">
        <v>31</v>
      </c>
      <c r="D9" s="56" t="s">
        <v>244</v>
      </c>
      <c r="E9" s="57" t="s">
        <v>245</v>
      </c>
      <c r="F9" s="58" t="s">
        <v>246</v>
      </c>
      <c r="G9" s="56" t="s">
        <v>244</v>
      </c>
      <c r="H9" s="57" t="s">
        <v>245</v>
      </c>
      <c r="I9" s="58" t="s">
        <v>246</v>
      </c>
      <c r="J9" s="56" t="s">
        <v>244</v>
      </c>
      <c r="K9" s="57" t="s">
        <v>245</v>
      </c>
      <c r="L9" s="58" t="s">
        <v>246</v>
      </c>
      <c r="M9" s="56" t="s">
        <v>244</v>
      </c>
      <c r="N9" s="57" t="s">
        <v>245</v>
      </c>
      <c r="O9" s="58" t="s">
        <v>246</v>
      </c>
      <c r="P9" s="56" t="s">
        <v>244</v>
      </c>
      <c r="Q9" s="57" t="s">
        <v>245</v>
      </c>
      <c r="R9" s="58" t="s">
        <v>246</v>
      </c>
      <c r="S9" s="56" t="s">
        <v>244</v>
      </c>
      <c r="T9" s="57" t="s">
        <v>245</v>
      </c>
      <c r="U9" s="58" t="s">
        <v>246</v>
      </c>
      <c r="V9" s="56" t="s">
        <v>244</v>
      </c>
      <c r="W9" s="57" t="s">
        <v>245</v>
      </c>
      <c r="X9" s="58" t="s">
        <v>246</v>
      </c>
      <c r="Y9" s="56" t="s">
        <v>244</v>
      </c>
      <c r="Z9" s="57" t="s">
        <v>245</v>
      </c>
      <c r="AA9" s="58" t="s">
        <v>246</v>
      </c>
      <c r="AB9" s="56" t="s">
        <v>244</v>
      </c>
      <c r="AC9" s="57" t="s">
        <v>245</v>
      </c>
      <c r="AD9" s="58" t="s">
        <v>246</v>
      </c>
      <c r="AE9" s="56" t="s">
        <v>244</v>
      </c>
      <c r="AF9" s="57" t="s">
        <v>245</v>
      </c>
      <c r="AG9" s="58" t="s">
        <v>246</v>
      </c>
      <c r="AH9" s="56" t="s">
        <v>244</v>
      </c>
      <c r="AI9" s="57" t="s">
        <v>245</v>
      </c>
      <c r="AJ9" s="58" t="s">
        <v>246</v>
      </c>
      <c r="AK9" s="56" t="s">
        <v>244</v>
      </c>
      <c r="AL9" s="57" t="s">
        <v>245</v>
      </c>
      <c r="AM9" s="58" t="s">
        <v>246</v>
      </c>
      <c r="AN9" s="1201"/>
      <c r="AO9" s="1174"/>
      <c r="AP9" s="1202"/>
      <c r="AQ9" s="1216"/>
      <c r="AR9" s="1191"/>
    </row>
    <row r="10" spans="1:47" ht="14.1" customHeight="1" x14ac:dyDescent="0.25">
      <c r="A10" s="59">
        <v>1</v>
      </c>
      <c r="B10" s="101"/>
      <c r="C10" s="102"/>
      <c r="D10" s="103"/>
      <c r="E10" s="61"/>
      <c r="F10" s="62"/>
      <c r="G10" s="60"/>
      <c r="H10" s="61"/>
      <c r="I10" s="62"/>
      <c r="J10" s="60"/>
      <c r="K10" s="61"/>
      <c r="L10" s="62"/>
      <c r="M10" s="60"/>
      <c r="N10" s="61"/>
      <c r="O10" s="62"/>
      <c r="P10" s="60"/>
      <c r="Q10" s="61"/>
      <c r="R10" s="62"/>
      <c r="S10" s="60"/>
      <c r="T10" s="61"/>
      <c r="U10" s="62"/>
      <c r="V10" s="60"/>
      <c r="W10" s="61"/>
      <c r="X10" s="62"/>
      <c r="Y10" s="60"/>
      <c r="Z10" s="61"/>
      <c r="AA10" s="62"/>
      <c r="AB10" s="60"/>
      <c r="AC10" s="61"/>
      <c r="AD10" s="62"/>
      <c r="AE10" s="60"/>
      <c r="AF10" s="61"/>
      <c r="AG10" s="62"/>
      <c r="AH10" s="60"/>
      <c r="AI10" s="61"/>
      <c r="AJ10" s="62"/>
      <c r="AK10" s="60"/>
      <c r="AL10" s="61"/>
      <c r="AM10" s="63"/>
      <c r="AN10" s="64"/>
      <c r="AO10" s="65"/>
      <c r="AP10" s="66"/>
      <c r="AQ10" s="104"/>
      <c r="AR10" s="105"/>
    </row>
    <row r="11" spans="1:47" ht="14.1" customHeight="1" x14ac:dyDescent="0.25">
      <c r="A11" s="67">
        <v>2</v>
      </c>
      <c r="B11" s="106"/>
      <c r="C11" s="107"/>
      <c r="D11" s="108"/>
      <c r="E11" s="70"/>
      <c r="F11" s="71"/>
      <c r="G11" s="69"/>
      <c r="H11" s="70"/>
      <c r="I11" s="71"/>
      <c r="J11" s="69"/>
      <c r="K11" s="70"/>
      <c r="L11" s="71"/>
      <c r="M11" s="69"/>
      <c r="N11" s="70"/>
      <c r="O11" s="71"/>
      <c r="P11" s="69"/>
      <c r="Q11" s="70"/>
      <c r="R11" s="71"/>
      <c r="S11" s="69"/>
      <c r="T11" s="70"/>
      <c r="U11" s="71"/>
      <c r="V11" s="69"/>
      <c r="W11" s="70"/>
      <c r="X11" s="71"/>
      <c r="Y11" s="69"/>
      <c r="Z11" s="70"/>
      <c r="AA11" s="71"/>
      <c r="AB11" s="69"/>
      <c r="AC11" s="70"/>
      <c r="AD11" s="71"/>
      <c r="AE11" s="69"/>
      <c r="AF11" s="70"/>
      <c r="AG11" s="71"/>
      <c r="AH11" s="69"/>
      <c r="AI11" s="70"/>
      <c r="AJ11" s="71"/>
      <c r="AK11" s="69"/>
      <c r="AL11" s="70"/>
      <c r="AM11" s="72"/>
      <c r="AN11" s="76"/>
      <c r="AO11" s="77"/>
      <c r="AP11" s="78"/>
      <c r="AQ11" s="104"/>
      <c r="AR11" s="109"/>
    </row>
    <row r="12" spans="1:47" ht="14.1" customHeight="1" x14ac:dyDescent="0.25">
      <c r="A12" s="67">
        <v>3</v>
      </c>
      <c r="B12" s="106"/>
      <c r="C12" s="68"/>
      <c r="D12" s="108"/>
      <c r="E12" s="70"/>
      <c r="F12" s="71"/>
      <c r="G12" s="69"/>
      <c r="H12" s="70"/>
      <c r="I12" s="71"/>
      <c r="J12" s="69"/>
      <c r="K12" s="70"/>
      <c r="L12" s="71"/>
      <c r="M12" s="69"/>
      <c r="N12" s="70"/>
      <c r="O12" s="71"/>
      <c r="P12" s="69"/>
      <c r="Q12" s="70"/>
      <c r="R12" s="71"/>
      <c r="S12" s="69"/>
      <c r="T12" s="70"/>
      <c r="U12" s="71"/>
      <c r="V12" s="69"/>
      <c r="W12" s="70"/>
      <c r="X12" s="71"/>
      <c r="Y12" s="69"/>
      <c r="Z12" s="70"/>
      <c r="AA12" s="71"/>
      <c r="AB12" s="69"/>
      <c r="AC12" s="70"/>
      <c r="AD12" s="71"/>
      <c r="AE12" s="69"/>
      <c r="AF12" s="70"/>
      <c r="AG12" s="71"/>
      <c r="AH12" s="69"/>
      <c r="AI12" s="70"/>
      <c r="AJ12" s="71"/>
      <c r="AK12" s="69"/>
      <c r="AL12" s="70"/>
      <c r="AM12" s="72"/>
      <c r="AN12" s="73"/>
      <c r="AO12" s="74"/>
      <c r="AP12" s="75"/>
      <c r="AQ12" s="104"/>
      <c r="AR12" s="109"/>
    </row>
    <row r="13" spans="1:47" ht="14.1" customHeight="1" x14ac:dyDescent="0.25">
      <c r="A13" s="67">
        <v>4</v>
      </c>
      <c r="B13" s="106"/>
      <c r="C13" s="68"/>
      <c r="D13" s="108"/>
      <c r="E13" s="70"/>
      <c r="F13" s="71"/>
      <c r="G13" s="69"/>
      <c r="H13" s="70"/>
      <c r="I13" s="71"/>
      <c r="J13" s="69"/>
      <c r="K13" s="70"/>
      <c r="L13" s="71"/>
      <c r="M13" s="69"/>
      <c r="N13" s="70"/>
      <c r="O13" s="71"/>
      <c r="P13" s="69"/>
      <c r="Q13" s="70"/>
      <c r="R13" s="71"/>
      <c r="S13" s="69"/>
      <c r="T13" s="70"/>
      <c r="U13" s="71"/>
      <c r="V13" s="69"/>
      <c r="W13" s="70"/>
      <c r="X13" s="71"/>
      <c r="Y13" s="69"/>
      <c r="Z13" s="70"/>
      <c r="AA13" s="71"/>
      <c r="AB13" s="69"/>
      <c r="AC13" s="70"/>
      <c r="AD13" s="71"/>
      <c r="AE13" s="69"/>
      <c r="AF13" s="70"/>
      <c r="AG13" s="71"/>
      <c r="AH13" s="69"/>
      <c r="AI13" s="70"/>
      <c r="AJ13" s="71"/>
      <c r="AK13" s="69"/>
      <c r="AL13" s="70"/>
      <c r="AM13" s="72"/>
      <c r="AN13" s="76"/>
      <c r="AO13" s="77"/>
      <c r="AP13" s="78"/>
      <c r="AQ13" s="104"/>
      <c r="AR13" s="109"/>
    </row>
    <row r="14" spans="1:47" ht="14.1" customHeight="1" x14ac:dyDescent="0.25">
      <c r="A14" s="67">
        <v>5</v>
      </c>
      <c r="B14" s="106"/>
      <c r="C14" s="68"/>
      <c r="D14" s="108"/>
      <c r="E14" s="70"/>
      <c r="F14" s="71"/>
      <c r="G14" s="69"/>
      <c r="H14" s="70"/>
      <c r="I14" s="71"/>
      <c r="J14" s="69"/>
      <c r="K14" s="70"/>
      <c r="L14" s="71"/>
      <c r="M14" s="69"/>
      <c r="N14" s="70"/>
      <c r="O14" s="71"/>
      <c r="P14" s="69"/>
      <c r="Q14" s="70"/>
      <c r="R14" s="71"/>
      <c r="S14" s="69"/>
      <c r="T14" s="70"/>
      <c r="U14" s="71"/>
      <c r="V14" s="69"/>
      <c r="W14" s="70"/>
      <c r="X14" s="71"/>
      <c r="Y14" s="69"/>
      <c r="Z14" s="70"/>
      <c r="AA14" s="71"/>
      <c r="AB14" s="69"/>
      <c r="AC14" s="70"/>
      <c r="AD14" s="71"/>
      <c r="AE14" s="69"/>
      <c r="AF14" s="70"/>
      <c r="AG14" s="71"/>
      <c r="AH14" s="69"/>
      <c r="AI14" s="70"/>
      <c r="AJ14" s="71"/>
      <c r="AK14" s="69"/>
      <c r="AL14" s="70"/>
      <c r="AM14" s="72"/>
      <c r="AN14" s="73"/>
      <c r="AO14" s="74"/>
      <c r="AP14" s="75"/>
      <c r="AQ14" s="104"/>
      <c r="AR14" s="109"/>
    </row>
    <row r="15" spans="1:47" ht="14.1" customHeight="1" x14ac:dyDescent="0.25">
      <c r="A15" s="67">
        <v>6</v>
      </c>
      <c r="B15" s="106"/>
      <c r="C15" s="80"/>
      <c r="D15" s="108"/>
      <c r="E15" s="70"/>
      <c r="F15" s="71"/>
      <c r="G15" s="69"/>
      <c r="H15" s="70"/>
      <c r="I15" s="71"/>
      <c r="J15" s="69"/>
      <c r="K15" s="70"/>
      <c r="L15" s="71"/>
      <c r="M15" s="69"/>
      <c r="N15" s="70"/>
      <c r="O15" s="71"/>
      <c r="P15" s="69"/>
      <c r="Q15" s="70"/>
      <c r="R15" s="71"/>
      <c r="S15" s="69"/>
      <c r="T15" s="70"/>
      <c r="U15" s="71"/>
      <c r="V15" s="69"/>
      <c r="W15" s="70"/>
      <c r="X15" s="71"/>
      <c r="Y15" s="69"/>
      <c r="Z15" s="70"/>
      <c r="AA15" s="71"/>
      <c r="AB15" s="69"/>
      <c r="AC15" s="70"/>
      <c r="AD15" s="71"/>
      <c r="AE15" s="69"/>
      <c r="AF15" s="70"/>
      <c r="AG15" s="71"/>
      <c r="AH15" s="69"/>
      <c r="AI15" s="70"/>
      <c r="AJ15" s="71"/>
      <c r="AK15" s="69"/>
      <c r="AL15" s="70"/>
      <c r="AM15" s="72"/>
      <c r="AN15" s="76"/>
      <c r="AO15" s="77"/>
      <c r="AP15" s="78"/>
      <c r="AQ15" s="104"/>
      <c r="AR15" s="109"/>
    </row>
    <row r="16" spans="1:47" ht="14.1" customHeight="1" x14ac:dyDescent="0.25">
      <c r="A16" s="67">
        <v>7</v>
      </c>
      <c r="B16" s="106"/>
      <c r="C16" s="80"/>
      <c r="D16" s="108"/>
      <c r="E16" s="70"/>
      <c r="F16" s="71"/>
      <c r="G16" s="69"/>
      <c r="H16" s="70"/>
      <c r="I16" s="71"/>
      <c r="J16" s="69"/>
      <c r="K16" s="70"/>
      <c r="L16" s="71"/>
      <c r="M16" s="69"/>
      <c r="N16" s="70"/>
      <c r="O16" s="71"/>
      <c r="P16" s="69"/>
      <c r="Q16" s="70"/>
      <c r="R16" s="71"/>
      <c r="S16" s="69"/>
      <c r="T16" s="70"/>
      <c r="U16" s="71"/>
      <c r="V16" s="69"/>
      <c r="W16" s="70"/>
      <c r="X16" s="71"/>
      <c r="Y16" s="69"/>
      <c r="Z16" s="70"/>
      <c r="AA16" s="71"/>
      <c r="AB16" s="69"/>
      <c r="AC16" s="70"/>
      <c r="AD16" s="71"/>
      <c r="AE16" s="69"/>
      <c r="AF16" s="70"/>
      <c r="AG16" s="71"/>
      <c r="AH16" s="69"/>
      <c r="AI16" s="70"/>
      <c r="AJ16" s="71"/>
      <c r="AK16" s="69"/>
      <c r="AL16" s="70"/>
      <c r="AM16" s="72"/>
      <c r="AN16" s="73"/>
      <c r="AO16" s="74"/>
      <c r="AP16" s="75"/>
      <c r="AQ16" s="104"/>
      <c r="AR16" s="109"/>
    </row>
    <row r="17" spans="1:44" ht="14.1" customHeight="1" x14ac:dyDescent="0.25">
      <c r="A17" s="67">
        <v>8</v>
      </c>
      <c r="B17" s="106"/>
      <c r="C17" s="110"/>
      <c r="D17" s="108"/>
      <c r="E17" s="70"/>
      <c r="F17" s="71"/>
      <c r="G17" s="69"/>
      <c r="H17" s="70"/>
      <c r="I17" s="71"/>
      <c r="J17" s="69"/>
      <c r="K17" s="70"/>
      <c r="L17" s="71"/>
      <c r="M17" s="69"/>
      <c r="N17" s="70"/>
      <c r="O17" s="71"/>
      <c r="P17" s="69"/>
      <c r="Q17" s="70"/>
      <c r="R17" s="71"/>
      <c r="S17" s="69"/>
      <c r="T17" s="70"/>
      <c r="U17" s="71"/>
      <c r="V17" s="69"/>
      <c r="W17" s="70"/>
      <c r="X17" s="71"/>
      <c r="Y17" s="69"/>
      <c r="Z17" s="70"/>
      <c r="AA17" s="71"/>
      <c r="AB17" s="69"/>
      <c r="AC17" s="70"/>
      <c r="AD17" s="71"/>
      <c r="AE17" s="69"/>
      <c r="AF17" s="70"/>
      <c r="AG17" s="71"/>
      <c r="AH17" s="69"/>
      <c r="AI17" s="70"/>
      <c r="AJ17" s="71"/>
      <c r="AK17" s="69"/>
      <c r="AL17" s="70"/>
      <c r="AM17" s="72"/>
      <c r="AN17" s="76"/>
      <c r="AO17" s="77"/>
      <c r="AP17" s="78"/>
      <c r="AQ17" s="104"/>
      <c r="AR17" s="109"/>
    </row>
    <row r="18" spans="1:44" ht="14.1" customHeight="1" x14ac:dyDescent="0.25">
      <c r="A18" s="67">
        <v>9</v>
      </c>
      <c r="B18" s="106"/>
      <c r="C18" s="110"/>
      <c r="D18" s="108"/>
      <c r="E18" s="70"/>
      <c r="F18" s="71"/>
      <c r="G18" s="69"/>
      <c r="H18" s="70"/>
      <c r="I18" s="71"/>
      <c r="J18" s="69"/>
      <c r="K18" s="70"/>
      <c r="L18" s="71"/>
      <c r="M18" s="69"/>
      <c r="N18" s="70"/>
      <c r="O18" s="71"/>
      <c r="P18" s="69"/>
      <c r="Q18" s="70"/>
      <c r="R18" s="71"/>
      <c r="S18" s="69"/>
      <c r="T18" s="70"/>
      <c r="U18" s="71"/>
      <c r="V18" s="69"/>
      <c r="W18" s="70"/>
      <c r="X18" s="71"/>
      <c r="Y18" s="69"/>
      <c r="Z18" s="70"/>
      <c r="AA18" s="71"/>
      <c r="AB18" s="69"/>
      <c r="AC18" s="70"/>
      <c r="AD18" s="71"/>
      <c r="AE18" s="69"/>
      <c r="AF18" s="70"/>
      <c r="AG18" s="71"/>
      <c r="AH18" s="69"/>
      <c r="AI18" s="70"/>
      <c r="AJ18" s="71"/>
      <c r="AK18" s="69"/>
      <c r="AL18" s="70"/>
      <c r="AM18" s="72"/>
      <c r="AN18" s="73"/>
      <c r="AO18" s="74"/>
      <c r="AP18" s="75"/>
      <c r="AQ18" s="104"/>
      <c r="AR18" s="109"/>
    </row>
    <row r="19" spans="1:44" ht="14.1" customHeight="1" x14ac:dyDescent="0.25">
      <c r="A19" s="67">
        <v>10</v>
      </c>
      <c r="B19" s="106"/>
      <c r="C19" s="68"/>
      <c r="D19" s="108"/>
      <c r="E19" s="70"/>
      <c r="F19" s="71"/>
      <c r="G19" s="69"/>
      <c r="H19" s="70"/>
      <c r="I19" s="71"/>
      <c r="J19" s="69"/>
      <c r="K19" s="70"/>
      <c r="L19" s="71"/>
      <c r="M19" s="69"/>
      <c r="N19" s="70"/>
      <c r="O19" s="71"/>
      <c r="P19" s="69"/>
      <c r="Q19" s="70"/>
      <c r="R19" s="71"/>
      <c r="S19" s="69"/>
      <c r="T19" s="70"/>
      <c r="U19" s="71"/>
      <c r="V19" s="69"/>
      <c r="W19" s="70"/>
      <c r="X19" s="71"/>
      <c r="Y19" s="69"/>
      <c r="Z19" s="70"/>
      <c r="AA19" s="71"/>
      <c r="AB19" s="69"/>
      <c r="AC19" s="70"/>
      <c r="AD19" s="71"/>
      <c r="AE19" s="69"/>
      <c r="AF19" s="70"/>
      <c r="AG19" s="71"/>
      <c r="AH19" s="69"/>
      <c r="AI19" s="70"/>
      <c r="AJ19" s="71"/>
      <c r="AK19" s="69"/>
      <c r="AL19" s="70"/>
      <c r="AM19" s="72"/>
      <c r="AN19" s="76"/>
      <c r="AO19" s="77"/>
      <c r="AP19" s="78"/>
      <c r="AQ19" s="104"/>
      <c r="AR19" s="109"/>
    </row>
    <row r="20" spans="1:44" ht="14.1" customHeight="1" x14ac:dyDescent="0.25">
      <c r="A20" s="67">
        <v>11</v>
      </c>
      <c r="B20" s="106"/>
      <c r="C20" s="79"/>
      <c r="D20" s="108"/>
      <c r="E20" s="70"/>
      <c r="F20" s="71"/>
      <c r="G20" s="69"/>
      <c r="H20" s="70"/>
      <c r="I20" s="71"/>
      <c r="J20" s="69"/>
      <c r="K20" s="70"/>
      <c r="L20" s="71"/>
      <c r="M20" s="69"/>
      <c r="N20" s="70"/>
      <c r="O20" s="71"/>
      <c r="P20" s="69"/>
      <c r="Q20" s="70"/>
      <c r="R20" s="71"/>
      <c r="S20" s="69"/>
      <c r="T20" s="70"/>
      <c r="U20" s="71"/>
      <c r="V20" s="69"/>
      <c r="W20" s="70"/>
      <c r="X20" s="71"/>
      <c r="Y20" s="69"/>
      <c r="Z20" s="70"/>
      <c r="AA20" s="71"/>
      <c r="AB20" s="69"/>
      <c r="AC20" s="70"/>
      <c r="AD20" s="71"/>
      <c r="AE20" s="69"/>
      <c r="AF20" s="70"/>
      <c r="AG20" s="71"/>
      <c r="AH20" s="69"/>
      <c r="AI20" s="70"/>
      <c r="AJ20" s="71"/>
      <c r="AK20" s="69"/>
      <c r="AL20" s="70"/>
      <c r="AM20" s="72"/>
      <c r="AN20" s="73"/>
      <c r="AO20" s="74"/>
      <c r="AP20" s="75"/>
      <c r="AQ20" s="104"/>
      <c r="AR20" s="109"/>
    </row>
    <row r="21" spans="1:44" ht="14.1" customHeight="1" x14ac:dyDescent="0.25">
      <c r="A21" s="67">
        <v>12</v>
      </c>
      <c r="B21" s="106"/>
      <c r="C21" s="68"/>
      <c r="D21" s="108"/>
      <c r="E21" s="70"/>
      <c r="F21" s="71"/>
      <c r="G21" s="69"/>
      <c r="H21" s="70"/>
      <c r="I21" s="71"/>
      <c r="J21" s="69"/>
      <c r="K21" s="70"/>
      <c r="L21" s="71"/>
      <c r="M21" s="69"/>
      <c r="N21" s="70"/>
      <c r="O21" s="71"/>
      <c r="P21" s="69"/>
      <c r="Q21" s="70"/>
      <c r="R21" s="71"/>
      <c r="S21" s="69"/>
      <c r="T21" s="70"/>
      <c r="U21" s="71"/>
      <c r="V21" s="69"/>
      <c r="W21" s="70"/>
      <c r="X21" s="71"/>
      <c r="Y21" s="69"/>
      <c r="Z21" s="70"/>
      <c r="AA21" s="71"/>
      <c r="AB21" s="69"/>
      <c r="AC21" s="70"/>
      <c r="AD21" s="71"/>
      <c r="AE21" s="69"/>
      <c r="AF21" s="70"/>
      <c r="AG21" s="71"/>
      <c r="AH21" s="69"/>
      <c r="AI21" s="70"/>
      <c r="AJ21" s="71"/>
      <c r="AK21" s="69"/>
      <c r="AL21" s="70"/>
      <c r="AM21" s="72"/>
      <c r="AN21" s="76"/>
      <c r="AO21" s="77"/>
      <c r="AP21" s="78"/>
      <c r="AQ21" s="104"/>
      <c r="AR21" s="109"/>
    </row>
    <row r="22" spans="1:44" ht="14.1" customHeight="1" x14ac:dyDescent="0.25">
      <c r="A22" s="67">
        <v>13</v>
      </c>
      <c r="B22" s="106"/>
      <c r="C22" s="68"/>
      <c r="D22" s="108"/>
      <c r="E22" s="70"/>
      <c r="F22" s="71"/>
      <c r="G22" s="69"/>
      <c r="H22" s="70"/>
      <c r="I22" s="71"/>
      <c r="J22" s="69"/>
      <c r="K22" s="70"/>
      <c r="L22" s="71"/>
      <c r="M22" s="69"/>
      <c r="N22" s="70"/>
      <c r="O22" s="71"/>
      <c r="P22" s="69"/>
      <c r="Q22" s="70"/>
      <c r="R22" s="71"/>
      <c r="S22" s="69"/>
      <c r="T22" s="70"/>
      <c r="U22" s="71"/>
      <c r="V22" s="69"/>
      <c r="W22" s="70"/>
      <c r="X22" s="71"/>
      <c r="Y22" s="69"/>
      <c r="Z22" s="70"/>
      <c r="AA22" s="71"/>
      <c r="AB22" s="69"/>
      <c r="AC22" s="70"/>
      <c r="AD22" s="71"/>
      <c r="AE22" s="69"/>
      <c r="AF22" s="70"/>
      <c r="AG22" s="71"/>
      <c r="AH22" s="69"/>
      <c r="AI22" s="70"/>
      <c r="AJ22" s="71"/>
      <c r="AK22" s="69"/>
      <c r="AL22" s="70"/>
      <c r="AM22" s="72"/>
      <c r="AN22" s="73"/>
      <c r="AO22" s="74"/>
      <c r="AP22" s="75"/>
      <c r="AQ22" s="104"/>
      <c r="AR22" s="109"/>
    </row>
    <row r="23" spans="1:44" ht="14.1" customHeight="1" x14ac:dyDescent="0.25">
      <c r="A23" s="67">
        <v>14</v>
      </c>
      <c r="B23" s="106"/>
      <c r="C23" s="68"/>
      <c r="D23" s="108"/>
      <c r="E23" s="70"/>
      <c r="F23" s="71"/>
      <c r="G23" s="69"/>
      <c r="H23" s="70"/>
      <c r="I23" s="71"/>
      <c r="J23" s="69"/>
      <c r="K23" s="70"/>
      <c r="L23" s="71"/>
      <c r="M23" s="69"/>
      <c r="N23" s="70"/>
      <c r="O23" s="71"/>
      <c r="P23" s="69"/>
      <c r="Q23" s="70"/>
      <c r="R23" s="71"/>
      <c r="S23" s="69"/>
      <c r="T23" s="70"/>
      <c r="U23" s="71"/>
      <c r="V23" s="69"/>
      <c r="W23" s="70"/>
      <c r="X23" s="71"/>
      <c r="Y23" s="69"/>
      <c r="Z23" s="70"/>
      <c r="AA23" s="71"/>
      <c r="AB23" s="69"/>
      <c r="AC23" s="70"/>
      <c r="AD23" s="71"/>
      <c r="AE23" s="69"/>
      <c r="AF23" s="70"/>
      <c r="AG23" s="71"/>
      <c r="AH23" s="69"/>
      <c r="AI23" s="70"/>
      <c r="AJ23" s="71"/>
      <c r="AK23" s="69"/>
      <c r="AL23" s="70"/>
      <c r="AM23" s="72"/>
      <c r="AN23" s="76"/>
      <c r="AO23" s="77"/>
      <c r="AP23" s="78"/>
      <c r="AQ23" s="104"/>
      <c r="AR23" s="109"/>
    </row>
    <row r="24" spans="1:44" ht="14.1" customHeight="1" x14ac:dyDescent="0.25">
      <c r="A24" s="67">
        <v>15</v>
      </c>
      <c r="B24" s="106"/>
      <c r="C24" s="68"/>
      <c r="D24" s="108"/>
      <c r="E24" s="70"/>
      <c r="F24" s="71"/>
      <c r="G24" s="69"/>
      <c r="H24" s="70"/>
      <c r="I24" s="71"/>
      <c r="J24" s="69"/>
      <c r="K24" s="70"/>
      <c r="L24" s="71"/>
      <c r="M24" s="69"/>
      <c r="N24" s="70"/>
      <c r="O24" s="71"/>
      <c r="P24" s="69"/>
      <c r="Q24" s="70"/>
      <c r="R24" s="71"/>
      <c r="S24" s="69"/>
      <c r="T24" s="70"/>
      <c r="U24" s="71"/>
      <c r="V24" s="69"/>
      <c r="W24" s="70"/>
      <c r="X24" s="71"/>
      <c r="Y24" s="69"/>
      <c r="Z24" s="70"/>
      <c r="AA24" s="71"/>
      <c r="AB24" s="69"/>
      <c r="AC24" s="70"/>
      <c r="AD24" s="71"/>
      <c r="AE24" s="69"/>
      <c r="AF24" s="70"/>
      <c r="AG24" s="71"/>
      <c r="AH24" s="69"/>
      <c r="AI24" s="70"/>
      <c r="AJ24" s="71"/>
      <c r="AK24" s="69"/>
      <c r="AL24" s="70"/>
      <c r="AM24" s="72"/>
      <c r="AN24" s="73"/>
      <c r="AO24" s="74"/>
      <c r="AP24" s="75"/>
      <c r="AQ24" s="104"/>
      <c r="AR24" s="109"/>
    </row>
    <row r="25" spans="1:44" ht="14.1" customHeight="1" x14ac:dyDescent="0.25">
      <c r="A25" s="67">
        <v>16</v>
      </c>
      <c r="B25" s="106"/>
      <c r="C25" s="110"/>
      <c r="D25" s="108"/>
      <c r="E25" s="70"/>
      <c r="F25" s="71"/>
      <c r="G25" s="69"/>
      <c r="H25" s="70"/>
      <c r="I25" s="71"/>
      <c r="J25" s="69"/>
      <c r="K25" s="70"/>
      <c r="L25" s="71"/>
      <c r="M25" s="69"/>
      <c r="N25" s="70"/>
      <c r="O25" s="71"/>
      <c r="P25" s="69"/>
      <c r="Q25" s="70"/>
      <c r="R25" s="71"/>
      <c r="S25" s="69"/>
      <c r="T25" s="70"/>
      <c r="U25" s="71"/>
      <c r="V25" s="69"/>
      <c r="W25" s="70"/>
      <c r="X25" s="71"/>
      <c r="Y25" s="69"/>
      <c r="Z25" s="70"/>
      <c r="AA25" s="71"/>
      <c r="AB25" s="69"/>
      <c r="AC25" s="70"/>
      <c r="AD25" s="71"/>
      <c r="AE25" s="69"/>
      <c r="AF25" s="70"/>
      <c r="AG25" s="71"/>
      <c r="AH25" s="69"/>
      <c r="AI25" s="70"/>
      <c r="AJ25" s="71"/>
      <c r="AK25" s="69"/>
      <c r="AL25" s="70"/>
      <c r="AM25" s="72"/>
      <c r="AN25" s="76"/>
      <c r="AO25" s="77"/>
      <c r="AP25" s="78"/>
      <c r="AQ25" s="104"/>
      <c r="AR25" s="109"/>
    </row>
    <row r="26" spans="1:44" ht="14.1" customHeight="1" x14ac:dyDescent="0.25">
      <c r="A26" s="67">
        <v>17</v>
      </c>
      <c r="B26" s="106"/>
      <c r="C26" s="68"/>
      <c r="D26" s="108"/>
      <c r="E26" s="70"/>
      <c r="F26" s="71"/>
      <c r="G26" s="69"/>
      <c r="H26" s="70"/>
      <c r="I26" s="71"/>
      <c r="J26" s="69"/>
      <c r="K26" s="70"/>
      <c r="L26" s="71"/>
      <c r="M26" s="69"/>
      <c r="N26" s="70"/>
      <c r="O26" s="71"/>
      <c r="P26" s="69"/>
      <c r="Q26" s="70"/>
      <c r="R26" s="71"/>
      <c r="S26" s="69"/>
      <c r="T26" s="70"/>
      <c r="U26" s="71"/>
      <c r="V26" s="69"/>
      <c r="W26" s="70"/>
      <c r="X26" s="71"/>
      <c r="Y26" s="69"/>
      <c r="Z26" s="70"/>
      <c r="AA26" s="71"/>
      <c r="AB26" s="69"/>
      <c r="AC26" s="70"/>
      <c r="AD26" s="71"/>
      <c r="AE26" s="69"/>
      <c r="AF26" s="70"/>
      <c r="AG26" s="71"/>
      <c r="AH26" s="69"/>
      <c r="AI26" s="70"/>
      <c r="AJ26" s="71"/>
      <c r="AK26" s="69"/>
      <c r="AL26" s="70"/>
      <c r="AM26" s="72"/>
      <c r="AN26" s="73"/>
      <c r="AO26" s="74"/>
      <c r="AP26" s="75"/>
      <c r="AQ26" s="104"/>
      <c r="AR26" s="109"/>
    </row>
    <row r="27" spans="1:44" ht="14.1" customHeight="1" x14ac:dyDescent="0.25">
      <c r="A27" s="67">
        <v>18</v>
      </c>
      <c r="B27" s="106"/>
      <c r="C27" s="68"/>
      <c r="D27" s="108"/>
      <c r="E27" s="70"/>
      <c r="F27" s="71"/>
      <c r="G27" s="69"/>
      <c r="H27" s="70"/>
      <c r="I27" s="71"/>
      <c r="J27" s="69"/>
      <c r="K27" s="70"/>
      <c r="L27" s="71"/>
      <c r="M27" s="69"/>
      <c r="N27" s="70"/>
      <c r="O27" s="71"/>
      <c r="P27" s="69"/>
      <c r="Q27" s="70"/>
      <c r="R27" s="71"/>
      <c r="S27" s="69"/>
      <c r="T27" s="70"/>
      <c r="U27" s="71"/>
      <c r="V27" s="69"/>
      <c r="W27" s="70"/>
      <c r="X27" s="71"/>
      <c r="Y27" s="69"/>
      <c r="Z27" s="70"/>
      <c r="AA27" s="71"/>
      <c r="AB27" s="69"/>
      <c r="AC27" s="70"/>
      <c r="AD27" s="71"/>
      <c r="AE27" s="69"/>
      <c r="AF27" s="70"/>
      <c r="AG27" s="71"/>
      <c r="AH27" s="69"/>
      <c r="AI27" s="70"/>
      <c r="AJ27" s="71"/>
      <c r="AK27" s="69"/>
      <c r="AL27" s="70"/>
      <c r="AM27" s="72"/>
      <c r="AN27" s="76"/>
      <c r="AO27" s="77"/>
      <c r="AP27" s="78"/>
      <c r="AQ27" s="104"/>
      <c r="AR27" s="109"/>
    </row>
    <row r="28" spans="1:44" ht="14.1" customHeight="1" x14ac:dyDescent="0.25">
      <c r="A28" s="67">
        <v>19</v>
      </c>
      <c r="B28" s="106"/>
      <c r="C28" s="68"/>
      <c r="D28" s="108"/>
      <c r="E28" s="70"/>
      <c r="F28" s="71"/>
      <c r="G28" s="69"/>
      <c r="H28" s="70"/>
      <c r="I28" s="71"/>
      <c r="J28" s="69"/>
      <c r="K28" s="70"/>
      <c r="L28" s="71"/>
      <c r="M28" s="69"/>
      <c r="N28" s="70"/>
      <c r="O28" s="71"/>
      <c r="P28" s="69"/>
      <c r="Q28" s="70"/>
      <c r="R28" s="71"/>
      <c r="S28" s="69"/>
      <c r="T28" s="70"/>
      <c r="U28" s="71"/>
      <c r="V28" s="69"/>
      <c r="W28" s="70"/>
      <c r="X28" s="71"/>
      <c r="Y28" s="69"/>
      <c r="Z28" s="70"/>
      <c r="AA28" s="71"/>
      <c r="AB28" s="69"/>
      <c r="AC28" s="70"/>
      <c r="AD28" s="71"/>
      <c r="AE28" s="69"/>
      <c r="AF28" s="70"/>
      <c r="AG28" s="71"/>
      <c r="AH28" s="69"/>
      <c r="AI28" s="70"/>
      <c r="AJ28" s="71"/>
      <c r="AK28" s="69"/>
      <c r="AL28" s="70"/>
      <c r="AM28" s="72"/>
      <c r="AN28" s="73"/>
      <c r="AO28" s="74"/>
      <c r="AP28" s="75"/>
      <c r="AQ28" s="104"/>
      <c r="AR28" s="109"/>
    </row>
    <row r="29" spans="1:44" ht="14.1" customHeight="1" x14ac:dyDescent="0.25">
      <c r="A29" s="67">
        <v>20</v>
      </c>
      <c r="B29" s="106"/>
      <c r="C29" s="68"/>
      <c r="D29" s="108"/>
      <c r="E29" s="70"/>
      <c r="F29" s="71"/>
      <c r="G29" s="69"/>
      <c r="H29" s="70"/>
      <c r="I29" s="71"/>
      <c r="J29" s="69"/>
      <c r="K29" s="70"/>
      <c r="L29" s="71"/>
      <c r="M29" s="69"/>
      <c r="N29" s="70"/>
      <c r="O29" s="71"/>
      <c r="P29" s="69"/>
      <c r="Q29" s="70"/>
      <c r="R29" s="71"/>
      <c r="S29" s="69"/>
      <c r="T29" s="70"/>
      <c r="U29" s="71"/>
      <c r="V29" s="69"/>
      <c r="W29" s="70"/>
      <c r="X29" s="71"/>
      <c r="Y29" s="69"/>
      <c r="Z29" s="70"/>
      <c r="AA29" s="71"/>
      <c r="AB29" s="69"/>
      <c r="AC29" s="70"/>
      <c r="AD29" s="71"/>
      <c r="AE29" s="69"/>
      <c r="AF29" s="70"/>
      <c r="AG29" s="71"/>
      <c r="AH29" s="69"/>
      <c r="AI29" s="70"/>
      <c r="AJ29" s="71"/>
      <c r="AK29" s="69"/>
      <c r="AL29" s="70"/>
      <c r="AM29" s="72"/>
      <c r="AN29" s="76"/>
      <c r="AO29" s="77"/>
      <c r="AP29" s="78"/>
      <c r="AQ29" s="104"/>
      <c r="AR29" s="109"/>
    </row>
    <row r="30" spans="1:44" ht="14.1" customHeight="1" x14ac:dyDescent="0.25">
      <c r="A30" s="67">
        <v>21</v>
      </c>
      <c r="B30" s="106"/>
      <c r="C30" s="68"/>
      <c r="D30" s="108"/>
      <c r="E30" s="70"/>
      <c r="F30" s="71"/>
      <c r="G30" s="69"/>
      <c r="H30" s="70"/>
      <c r="I30" s="71"/>
      <c r="J30" s="69"/>
      <c r="K30" s="70"/>
      <c r="L30" s="71"/>
      <c r="M30" s="69"/>
      <c r="N30" s="70"/>
      <c r="O30" s="71"/>
      <c r="P30" s="69"/>
      <c r="Q30" s="70"/>
      <c r="R30" s="71"/>
      <c r="S30" s="69"/>
      <c r="T30" s="70"/>
      <c r="U30" s="71"/>
      <c r="V30" s="69"/>
      <c r="W30" s="70"/>
      <c r="X30" s="71"/>
      <c r="Y30" s="69"/>
      <c r="Z30" s="70"/>
      <c r="AA30" s="71"/>
      <c r="AB30" s="69"/>
      <c r="AC30" s="70"/>
      <c r="AD30" s="71"/>
      <c r="AE30" s="69"/>
      <c r="AF30" s="70"/>
      <c r="AG30" s="71"/>
      <c r="AH30" s="69"/>
      <c r="AI30" s="70"/>
      <c r="AJ30" s="71"/>
      <c r="AK30" s="69"/>
      <c r="AL30" s="70"/>
      <c r="AM30" s="72"/>
      <c r="AN30" s="73"/>
      <c r="AO30" s="74"/>
      <c r="AP30" s="75"/>
      <c r="AQ30" s="104"/>
      <c r="AR30" s="109"/>
    </row>
    <row r="31" spans="1:44" ht="14.1" customHeight="1" x14ac:dyDescent="0.25">
      <c r="A31" s="67">
        <v>22</v>
      </c>
      <c r="B31" s="106"/>
      <c r="C31" s="68"/>
      <c r="D31" s="108"/>
      <c r="E31" s="70"/>
      <c r="F31" s="71"/>
      <c r="G31" s="69"/>
      <c r="H31" s="70"/>
      <c r="I31" s="71"/>
      <c r="J31" s="69"/>
      <c r="K31" s="70"/>
      <c r="L31" s="71"/>
      <c r="M31" s="69"/>
      <c r="N31" s="70"/>
      <c r="O31" s="71"/>
      <c r="P31" s="69"/>
      <c r="Q31" s="70"/>
      <c r="R31" s="71"/>
      <c r="S31" s="69"/>
      <c r="T31" s="70"/>
      <c r="U31" s="71"/>
      <c r="V31" s="69"/>
      <c r="W31" s="70"/>
      <c r="X31" s="71"/>
      <c r="Y31" s="69"/>
      <c r="Z31" s="70"/>
      <c r="AA31" s="71"/>
      <c r="AB31" s="69"/>
      <c r="AC31" s="70"/>
      <c r="AD31" s="71"/>
      <c r="AE31" s="69"/>
      <c r="AF31" s="70"/>
      <c r="AG31" s="71"/>
      <c r="AH31" s="69"/>
      <c r="AI31" s="70"/>
      <c r="AJ31" s="71"/>
      <c r="AK31" s="69"/>
      <c r="AL31" s="70"/>
      <c r="AM31" s="72"/>
      <c r="AN31" s="76"/>
      <c r="AO31" s="77"/>
      <c r="AP31" s="78"/>
      <c r="AQ31" s="104"/>
      <c r="AR31" s="109"/>
    </row>
    <row r="32" spans="1:44" ht="14.1" customHeight="1" x14ac:dyDescent="0.25">
      <c r="A32" s="67">
        <v>23</v>
      </c>
      <c r="B32" s="106"/>
      <c r="C32" s="110"/>
      <c r="D32" s="108"/>
      <c r="E32" s="70"/>
      <c r="F32" s="71"/>
      <c r="G32" s="69"/>
      <c r="H32" s="70"/>
      <c r="I32" s="71"/>
      <c r="J32" s="69"/>
      <c r="K32" s="70"/>
      <c r="L32" s="71"/>
      <c r="M32" s="69"/>
      <c r="N32" s="70"/>
      <c r="O32" s="71"/>
      <c r="P32" s="69"/>
      <c r="Q32" s="70"/>
      <c r="R32" s="71"/>
      <c r="S32" s="69"/>
      <c r="T32" s="70"/>
      <c r="U32" s="71"/>
      <c r="V32" s="69"/>
      <c r="W32" s="70"/>
      <c r="X32" s="71"/>
      <c r="Y32" s="69"/>
      <c r="Z32" s="70"/>
      <c r="AA32" s="71"/>
      <c r="AB32" s="69"/>
      <c r="AC32" s="70"/>
      <c r="AD32" s="71"/>
      <c r="AE32" s="69"/>
      <c r="AF32" s="70"/>
      <c r="AG32" s="71"/>
      <c r="AH32" s="69"/>
      <c r="AI32" s="70"/>
      <c r="AJ32" s="71"/>
      <c r="AK32" s="69"/>
      <c r="AL32" s="70"/>
      <c r="AM32" s="72"/>
      <c r="AN32" s="73"/>
      <c r="AO32" s="74"/>
      <c r="AP32" s="75"/>
      <c r="AQ32" s="104"/>
      <c r="AR32" s="109"/>
    </row>
    <row r="33" spans="1:46" ht="14.1" customHeight="1" x14ac:dyDescent="0.25">
      <c r="A33" s="67">
        <v>24</v>
      </c>
      <c r="B33" s="106"/>
      <c r="C33" s="110"/>
      <c r="D33" s="108"/>
      <c r="E33" s="70"/>
      <c r="F33" s="71"/>
      <c r="G33" s="69"/>
      <c r="H33" s="70"/>
      <c r="I33" s="71"/>
      <c r="J33" s="69"/>
      <c r="K33" s="70"/>
      <c r="L33" s="71"/>
      <c r="M33" s="69"/>
      <c r="N33" s="70"/>
      <c r="O33" s="71"/>
      <c r="P33" s="69"/>
      <c r="Q33" s="70"/>
      <c r="R33" s="71"/>
      <c r="S33" s="69"/>
      <c r="T33" s="70"/>
      <c r="U33" s="71"/>
      <c r="V33" s="69"/>
      <c r="W33" s="70"/>
      <c r="X33" s="71"/>
      <c r="Y33" s="69"/>
      <c r="Z33" s="70"/>
      <c r="AA33" s="71"/>
      <c r="AB33" s="69"/>
      <c r="AC33" s="70"/>
      <c r="AD33" s="71"/>
      <c r="AE33" s="69"/>
      <c r="AF33" s="70"/>
      <c r="AG33" s="71"/>
      <c r="AH33" s="69"/>
      <c r="AI33" s="70"/>
      <c r="AJ33" s="71"/>
      <c r="AK33" s="69"/>
      <c r="AL33" s="70"/>
      <c r="AM33" s="72"/>
      <c r="AN33" s="76"/>
      <c r="AO33" s="77"/>
      <c r="AP33" s="78"/>
      <c r="AQ33" s="104"/>
      <c r="AR33" s="109"/>
    </row>
    <row r="34" spans="1:46" ht="14.1" customHeight="1" x14ac:dyDescent="0.25">
      <c r="A34" s="67">
        <v>25</v>
      </c>
      <c r="B34" s="106"/>
      <c r="C34" s="80"/>
      <c r="D34" s="108"/>
      <c r="E34" s="70"/>
      <c r="F34" s="71"/>
      <c r="G34" s="69"/>
      <c r="H34" s="70"/>
      <c r="I34" s="71"/>
      <c r="J34" s="69"/>
      <c r="K34" s="70"/>
      <c r="L34" s="71"/>
      <c r="M34" s="69"/>
      <c r="N34" s="70"/>
      <c r="O34" s="71"/>
      <c r="P34" s="69"/>
      <c r="Q34" s="70"/>
      <c r="R34" s="71"/>
      <c r="S34" s="69"/>
      <c r="T34" s="70"/>
      <c r="U34" s="71"/>
      <c r="V34" s="69"/>
      <c r="W34" s="70"/>
      <c r="X34" s="71"/>
      <c r="Y34" s="69"/>
      <c r="Z34" s="70"/>
      <c r="AA34" s="71"/>
      <c r="AB34" s="69"/>
      <c r="AC34" s="70"/>
      <c r="AD34" s="71"/>
      <c r="AE34" s="69"/>
      <c r="AF34" s="70"/>
      <c r="AG34" s="71"/>
      <c r="AH34" s="69"/>
      <c r="AI34" s="70"/>
      <c r="AJ34" s="71"/>
      <c r="AK34" s="69"/>
      <c r="AL34" s="70"/>
      <c r="AM34" s="72"/>
      <c r="AN34" s="73"/>
      <c r="AO34" s="74"/>
      <c r="AP34" s="75"/>
      <c r="AQ34" s="104"/>
      <c r="AR34" s="109"/>
    </row>
    <row r="35" spans="1:46" ht="14.1" customHeight="1" x14ac:dyDescent="0.25">
      <c r="A35" s="67">
        <v>26</v>
      </c>
      <c r="B35" s="106"/>
      <c r="C35" s="68"/>
      <c r="D35" s="108"/>
      <c r="E35" s="70"/>
      <c r="F35" s="71"/>
      <c r="G35" s="69"/>
      <c r="H35" s="70"/>
      <c r="I35" s="71"/>
      <c r="J35" s="69"/>
      <c r="K35" s="70"/>
      <c r="L35" s="71"/>
      <c r="M35" s="69"/>
      <c r="N35" s="70"/>
      <c r="O35" s="71"/>
      <c r="P35" s="69"/>
      <c r="Q35" s="70"/>
      <c r="R35" s="71"/>
      <c r="S35" s="69"/>
      <c r="T35" s="70"/>
      <c r="U35" s="71"/>
      <c r="V35" s="69"/>
      <c r="W35" s="70"/>
      <c r="X35" s="71"/>
      <c r="Y35" s="69"/>
      <c r="Z35" s="70"/>
      <c r="AA35" s="71"/>
      <c r="AB35" s="69"/>
      <c r="AC35" s="70"/>
      <c r="AD35" s="71"/>
      <c r="AE35" s="69"/>
      <c r="AF35" s="70"/>
      <c r="AG35" s="71"/>
      <c r="AH35" s="69"/>
      <c r="AI35" s="70"/>
      <c r="AJ35" s="71"/>
      <c r="AK35" s="69"/>
      <c r="AL35" s="70"/>
      <c r="AM35" s="72"/>
      <c r="AN35" s="76"/>
      <c r="AO35" s="77"/>
      <c r="AP35" s="78"/>
      <c r="AQ35" s="104"/>
      <c r="AR35" s="109"/>
    </row>
    <row r="36" spans="1:46" ht="14.1" customHeight="1" x14ac:dyDescent="0.25">
      <c r="A36" s="67">
        <v>27</v>
      </c>
      <c r="B36" s="106"/>
      <c r="C36" s="68"/>
      <c r="D36" s="108"/>
      <c r="E36" s="70"/>
      <c r="F36" s="71"/>
      <c r="G36" s="69"/>
      <c r="H36" s="70"/>
      <c r="I36" s="71"/>
      <c r="J36" s="69"/>
      <c r="K36" s="70"/>
      <c r="L36" s="71"/>
      <c r="M36" s="69"/>
      <c r="N36" s="70"/>
      <c r="O36" s="71"/>
      <c r="P36" s="69"/>
      <c r="Q36" s="70"/>
      <c r="R36" s="71"/>
      <c r="S36" s="69"/>
      <c r="T36" s="70"/>
      <c r="U36" s="71"/>
      <c r="V36" s="69"/>
      <c r="W36" s="70"/>
      <c r="X36" s="71"/>
      <c r="Y36" s="69"/>
      <c r="Z36" s="70"/>
      <c r="AA36" s="71"/>
      <c r="AB36" s="69"/>
      <c r="AC36" s="70"/>
      <c r="AD36" s="71"/>
      <c r="AE36" s="69"/>
      <c r="AF36" s="70"/>
      <c r="AG36" s="71"/>
      <c r="AH36" s="69"/>
      <c r="AI36" s="70"/>
      <c r="AJ36" s="71"/>
      <c r="AK36" s="69"/>
      <c r="AL36" s="70"/>
      <c r="AM36" s="72"/>
      <c r="AN36" s="73"/>
      <c r="AO36" s="74"/>
      <c r="AP36" s="75"/>
      <c r="AQ36" s="104"/>
      <c r="AR36" s="109"/>
    </row>
    <row r="37" spans="1:46" ht="14.1" customHeight="1" x14ac:dyDescent="0.25">
      <c r="A37" s="67">
        <v>28</v>
      </c>
      <c r="B37" s="106"/>
      <c r="C37" s="68"/>
      <c r="D37" s="108"/>
      <c r="E37" s="70"/>
      <c r="F37" s="81"/>
      <c r="G37" s="69"/>
      <c r="H37" s="70"/>
      <c r="I37" s="81"/>
      <c r="J37" s="69"/>
      <c r="K37" s="70"/>
      <c r="L37" s="81"/>
      <c r="M37" s="69"/>
      <c r="N37" s="70"/>
      <c r="O37" s="81"/>
      <c r="P37" s="69"/>
      <c r="Q37" s="70"/>
      <c r="R37" s="81"/>
      <c r="S37" s="69"/>
      <c r="T37" s="70"/>
      <c r="U37" s="81"/>
      <c r="V37" s="69"/>
      <c r="W37" s="70"/>
      <c r="X37" s="81"/>
      <c r="Y37" s="69"/>
      <c r="Z37" s="70"/>
      <c r="AA37" s="81"/>
      <c r="AB37" s="69"/>
      <c r="AC37" s="70"/>
      <c r="AD37" s="81"/>
      <c r="AE37" s="69"/>
      <c r="AF37" s="70"/>
      <c r="AG37" s="81"/>
      <c r="AH37" s="69"/>
      <c r="AI37" s="70"/>
      <c r="AJ37" s="81"/>
      <c r="AK37" s="69"/>
      <c r="AL37" s="70"/>
      <c r="AM37" s="82"/>
      <c r="AN37" s="76"/>
      <c r="AO37" s="77"/>
      <c r="AP37" s="78"/>
      <c r="AQ37" s="104"/>
      <c r="AR37" s="109"/>
    </row>
    <row r="38" spans="1:46" ht="14.1" customHeight="1" x14ac:dyDescent="0.25">
      <c r="A38" s="67">
        <v>29</v>
      </c>
      <c r="B38" s="106"/>
      <c r="C38" s="68"/>
      <c r="D38" s="108"/>
      <c r="E38" s="70"/>
      <c r="F38" s="71"/>
      <c r="G38" s="69"/>
      <c r="H38" s="70"/>
      <c r="I38" s="71"/>
      <c r="J38" s="69"/>
      <c r="K38" s="70"/>
      <c r="L38" s="71"/>
      <c r="M38" s="69"/>
      <c r="N38" s="70"/>
      <c r="O38" s="71"/>
      <c r="P38" s="69"/>
      <c r="Q38" s="70"/>
      <c r="R38" s="71"/>
      <c r="S38" s="69"/>
      <c r="T38" s="70"/>
      <c r="U38" s="71"/>
      <c r="V38" s="69"/>
      <c r="W38" s="70"/>
      <c r="X38" s="71"/>
      <c r="Y38" s="69"/>
      <c r="Z38" s="70"/>
      <c r="AA38" s="71"/>
      <c r="AB38" s="69"/>
      <c r="AC38" s="70"/>
      <c r="AD38" s="71"/>
      <c r="AE38" s="69"/>
      <c r="AF38" s="70"/>
      <c r="AG38" s="71"/>
      <c r="AH38" s="69"/>
      <c r="AI38" s="70"/>
      <c r="AJ38" s="71"/>
      <c r="AK38" s="69"/>
      <c r="AL38" s="70"/>
      <c r="AM38" s="72"/>
      <c r="AN38" s="73"/>
      <c r="AO38" s="74"/>
      <c r="AP38" s="75"/>
      <c r="AQ38" s="104"/>
      <c r="AR38" s="109"/>
    </row>
    <row r="39" spans="1:46" ht="14.1" customHeight="1" x14ac:dyDescent="0.25">
      <c r="A39" s="67">
        <v>30</v>
      </c>
      <c r="B39" s="106"/>
      <c r="C39" s="68"/>
      <c r="D39" s="108"/>
      <c r="E39" s="70"/>
      <c r="F39" s="71"/>
      <c r="G39" s="69"/>
      <c r="H39" s="70"/>
      <c r="I39" s="71"/>
      <c r="J39" s="69"/>
      <c r="K39" s="70"/>
      <c r="L39" s="71"/>
      <c r="M39" s="69"/>
      <c r="N39" s="70"/>
      <c r="O39" s="71"/>
      <c r="P39" s="69"/>
      <c r="Q39" s="70"/>
      <c r="R39" s="71"/>
      <c r="S39" s="69"/>
      <c r="T39" s="70"/>
      <c r="U39" s="71"/>
      <c r="V39" s="69"/>
      <c r="W39" s="70"/>
      <c r="X39" s="71"/>
      <c r="Y39" s="69"/>
      <c r="Z39" s="70"/>
      <c r="AA39" s="71"/>
      <c r="AB39" s="69"/>
      <c r="AC39" s="70"/>
      <c r="AD39" s="71"/>
      <c r="AE39" s="69"/>
      <c r="AF39" s="70"/>
      <c r="AG39" s="71"/>
      <c r="AH39" s="69"/>
      <c r="AI39" s="70"/>
      <c r="AJ39" s="71"/>
      <c r="AK39" s="69"/>
      <c r="AL39" s="70"/>
      <c r="AM39" s="72"/>
      <c r="AN39" s="76"/>
      <c r="AO39" s="77"/>
      <c r="AP39" s="78"/>
      <c r="AQ39" s="104"/>
      <c r="AR39" s="109"/>
    </row>
    <row r="40" spans="1:46" ht="14.1" customHeight="1" x14ac:dyDescent="0.25">
      <c r="A40" s="67">
        <v>31</v>
      </c>
      <c r="B40" s="106"/>
      <c r="C40" s="80"/>
      <c r="D40" s="108"/>
      <c r="E40" s="70"/>
      <c r="F40" s="71"/>
      <c r="G40" s="69"/>
      <c r="H40" s="70"/>
      <c r="I40" s="71"/>
      <c r="J40" s="69"/>
      <c r="K40" s="70"/>
      <c r="L40" s="71"/>
      <c r="M40" s="69"/>
      <c r="N40" s="70"/>
      <c r="O40" s="71"/>
      <c r="P40" s="69"/>
      <c r="Q40" s="70"/>
      <c r="R40" s="71"/>
      <c r="S40" s="69"/>
      <c r="T40" s="70"/>
      <c r="U40" s="71"/>
      <c r="V40" s="69"/>
      <c r="W40" s="70"/>
      <c r="X40" s="71"/>
      <c r="Y40" s="69"/>
      <c r="Z40" s="70"/>
      <c r="AA40" s="71"/>
      <c r="AB40" s="69"/>
      <c r="AC40" s="70"/>
      <c r="AD40" s="71"/>
      <c r="AE40" s="69"/>
      <c r="AF40" s="70"/>
      <c r="AG40" s="71"/>
      <c r="AH40" s="69"/>
      <c r="AI40" s="70"/>
      <c r="AJ40" s="71"/>
      <c r="AK40" s="69"/>
      <c r="AL40" s="70"/>
      <c r="AM40" s="72"/>
      <c r="AN40" s="73"/>
      <c r="AO40" s="74"/>
      <c r="AP40" s="75"/>
      <c r="AQ40" s="104"/>
      <c r="AR40" s="109"/>
    </row>
    <row r="41" spans="1:46" ht="14.1" customHeight="1" thickBot="1" x14ac:dyDescent="0.3">
      <c r="A41" s="83">
        <v>32</v>
      </c>
      <c r="B41" s="111"/>
      <c r="C41" s="84"/>
      <c r="D41" s="112"/>
      <c r="E41" s="86"/>
      <c r="F41" s="87"/>
      <c r="G41" s="85"/>
      <c r="H41" s="86"/>
      <c r="I41" s="87"/>
      <c r="J41" s="85"/>
      <c r="K41" s="86"/>
      <c r="L41" s="87"/>
      <c r="M41" s="85"/>
      <c r="N41" s="86"/>
      <c r="O41" s="87"/>
      <c r="P41" s="85"/>
      <c r="Q41" s="86"/>
      <c r="R41" s="87"/>
      <c r="S41" s="85"/>
      <c r="T41" s="86"/>
      <c r="U41" s="87"/>
      <c r="V41" s="85"/>
      <c r="W41" s="86"/>
      <c r="X41" s="87"/>
      <c r="Y41" s="85"/>
      <c r="Z41" s="86"/>
      <c r="AA41" s="87"/>
      <c r="AB41" s="85"/>
      <c r="AC41" s="86"/>
      <c r="AD41" s="87"/>
      <c r="AE41" s="85"/>
      <c r="AF41" s="86"/>
      <c r="AG41" s="87"/>
      <c r="AH41" s="85"/>
      <c r="AI41" s="86"/>
      <c r="AJ41" s="87"/>
      <c r="AK41" s="85"/>
      <c r="AL41" s="86"/>
      <c r="AM41" s="88"/>
      <c r="AN41" s="89"/>
      <c r="AO41" s="90"/>
      <c r="AP41" s="91"/>
      <c r="AQ41" s="113"/>
      <c r="AR41" s="114"/>
    </row>
    <row r="42" spans="1:46" ht="8.25" customHeight="1" x14ac:dyDescent="0.25"/>
    <row r="43" spans="1:46" ht="16.5" thickBot="1" x14ac:dyDescent="0.3">
      <c r="A43" s="51"/>
      <c r="B43" s="50" t="s">
        <v>172</v>
      </c>
      <c r="C43" s="50"/>
      <c r="N43" s="51" t="s">
        <v>191</v>
      </c>
      <c r="AN43" s="51" t="s">
        <v>182</v>
      </c>
      <c r="AO43" s="51"/>
      <c r="AP43" s="51"/>
      <c r="AQ43" s="51"/>
      <c r="AR43" s="51"/>
      <c r="AS43" s="51"/>
    </row>
    <row r="44" spans="1:46" ht="15.75" x14ac:dyDescent="0.25">
      <c r="A44" s="51"/>
      <c r="B44" s="54" t="s">
        <v>260</v>
      </c>
      <c r="C44" s="50"/>
      <c r="E44" s="1174" t="s">
        <v>203</v>
      </c>
      <c r="F44" s="1174"/>
      <c r="G44" s="50"/>
      <c r="H44" s="50"/>
      <c r="N44" s="53" t="s">
        <v>213</v>
      </c>
      <c r="O44" s="53" t="s">
        <v>214</v>
      </c>
      <c r="S44" s="53" t="s">
        <v>204</v>
      </c>
      <c r="T44" s="53" t="s">
        <v>215</v>
      </c>
      <c r="AB44" s="93"/>
      <c r="AC44" s="1186" t="s">
        <v>216</v>
      </c>
      <c r="AD44" s="1186"/>
      <c r="AE44" s="1186"/>
      <c r="AF44" s="1186"/>
      <c r="AG44" s="1186"/>
      <c r="AH44" s="1187"/>
      <c r="AN44" s="50" t="s">
        <v>174</v>
      </c>
      <c r="AO44" s="50"/>
      <c r="AP44" s="50"/>
      <c r="AQ44" s="50"/>
      <c r="AR44" s="50"/>
      <c r="AS44" s="50"/>
    </row>
    <row r="45" spans="1:46" ht="15.75" x14ac:dyDescent="0.25">
      <c r="A45" s="51"/>
      <c r="B45" s="51"/>
      <c r="C45" s="51"/>
      <c r="E45" s="1188" t="s">
        <v>247</v>
      </c>
      <c r="F45" s="1188"/>
      <c r="G45" s="51" t="s">
        <v>65</v>
      </c>
      <c r="H45" s="51" t="s">
        <v>248</v>
      </c>
      <c r="N45" s="53" t="s">
        <v>218</v>
      </c>
      <c r="O45" s="53" t="s">
        <v>219</v>
      </c>
      <c r="S45" s="53" t="s">
        <v>3</v>
      </c>
      <c r="T45" s="53" t="s">
        <v>220</v>
      </c>
      <c r="AB45" s="94" t="s">
        <v>249</v>
      </c>
      <c r="AH45" s="95"/>
      <c r="AN45" s="51"/>
      <c r="AO45" s="51"/>
      <c r="AP45" s="51"/>
      <c r="AQ45" s="51"/>
      <c r="AR45" s="51"/>
      <c r="AS45" s="51"/>
    </row>
    <row r="46" spans="1:46" ht="16.5" thickBot="1" x14ac:dyDescent="0.3">
      <c r="A46" s="51"/>
      <c r="B46" s="51"/>
      <c r="C46" s="51"/>
      <c r="E46" s="1188" t="s">
        <v>250</v>
      </c>
      <c r="F46" s="1188"/>
      <c r="G46" s="51" t="s">
        <v>65</v>
      </c>
      <c r="H46" s="51" t="s">
        <v>251</v>
      </c>
      <c r="N46" s="53" t="s">
        <v>205</v>
      </c>
      <c r="O46" s="53" t="s">
        <v>223</v>
      </c>
      <c r="S46" s="53" t="s">
        <v>206</v>
      </c>
      <c r="T46" s="53" t="s">
        <v>224</v>
      </c>
      <c r="AB46" s="96"/>
      <c r="AC46" s="1189">
        <v>100</v>
      </c>
      <c r="AD46" s="1189"/>
      <c r="AE46" s="1189"/>
      <c r="AF46" s="1189"/>
      <c r="AG46" s="1189"/>
      <c r="AH46" s="92"/>
      <c r="AN46" s="51"/>
      <c r="AO46" s="51"/>
      <c r="AP46" s="51"/>
      <c r="AQ46" s="51"/>
      <c r="AR46" s="51"/>
      <c r="AS46" s="51"/>
    </row>
    <row r="47" spans="1:46" ht="15.75" x14ac:dyDescent="0.25">
      <c r="A47" s="51"/>
      <c r="B47" s="97" t="s">
        <v>258</v>
      </c>
      <c r="C47" s="97"/>
      <c r="E47" s="1188" t="s">
        <v>246</v>
      </c>
      <c r="F47" s="1188"/>
      <c r="G47" s="50" t="s">
        <v>65</v>
      </c>
      <c r="H47" s="50" t="s">
        <v>252</v>
      </c>
      <c r="N47" s="53" t="s">
        <v>2</v>
      </c>
      <c r="O47" s="53" t="s">
        <v>226</v>
      </c>
      <c r="S47" s="53" t="s">
        <v>207</v>
      </c>
      <c r="T47" s="53" t="s">
        <v>227</v>
      </c>
      <c r="AN47" s="97"/>
      <c r="AO47" s="50"/>
      <c r="AP47" s="50"/>
      <c r="AQ47" s="50"/>
      <c r="AR47" s="50"/>
      <c r="AS47" s="50"/>
      <c r="AT47" s="97"/>
    </row>
    <row r="48" spans="1:46" ht="15.75" x14ac:dyDescent="0.25">
      <c r="A48" s="51"/>
      <c r="B48" s="50" t="s">
        <v>152</v>
      </c>
      <c r="C48" s="50"/>
      <c r="F48" s="54" t="s">
        <v>253</v>
      </c>
      <c r="G48" s="54"/>
      <c r="H48" s="54"/>
      <c r="N48" s="53" t="s">
        <v>208</v>
      </c>
      <c r="O48" s="53" t="s">
        <v>228</v>
      </c>
      <c r="S48" s="53" t="s">
        <v>207</v>
      </c>
      <c r="T48" s="53" t="s">
        <v>229</v>
      </c>
      <c r="AN48" s="50" t="s">
        <v>155</v>
      </c>
      <c r="AO48" s="50"/>
      <c r="AP48" s="50"/>
      <c r="AQ48" s="50"/>
      <c r="AR48" s="50"/>
      <c r="AS48" s="50"/>
      <c r="AT48" s="50"/>
    </row>
    <row r="50" spans="3:25" x14ac:dyDescent="0.25">
      <c r="C50" s="54"/>
      <c r="F50" s="115" t="s">
        <v>203</v>
      </c>
      <c r="G50" s="116"/>
      <c r="H50" s="116"/>
      <c r="I50" s="116"/>
      <c r="J50" s="116"/>
      <c r="K50" s="116"/>
      <c r="L50" s="116"/>
      <c r="M50" s="116"/>
      <c r="N50" s="116"/>
      <c r="O50" s="116"/>
      <c r="P50" s="116"/>
      <c r="Q50" s="116"/>
      <c r="R50" s="116"/>
      <c r="S50" s="116"/>
      <c r="T50" s="116"/>
      <c r="U50" s="116"/>
      <c r="V50" s="116"/>
      <c r="W50" s="116"/>
      <c r="X50" s="116"/>
      <c r="Y50" s="116"/>
    </row>
    <row r="51" spans="3:25" ht="15.75" x14ac:dyDescent="0.25">
      <c r="F51" s="116"/>
      <c r="G51" s="116"/>
      <c r="H51" s="117">
        <v>1</v>
      </c>
      <c r="I51" s="118" t="s">
        <v>65</v>
      </c>
      <c r="J51" s="116" t="s">
        <v>254</v>
      </c>
      <c r="K51" s="116"/>
      <c r="L51" s="116"/>
      <c r="M51" s="116"/>
      <c r="N51" s="116"/>
      <c r="O51" s="116"/>
      <c r="P51" s="116"/>
      <c r="Q51" s="116"/>
      <c r="R51" s="116"/>
      <c r="S51" s="116"/>
      <c r="T51" s="116"/>
      <c r="U51" s="116"/>
      <c r="V51" s="116"/>
      <c r="W51" s="116"/>
      <c r="X51" s="116"/>
      <c r="Y51" s="116"/>
    </row>
    <row r="52" spans="3:25" ht="15.75" x14ac:dyDescent="0.25">
      <c r="F52" s="116"/>
      <c r="G52" s="116"/>
      <c r="H52" s="117">
        <v>2</v>
      </c>
      <c r="I52" s="118" t="s">
        <v>65</v>
      </c>
      <c r="J52" s="116" t="s">
        <v>255</v>
      </c>
      <c r="K52" s="116"/>
      <c r="L52" s="116"/>
      <c r="M52" s="116"/>
      <c r="N52" s="116"/>
      <c r="O52" s="116"/>
      <c r="P52" s="116"/>
      <c r="Q52" s="116"/>
      <c r="R52" s="116"/>
      <c r="S52" s="116"/>
      <c r="T52" s="116"/>
      <c r="U52" s="116"/>
      <c r="V52" s="116"/>
      <c r="W52" s="116"/>
      <c r="X52" s="116"/>
      <c r="Y52" s="116"/>
    </row>
    <row r="53" spans="3:25" ht="15.75" x14ac:dyDescent="0.25">
      <c r="F53" s="116"/>
      <c r="G53" s="116"/>
      <c r="H53" s="117">
        <v>3</v>
      </c>
      <c r="I53" s="118" t="s">
        <v>65</v>
      </c>
      <c r="J53" s="116" t="s">
        <v>256</v>
      </c>
      <c r="K53" s="116"/>
      <c r="L53" s="116"/>
      <c r="M53" s="116"/>
      <c r="N53" s="116"/>
      <c r="O53" s="116"/>
      <c r="P53" s="116"/>
      <c r="Q53" s="116"/>
      <c r="R53" s="116"/>
      <c r="S53" s="116"/>
      <c r="T53" s="116"/>
      <c r="U53" s="116"/>
      <c r="V53" s="116"/>
      <c r="W53" s="116"/>
      <c r="X53" s="116"/>
      <c r="Y53" s="116"/>
    </row>
    <row r="54" spans="3:25" ht="15.75" x14ac:dyDescent="0.25">
      <c r="F54" s="116"/>
      <c r="G54" s="116"/>
      <c r="H54" s="117">
        <v>4</v>
      </c>
      <c r="I54" s="118" t="s">
        <v>65</v>
      </c>
      <c r="J54" s="116" t="s">
        <v>257</v>
      </c>
      <c r="K54" s="116"/>
      <c r="L54" s="116"/>
      <c r="M54" s="116"/>
      <c r="N54" s="116"/>
      <c r="O54" s="116"/>
      <c r="P54" s="116"/>
      <c r="Q54" s="116"/>
      <c r="R54" s="116"/>
      <c r="S54" s="116"/>
      <c r="T54" s="116"/>
      <c r="U54" s="116"/>
      <c r="V54" s="116"/>
      <c r="W54" s="116"/>
      <c r="X54" s="116"/>
      <c r="Y54" s="116"/>
    </row>
    <row r="55" spans="3:25" x14ac:dyDescent="0.25">
      <c r="F55" s="116"/>
      <c r="G55" s="116"/>
      <c r="H55" s="116"/>
      <c r="I55" s="116"/>
      <c r="J55" s="116"/>
      <c r="K55" s="116"/>
      <c r="L55" s="116"/>
      <c r="M55" s="116"/>
      <c r="N55" s="116"/>
      <c r="O55" s="116"/>
      <c r="P55" s="116"/>
      <c r="Q55" s="116"/>
      <c r="R55" s="116"/>
      <c r="S55" s="116"/>
      <c r="T55" s="116"/>
      <c r="U55" s="116"/>
      <c r="V55" s="116"/>
      <c r="W55" s="116"/>
      <c r="X55" s="116"/>
      <c r="Y55" s="116"/>
    </row>
  </sheetData>
  <mergeCells count="41">
    <mergeCell ref="A6:A9"/>
    <mergeCell ref="B6:B9"/>
    <mergeCell ref="C6:AR6"/>
    <mergeCell ref="D7:F7"/>
    <mergeCell ref="G7:I7"/>
    <mergeCell ref="AQ7:AQ9"/>
    <mergeCell ref="AE8:AG8"/>
    <mergeCell ref="AH8:AJ8"/>
    <mergeCell ref="AK8:AM8"/>
    <mergeCell ref="J7:L7"/>
    <mergeCell ref="M7:O7"/>
    <mergeCell ref="P7:R7"/>
    <mergeCell ref="S7:U7"/>
    <mergeCell ref="V7:X7"/>
    <mergeCell ref="Y7:AA7"/>
    <mergeCell ref="AQ1:AR1"/>
    <mergeCell ref="AT1:AU1"/>
    <mergeCell ref="A2:AO2"/>
    <mergeCell ref="AQ2:AR2"/>
    <mergeCell ref="AT2:AU2"/>
    <mergeCell ref="E47:F47"/>
    <mergeCell ref="AR7:AR9"/>
    <mergeCell ref="D8:F8"/>
    <mergeCell ref="G8:I8"/>
    <mergeCell ref="J8:L8"/>
    <mergeCell ref="M8:O8"/>
    <mergeCell ref="P8:R8"/>
    <mergeCell ref="S8:U8"/>
    <mergeCell ref="V8:X8"/>
    <mergeCell ref="Y8:AA8"/>
    <mergeCell ref="AB8:AD8"/>
    <mergeCell ref="AB7:AD7"/>
    <mergeCell ref="AE7:AG7"/>
    <mergeCell ref="AH7:AJ7"/>
    <mergeCell ref="AK7:AM7"/>
    <mergeCell ref="AN7:AP9"/>
    <mergeCell ref="E44:F44"/>
    <mergeCell ref="AC44:AH44"/>
    <mergeCell ref="E45:F45"/>
    <mergeCell ref="E46:F46"/>
    <mergeCell ref="AC46:AG46"/>
  </mergeCells>
  <pageMargins left="0.98425196850393704" right="1.4566929133858268" top="0.31496062992125984" bottom="0.19685039370078741" header="0.31496062992125984" footer="0.31496062992125984"/>
  <pageSetup paperSize="5" scale="75" orientation="landscape" horizontalDpi="4294967293" verticalDpi="0"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
  <sheetViews>
    <sheetView workbookViewId="0"/>
  </sheetViews>
  <sheetFormatPr defaultRowHeight="15" x14ac:dyDescent="0.25"/>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V272"/>
  <sheetViews>
    <sheetView topLeftCell="A124" zoomScale="69" zoomScaleNormal="69" workbookViewId="0">
      <selection activeCell="T56" sqref="T56:U56"/>
    </sheetView>
  </sheetViews>
  <sheetFormatPr defaultRowHeight="15" x14ac:dyDescent="0.25"/>
  <cols>
    <col min="2" max="2" width="34.5703125" customWidth="1"/>
    <col min="36" max="36" width="13.140625" customWidth="1"/>
    <col min="43" max="43" width="15" customWidth="1"/>
    <col min="44" max="44" width="13.5703125" customWidth="1"/>
    <col min="45" max="45" width="13.140625" customWidth="1"/>
    <col min="46" max="46" width="13.5703125" customWidth="1"/>
  </cols>
  <sheetData>
    <row r="1" spans="1:22" x14ac:dyDescent="0.25">
      <c r="U1" s="1223" t="s">
        <v>690</v>
      </c>
      <c r="V1" s="1224"/>
    </row>
    <row r="2" spans="1:22" x14ac:dyDescent="0.25">
      <c r="U2" s="1225">
        <v>45848</v>
      </c>
      <c r="V2" s="1226"/>
    </row>
    <row r="4" spans="1:22" ht="16.350000000000001" customHeight="1" x14ac:dyDescent="0.5">
      <c r="A4" s="308"/>
      <c r="B4" s="309"/>
      <c r="C4" s="309"/>
      <c r="D4" s="309"/>
      <c r="E4" s="309"/>
      <c r="F4" s="309"/>
      <c r="G4" s="309"/>
      <c r="H4" s="309"/>
      <c r="I4" s="309"/>
    </row>
    <row r="5" spans="1:22" ht="15.6" customHeight="1" x14ac:dyDescent="0.25">
      <c r="A5" s="1235" t="s">
        <v>826</v>
      </c>
      <c r="B5" s="1235"/>
      <c r="C5" s="1235"/>
      <c r="D5" s="1235"/>
      <c r="E5" s="1235"/>
      <c r="F5" s="1235"/>
      <c r="G5" s="1235"/>
      <c r="H5" s="1235"/>
      <c r="I5" s="1235"/>
      <c r="J5" s="1235"/>
      <c r="K5" s="1235"/>
      <c r="L5" s="1235"/>
      <c r="M5" s="1235"/>
      <c r="N5" s="1235"/>
      <c r="O5" s="1235"/>
      <c r="P5" s="1235"/>
      <c r="Q5" s="1235"/>
      <c r="R5" s="1235"/>
      <c r="S5" s="1235"/>
      <c r="T5" s="1235"/>
      <c r="U5" s="1235"/>
      <c r="V5" s="1235"/>
    </row>
    <row r="9" spans="1:22" x14ac:dyDescent="0.25">
      <c r="A9" t="s">
        <v>38</v>
      </c>
      <c r="C9" t="s">
        <v>701</v>
      </c>
      <c r="T9" t="s">
        <v>43</v>
      </c>
      <c r="V9" t="s">
        <v>866</v>
      </c>
    </row>
    <row r="10" spans="1:22" x14ac:dyDescent="0.25">
      <c r="A10" t="s">
        <v>797</v>
      </c>
      <c r="C10" t="s">
        <v>34</v>
      </c>
      <c r="I10" s="291"/>
      <c r="T10" t="s">
        <v>800</v>
      </c>
      <c r="V10" s="291" t="s">
        <v>1045</v>
      </c>
    </row>
    <row r="11" spans="1:22" x14ac:dyDescent="0.25">
      <c r="A11" t="s">
        <v>798</v>
      </c>
      <c r="C11" s="291" t="s">
        <v>34</v>
      </c>
      <c r="T11" t="s">
        <v>696</v>
      </c>
      <c r="V11" t="s">
        <v>65</v>
      </c>
    </row>
    <row r="14" spans="1:22" x14ac:dyDescent="0.25">
      <c r="A14" s="1227"/>
      <c r="B14" s="1227" t="s">
        <v>27</v>
      </c>
      <c r="C14" s="1229" t="s">
        <v>799</v>
      </c>
      <c r="D14" s="1230"/>
      <c r="E14" s="1230"/>
      <c r="F14" s="1230"/>
      <c r="G14" s="1230"/>
      <c r="H14" s="1230"/>
      <c r="I14" s="1230"/>
      <c r="J14" s="1230"/>
      <c r="K14" s="1230"/>
      <c r="L14" s="1230"/>
      <c r="M14" s="1230"/>
      <c r="N14" s="1230"/>
      <c r="O14" s="1230"/>
      <c r="P14" s="1230"/>
      <c r="Q14" s="1230"/>
      <c r="R14" s="1231"/>
      <c r="S14" s="1232" t="s">
        <v>801</v>
      </c>
      <c r="T14" s="1217" t="s">
        <v>31</v>
      </c>
      <c r="U14" s="1217" t="s">
        <v>352</v>
      </c>
      <c r="V14" s="1220" t="s">
        <v>49</v>
      </c>
    </row>
    <row r="15" spans="1:22" x14ac:dyDescent="0.25">
      <c r="A15" s="1220"/>
      <c r="B15" s="1220"/>
      <c r="C15" s="311">
        <v>1</v>
      </c>
      <c r="D15" s="310"/>
      <c r="E15" s="310">
        <v>2</v>
      </c>
      <c r="F15" s="310"/>
      <c r="G15" s="310">
        <v>3</v>
      </c>
      <c r="H15" s="310"/>
      <c r="I15" s="310">
        <v>4</v>
      </c>
      <c r="J15" s="310"/>
      <c r="K15" s="310">
        <v>5</v>
      </c>
      <c r="L15" s="310"/>
      <c r="M15" s="310" t="s">
        <v>794</v>
      </c>
      <c r="N15" s="310"/>
      <c r="O15" s="310" t="s">
        <v>795</v>
      </c>
      <c r="P15" s="310"/>
      <c r="Q15" s="310" t="s">
        <v>796</v>
      </c>
      <c r="R15" s="310"/>
      <c r="S15" s="1233"/>
      <c r="T15" s="1218"/>
      <c r="U15" s="1218"/>
      <c r="V15" s="1221"/>
    </row>
    <row r="16" spans="1:22" ht="15.75" thickBot="1" x14ac:dyDescent="0.3">
      <c r="A16" s="1228"/>
      <c r="B16" s="1228"/>
      <c r="C16" s="312"/>
      <c r="D16" s="312"/>
      <c r="E16" s="312"/>
      <c r="F16" s="312"/>
      <c r="G16" s="312"/>
      <c r="H16" s="312"/>
      <c r="I16" s="312"/>
      <c r="J16" s="312"/>
      <c r="K16" s="312"/>
      <c r="L16" s="312"/>
      <c r="M16" s="312"/>
      <c r="N16" s="312"/>
      <c r="O16" s="312"/>
      <c r="P16" s="312"/>
      <c r="Q16" s="312"/>
      <c r="R16" s="312"/>
      <c r="S16" s="1234"/>
      <c r="T16" s="1219"/>
      <c r="U16" s="1219"/>
      <c r="V16" s="1222"/>
    </row>
    <row r="17" spans="1:22" ht="15.75" thickTop="1" x14ac:dyDescent="0.25">
      <c r="A17" s="313">
        <v>1</v>
      </c>
      <c r="B17" s="421" t="s">
        <v>927</v>
      </c>
      <c r="C17" s="318"/>
      <c r="D17" s="314"/>
      <c r="E17" s="319"/>
      <c r="F17" s="319"/>
      <c r="G17" s="319"/>
      <c r="H17" s="319"/>
      <c r="I17" s="319"/>
      <c r="J17" s="319"/>
      <c r="K17" s="319"/>
      <c r="L17" s="319"/>
      <c r="M17" s="319"/>
      <c r="N17" s="319"/>
      <c r="O17" s="319"/>
      <c r="P17" s="319"/>
      <c r="Q17" s="319"/>
      <c r="R17" s="319"/>
      <c r="S17" s="314"/>
      <c r="T17" s="314"/>
      <c r="U17" s="320"/>
      <c r="V17" s="321"/>
    </row>
    <row r="18" spans="1:22" ht="16.5" x14ac:dyDescent="0.25">
      <c r="A18" s="315">
        <v>2</v>
      </c>
      <c r="B18" s="372" t="s">
        <v>928</v>
      </c>
      <c r="C18" s="322"/>
      <c r="D18" s="323"/>
      <c r="E18" s="316">
        <v>1</v>
      </c>
      <c r="F18" s="316"/>
      <c r="G18" s="316"/>
      <c r="H18" s="316"/>
      <c r="I18" s="316"/>
      <c r="J18" s="316"/>
      <c r="K18" s="316"/>
      <c r="L18" s="316"/>
      <c r="M18" s="316"/>
      <c r="N18" s="316"/>
      <c r="O18" s="316"/>
      <c r="P18" s="316"/>
      <c r="Q18" s="316"/>
      <c r="R18" s="316"/>
      <c r="S18" s="314"/>
      <c r="T18" s="314"/>
      <c r="U18" s="324"/>
      <c r="V18" s="325"/>
    </row>
    <row r="19" spans="1:22" ht="16.5" x14ac:dyDescent="0.25">
      <c r="A19" s="315">
        <v>3</v>
      </c>
      <c r="B19" s="374" t="s">
        <v>929</v>
      </c>
      <c r="C19" s="326"/>
      <c r="D19" s="323"/>
      <c r="E19" s="316"/>
      <c r="F19" s="316"/>
      <c r="G19" s="316"/>
      <c r="H19" s="316"/>
      <c r="I19" s="316"/>
      <c r="J19" s="316"/>
      <c r="K19" s="316"/>
      <c r="L19" s="316"/>
      <c r="M19" s="316"/>
      <c r="N19" s="316"/>
      <c r="O19" s="316"/>
      <c r="P19" s="316"/>
      <c r="Q19" s="316"/>
      <c r="R19" s="316"/>
      <c r="S19" s="314"/>
      <c r="T19" s="314"/>
      <c r="U19" s="327"/>
      <c r="V19" s="325"/>
    </row>
    <row r="20" spans="1:22" ht="16.5" x14ac:dyDescent="0.25">
      <c r="A20" s="313">
        <v>4</v>
      </c>
      <c r="B20" s="374" t="s">
        <v>953</v>
      </c>
      <c r="C20" s="326"/>
      <c r="D20" s="323"/>
      <c r="E20" s="316"/>
      <c r="F20" s="316"/>
      <c r="G20" s="316"/>
      <c r="H20" s="316"/>
      <c r="I20" s="316"/>
      <c r="J20" s="316"/>
      <c r="K20" s="316"/>
      <c r="L20" s="316"/>
      <c r="M20" s="316"/>
      <c r="N20" s="316"/>
      <c r="O20" s="316"/>
      <c r="P20" s="316"/>
      <c r="Q20" s="316"/>
      <c r="R20" s="316"/>
      <c r="S20" s="314"/>
      <c r="T20" s="314"/>
      <c r="U20" s="327"/>
      <c r="V20" s="321"/>
    </row>
    <row r="21" spans="1:22" ht="16.5" x14ac:dyDescent="0.25">
      <c r="A21" s="315">
        <v>5</v>
      </c>
      <c r="B21" s="372" t="s">
        <v>954</v>
      </c>
      <c r="C21" s="326"/>
      <c r="D21" s="323"/>
      <c r="E21" s="316"/>
      <c r="F21" s="316"/>
      <c r="G21" s="316"/>
      <c r="H21" s="316"/>
      <c r="I21" s="316"/>
      <c r="J21" s="316"/>
      <c r="K21" s="316"/>
      <c r="L21" s="316"/>
      <c r="M21" s="316"/>
      <c r="N21" s="316"/>
      <c r="O21" s="316"/>
      <c r="P21" s="316"/>
      <c r="Q21" s="316"/>
      <c r="R21" s="316"/>
      <c r="S21" s="314"/>
      <c r="T21" s="314"/>
      <c r="U21" s="327"/>
      <c r="V21" s="325"/>
    </row>
    <row r="22" spans="1:22" ht="16.5" x14ac:dyDescent="0.25">
      <c r="A22" s="315">
        <v>6</v>
      </c>
      <c r="B22" s="372" t="s">
        <v>930</v>
      </c>
      <c r="C22" s="326"/>
      <c r="D22" s="323"/>
      <c r="E22" s="316"/>
      <c r="F22" s="316"/>
      <c r="G22" s="316"/>
      <c r="H22" s="316"/>
      <c r="I22" s="316"/>
      <c r="J22" s="316"/>
      <c r="K22" s="316"/>
      <c r="L22" s="316"/>
      <c r="M22" s="316"/>
      <c r="N22" s="316"/>
      <c r="O22" s="316"/>
      <c r="P22" s="316"/>
      <c r="Q22" s="316"/>
      <c r="R22" s="316"/>
      <c r="S22" s="314"/>
      <c r="T22" s="314"/>
      <c r="U22" s="327"/>
      <c r="V22" s="321"/>
    </row>
    <row r="23" spans="1:22" ht="16.5" x14ac:dyDescent="0.25">
      <c r="A23" s="313">
        <v>7</v>
      </c>
      <c r="B23" s="372" t="s">
        <v>931</v>
      </c>
      <c r="C23" s="326"/>
      <c r="D23" s="323"/>
      <c r="E23" s="316"/>
      <c r="F23" s="316"/>
      <c r="G23" s="316"/>
      <c r="H23" s="316"/>
      <c r="I23" s="316"/>
      <c r="J23" s="316"/>
      <c r="K23" s="316"/>
      <c r="L23" s="316"/>
      <c r="M23" s="316"/>
      <c r="N23" s="316"/>
      <c r="O23" s="316"/>
      <c r="P23" s="316"/>
      <c r="Q23" s="316"/>
      <c r="R23" s="316"/>
      <c r="S23" s="314"/>
      <c r="T23" s="314"/>
      <c r="U23" s="327"/>
      <c r="V23" s="321"/>
    </row>
    <row r="24" spans="1:22" ht="16.5" x14ac:dyDescent="0.25">
      <c r="A24" s="315">
        <v>8</v>
      </c>
      <c r="B24" s="372" t="s">
        <v>932</v>
      </c>
      <c r="C24" s="326"/>
      <c r="D24" s="323"/>
      <c r="E24" s="316"/>
      <c r="F24" s="316"/>
      <c r="G24" s="316"/>
      <c r="H24" s="316"/>
      <c r="I24" s="316"/>
      <c r="J24" s="316"/>
      <c r="K24" s="316"/>
      <c r="L24" s="316"/>
      <c r="M24" s="316"/>
      <c r="N24" s="316"/>
      <c r="O24" s="316"/>
      <c r="P24" s="316"/>
      <c r="Q24" s="316"/>
      <c r="R24" s="316"/>
      <c r="S24" s="314"/>
      <c r="T24" s="314"/>
      <c r="U24" s="327"/>
      <c r="V24" s="321"/>
    </row>
    <row r="25" spans="1:22" ht="16.5" x14ac:dyDescent="0.25">
      <c r="A25" s="315">
        <v>9</v>
      </c>
      <c r="B25" s="372" t="s">
        <v>933</v>
      </c>
      <c r="C25" s="322"/>
      <c r="D25" s="323"/>
      <c r="E25" s="316"/>
      <c r="F25" s="316"/>
      <c r="G25" s="316"/>
      <c r="H25" s="316"/>
      <c r="I25" s="316"/>
      <c r="J25" s="316"/>
      <c r="K25" s="316"/>
      <c r="L25" s="316"/>
      <c r="M25" s="316"/>
      <c r="N25" s="316"/>
      <c r="O25" s="316"/>
      <c r="P25" s="316"/>
      <c r="Q25" s="316"/>
      <c r="R25" s="316"/>
      <c r="S25" s="314"/>
      <c r="T25" s="314"/>
      <c r="U25" s="327"/>
      <c r="V25" s="325"/>
    </row>
    <row r="26" spans="1:22" ht="16.5" x14ac:dyDescent="0.25">
      <c r="A26" s="313">
        <v>10</v>
      </c>
      <c r="B26" s="372" t="s">
        <v>934</v>
      </c>
      <c r="C26" s="326"/>
      <c r="D26" s="323"/>
      <c r="E26" s="316"/>
      <c r="F26" s="316"/>
      <c r="G26" s="316"/>
      <c r="H26" s="316"/>
      <c r="I26" s="316"/>
      <c r="J26" s="316"/>
      <c r="K26" s="316"/>
      <c r="L26" s="316"/>
      <c r="M26" s="316"/>
      <c r="N26" s="316"/>
      <c r="O26" s="316"/>
      <c r="P26" s="316"/>
      <c r="Q26" s="316"/>
      <c r="R26" s="316"/>
      <c r="S26" s="314"/>
      <c r="T26" s="314"/>
      <c r="U26" s="327"/>
      <c r="V26" s="325"/>
    </row>
    <row r="27" spans="1:22" ht="16.5" x14ac:dyDescent="0.25">
      <c r="A27" s="315">
        <v>11</v>
      </c>
      <c r="B27" s="372" t="s">
        <v>935</v>
      </c>
      <c r="C27" s="326"/>
      <c r="D27" s="323"/>
      <c r="E27" s="316"/>
      <c r="F27" s="316"/>
      <c r="G27" s="316"/>
      <c r="H27" s="316"/>
      <c r="I27" s="316"/>
      <c r="J27" s="316"/>
      <c r="K27" s="316"/>
      <c r="L27" s="316"/>
      <c r="M27" s="316"/>
      <c r="N27" s="316"/>
      <c r="O27" s="316"/>
      <c r="P27" s="316"/>
      <c r="Q27" s="316"/>
      <c r="R27" s="316"/>
      <c r="S27" s="314"/>
      <c r="T27" s="314"/>
      <c r="U27" s="327"/>
      <c r="V27" s="325"/>
    </row>
    <row r="28" spans="1:22" ht="16.5" x14ac:dyDescent="0.25">
      <c r="A28" s="315">
        <v>12</v>
      </c>
      <c r="B28" s="372" t="s">
        <v>936</v>
      </c>
      <c r="C28" s="322"/>
      <c r="D28" s="323"/>
      <c r="E28" s="316"/>
      <c r="F28" s="316"/>
      <c r="G28" s="316"/>
      <c r="H28" s="316"/>
      <c r="I28" s="316"/>
      <c r="J28" s="316"/>
      <c r="K28" s="316"/>
      <c r="L28" s="316"/>
      <c r="M28" s="316"/>
      <c r="N28" s="316"/>
      <c r="O28" s="316"/>
      <c r="P28" s="316"/>
      <c r="Q28" s="328"/>
      <c r="R28" s="316"/>
      <c r="S28" s="314"/>
      <c r="T28" s="314"/>
      <c r="U28" s="327"/>
      <c r="V28" s="321"/>
    </row>
    <row r="29" spans="1:22" ht="16.5" x14ac:dyDescent="0.25">
      <c r="A29" s="313">
        <v>13</v>
      </c>
      <c r="B29" s="372" t="s">
        <v>937</v>
      </c>
      <c r="C29" s="326"/>
      <c r="D29" s="323"/>
      <c r="E29" s="316"/>
      <c r="F29" s="316"/>
      <c r="G29" s="316"/>
      <c r="H29" s="316"/>
      <c r="I29" s="316"/>
      <c r="J29" s="316"/>
      <c r="K29" s="316"/>
      <c r="L29" s="316"/>
      <c r="M29" s="316"/>
      <c r="N29" s="316"/>
      <c r="O29" s="316"/>
      <c r="P29" s="316"/>
      <c r="Q29" s="316"/>
      <c r="R29" s="316"/>
      <c r="S29" s="314"/>
      <c r="T29" s="314"/>
      <c r="U29" s="327"/>
      <c r="V29" s="325"/>
    </row>
    <row r="30" spans="1:22" ht="16.5" x14ac:dyDescent="0.25">
      <c r="A30" s="315">
        <v>14</v>
      </c>
      <c r="B30" s="372" t="s">
        <v>938</v>
      </c>
      <c r="C30" s="326"/>
      <c r="D30" s="323"/>
      <c r="E30" s="316"/>
      <c r="F30" s="316"/>
      <c r="G30" s="316"/>
      <c r="H30" s="316"/>
      <c r="I30" s="316"/>
      <c r="J30" s="316"/>
      <c r="K30" s="316"/>
      <c r="L30" s="316"/>
      <c r="M30" s="316"/>
      <c r="N30" s="316"/>
      <c r="O30" s="316"/>
      <c r="P30" s="316"/>
      <c r="Q30" s="316"/>
      <c r="R30" s="316"/>
      <c r="S30" s="314"/>
      <c r="T30" s="314"/>
      <c r="U30" s="327"/>
      <c r="V30" s="325"/>
    </row>
    <row r="31" spans="1:22" ht="16.5" x14ac:dyDescent="0.25">
      <c r="A31" s="315">
        <v>15</v>
      </c>
      <c r="B31" s="372" t="s">
        <v>939</v>
      </c>
      <c r="C31" s="326"/>
      <c r="D31" s="323"/>
      <c r="E31" s="316"/>
      <c r="F31" s="316"/>
      <c r="G31" s="316"/>
      <c r="H31" s="316"/>
      <c r="I31" s="316"/>
      <c r="J31" s="316"/>
      <c r="K31" s="316"/>
      <c r="L31" s="316"/>
      <c r="M31" s="316"/>
      <c r="N31" s="316"/>
      <c r="O31" s="316"/>
      <c r="P31" s="316"/>
      <c r="Q31" s="316"/>
      <c r="R31" s="316"/>
      <c r="S31" s="314"/>
      <c r="T31" s="314"/>
      <c r="U31" s="327"/>
      <c r="V31" s="321"/>
    </row>
    <row r="32" spans="1:22" ht="16.5" x14ac:dyDescent="0.25">
      <c r="A32" s="313">
        <v>16</v>
      </c>
      <c r="B32" s="372" t="s">
        <v>940</v>
      </c>
      <c r="C32" s="326"/>
      <c r="D32" s="323"/>
      <c r="E32" s="316"/>
      <c r="F32" s="316"/>
      <c r="G32" s="316"/>
      <c r="H32" s="316"/>
      <c r="I32" s="316"/>
      <c r="J32" s="316"/>
      <c r="K32" s="316"/>
      <c r="L32" s="316"/>
      <c r="M32" s="316"/>
      <c r="N32" s="316"/>
      <c r="O32" s="316"/>
      <c r="P32" s="316"/>
      <c r="Q32" s="316"/>
      <c r="R32" s="316"/>
      <c r="S32" s="314"/>
      <c r="T32" s="314"/>
      <c r="U32" s="327"/>
      <c r="V32" s="321"/>
    </row>
    <row r="33" spans="1:22" ht="16.5" x14ac:dyDescent="0.25">
      <c r="A33" s="315">
        <v>17</v>
      </c>
      <c r="B33" s="372" t="s">
        <v>941</v>
      </c>
      <c r="C33" s="326"/>
      <c r="D33" s="323"/>
      <c r="E33" s="316"/>
      <c r="F33" s="316"/>
      <c r="G33" s="316"/>
      <c r="H33" s="316"/>
      <c r="I33" s="316"/>
      <c r="J33" s="316"/>
      <c r="K33" s="316"/>
      <c r="L33" s="316"/>
      <c r="M33" s="316"/>
      <c r="N33" s="316"/>
      <c r="O33" s="316"/>
      <c r="P33" s="316"/>
      <c r="Q33" s="316"/>
      <c r="R33" s="316"/>
      <c r="S33" s="314"/>
      <c r="T33" s="314"/>
      <c r="U33" s="327"/>
      <c r="V33" s="325"/>
    </row>
    <row r="34" spans="1:22" ht="16.5" x14ac:dyDescent="0.25">
      <c r="A34" s="315">
        <v>18</v>
      </c>
      <c r="B34" s="372" t="s">
        <v>942</v>
      </c>
      <c r="C34" s="326"/>
      <c r="D34" s="323"/>
      <c r="E34" s="316"/>
      <c r="F34" s="316"/>
      <c r="G34" s="316"/>
      <c r="H34" s="316"/>
      <c r="I34" s="316"/>
      <c r="J34" s="316"/>
      <c r="K34" s="316"/>
      <c r="L34" s="316"/>
      <c r="M34" s="316"/>
      <c r="N34" s="316"/>
      <c r="O34" s="316"/>
      <c r="P34" s="316"/>
      <c r="Q34" s="316"/>
      <c r="R34" s="316"/>
      <c r="S34" s="314"/>
      <c r="T34" s="314"/>
      <c r="U34" s="327"/>
      <c r="V34" s="325"/>
    </row>
    <row r="35" spans="1:22" ht="16.5" x14ac:dyDescent="0.25">
      <c r="A35" s="313">
        <v>19</v>
      </c>
      <c r="B35" s="372" t="s">
        <v>956</v>
      </c>
      <c r="C35" s="322"/>
      <c r="D35" s="323"/>
      <c r="E35" s="316"/>
      <c r="F35" s="316"/>
      <c r="G35" s="316"/>
      <c r="H35" s="316"/>
      <c r="I35" s="316"/>
      <c r="J35" s="316"/>
      <c r="K35" s="316"/>
      <c r="L35" s="316"/>
      <c r="M35" s="316"/>
      <c r="N35" s="316"/>
      <c r="O35" s="316"/>
      <c r="P35" s="316"/>
      <c r="Q35" s="316"/>
      <c r="R35" s="316"/>
      <c r="S35" s="314"/>
      <c r="T35" s="314"/>
      <c r="U35" s="327"/>
      <c r="V35" s="325"/>
    </row>
    <row r="36" spans="1:22" ht="16.5" x14ac:dyDescent="0.25">
      <c r="A36" s="315">
        <v>20</v>
      </c>
      <c r="B36" s="372" t="s">
        <v>943</v>
      </c>
      <c r="C36" s="322"/>
      <c r="D36" s="323"/>
      <c r="E36" s="316"/>
      <c r="F36" s="316"/>
      <c r="G36" s="316"/>
      <c r="H36" s="316"/>
      <c r="I36" s="316"/>
      <c r="J36" s="316"/>
      <c r="K36" s="316"/>
      <c r="L36" s="316"/>
      <c r="M36" s="316"/>
      <c r="N36" s="316"/>
      <c r="O36" s="316"/>
      <c r="P36" s="316"/>
      <c r="Q36" s="316"/>
      <c r="R36" s="316"/>
      <c r="S36" s="314"/>
      <c r="T36" s="314"/>
      <c r="U36" s="327"/>
      <c r="V36" s="325"/>
    </row>
    <row r="37" spans="1:22" ht="16.5" x14ac:dyDescent="0.25">
      <c r="A37" s="315">
        <v>21</v>
      </c>
      <c r="B37" s="372" t="s">
        <v>944</v>
      </c>
      <c r="C37" s="322"/>
      <c r="D37" s="323"/>
      <c r="E37" s="323"/>
      <c r="F37" s="323"/>
      <c r="G37" s="323"/>
      <c r="H37" s="323"/>
      <c r="I37" s="323"/>
      <c r="J37" s="323"/>
      <c r="K37" s="323"/>
      <c r="L37" s="323"/>
      <c r="M37" s="323"/>
      <c r="N37" s="323"/>
      <c r="O37" s="323"/>
      <c r="P37" s="323"/>
      <c r="Q37" s="323"/>
      <c r="R37" s="323"/>
      <c r="S37" s="314"/>
      <c r="T37" s="314"/>
      <c r="U37" s="327"/>
      <c r="V37" s="325"/>
    </row>
    <row r="38" spans="1:22" ht="16.5" x14ac:dyDescent="0.25">
      <c r="A38" s="313">
        <v>22</v>
      </c>
      <c r="B38" s="372" t="s">
        <v>957</v>
      </c>
      <c r="C38" s="326"/>
      <c r="D38" s="323"/>
      <c r="E38" s="316"/>
      <c r="F38" s="316"/>
      <c r="G38" s="316"/>
      <c r="H38" s="316"/>
      <c r="I38" s="316"/>
      <c r="J38" s="316"/>
      <c r="K38" s="316"/>
      <c r="L38" s="316"/>
      <c r="M38" s="316"/>
      <c r="N38" s="316"/>
      <c r="O38" s="316"/>
      <c r="P38" s="316"/>
      <c r="Q38" s="316"/>
      <c r="R38" s="316"/>
      <c r="S38" s="314"/>
      <c r="T38" s="314"/>
      <c r="U38" s="327"/>
      <c r="V38" s="325"/>
    </row>
    <row r="39" spans="1:22" ht="16.5" x14ac:dyDescent="0.25">
      <c r="A39" s="315">
        <v>23</v>
      </c>
      <c r="B39" s="372" t="s">
        <v>945</v>
      </c>
      <c r="C39" s="326"/>
      <c r="D39" s="323"/>
      <c r="E39" s="316"/>
      <c r="F39" s="316"/>
      <c r="G39" s="316"/>
      <c r="H39" s="316"/>
      <c r="I39" s="316"/>
      <c r="J39" s="316"/>
      <c r="K39" s="316"/>
      <c r="L39" s="316"/>
      <c r="M39" s="316"/>
      <c r="N39" s="316"/>
      <c r="O39" s="316"/>
      <c r="P39" s="316"/>
      <c r="Q39" s="316"/>
      <c r="R39" s="316"/>
      <c r="S39" s="314"/>
      <c r="T39" s="314"/>
      <c r="U39" s="327"/>
      <c r="V39" s="325"/>
    </row>
    <row r="40" spans="1:22" ht="16.5" x14ac:dyDescent="0.25">
      <c r="A40" s="315">
        <v>24</v>
      </c>
      <c r="B40" s="372" t="s">
        <v>958</v>
      </c>
      <c r="C40" s="322"/>
      <c r="D40" s="323"/>
      <c r="E40" s="316"/>
      <c r="F40" s="316"/>
      <c r="G40" s="316"/>
      <c r="H40" s="316"/>
      <c r="I40" s="316"/>
      <c r="J40" s="316"/>
      <c r="K40" s="316"/>
      <c r="L40" s="316"/>
      <c r="M40" s="316"/>
      <c r="N40" s="316"/>
      <c r="O40" s="316"/>
      <c r="P40" s="316"/>
      <c r="Q40" s="316"/>
      <c r="R40" s="316"/>
      <c r="S40" s="314"/>
      <c r="T40" s="314"/>
      <c r="U40" s="327"/>
      <c r="V40" s="325"/>
    </row>
    <row r="41" spans="1:22" ht="16.5" x14ac:dyDescent="0.25">
      <c r="A41" s="313">
        <v>25</v>
      </c>
      <c r="B41" s="372" t="s">
        <v>946</v>
      </c>
      <c r="C41" s="326"/>
      <c r="D41" s="323"/>
      <c r="E41" s="316"/>
      <c r="F41" s="316"/>
      <c r="G41" s="316"/>
      <c r="H41" s="316"/>
      <c r="I41" s="316"/>
      <c r="J41" s="316"/>
      <c r="K41" s="316"/>
      <c r="L41" s="316"/>
      <c r="M41" s="316"/>
      <c r="N41" s="316"/>
      <c r="O41" s="316"/>
      <c r="P41" s="316"/>
      <c r="Q41" s="316"/>
      <c r="R41" s="316"/>
      <c r="S41" s="314"/>
      <c r="T41" s="314"/>
      <c r="U41" s="327"/>
      <c r="V41" s="325"/>
    </row>
    <row r="42" spans="1:22" ht="16.5" x14ac:dyDescent="0.25">
      <c r="A42" s="315">
        <v>26</v>
      </c>
      <c r="B42" s="372" t="s">
        <v>947</v>
      </c>
      <c r="C42" s="326"/>
      <c r="D42" s="323"/>
      <c r="E42" s="316"/>
      <c r="F42" s="316"/>
      <c r="G42" s="316"/>
      <c r="H42" s="316"/>
      <c r="I42" s="316"/>
      <c r="J42" s="316"/>
      <c r="K42" s="316"/>
      <c r="L42" s="316"/>
      <c r="M42" s="316"/>
      <c r="N42" s="316"/>
      <c r="O42" s="316"/>
      <c r="P42" s="316"/>
      <c r="Q42" s="316"/>
      <c r="R42" s="316"/>
      <c r="S42" s="314"/>
      <c r="T42" s="314"/>
      <c r="U42" s="327"/>
      <c r="V42" s="321"/>
    </row>
    <row r="43" spans="1:22" ht="16.5" x14ac:dyDescent="0.25">
      <c r="A43" s="315">
        <v>27</v>
      </c>
      <c r="B43" s="372" t="s">
        <v>959</v>
      </c>
      <c r="C43" s="326" t="s">
        <v>36</v>
      </c>
      <c r="D43" s="323"/>
      <c r="E43" s="316"/>
      <c r="F43" s="316"/>
      <c r="G43" s="316"/>
      <c r="H43" s="316"/>
      <c r="I43" s="316"/>
      <c r="J43" s="316"/>
      <c r="K43" s="316"/>
      <c r="L43" s="316"/>
      <c r="M43" s="316"/>
      <c r="N43" s="316"/>
      <c r="O43" s="316"/>
      <c r="P43" s="316"/>
      <c r="Q43" s="316"/>
      <c r="R43" s="316"/>
      <c r="S43" s="314"/>
      <c r="T43" s="314"/>
      <c r="U43" s="327"/>
      <c r="V43" s="325"/>
    </row>
    <row r="44" spans="1:22" ht="16.5" x14ac:dyDescent="0.25">
      <c r="A44" s="313">
        <v>28</v>
      </c>
      <c r="B44" s="372" t="s">
        <v>960</v>
      </c>
      <c r="C44" s="326"/>
      <c r="D44" s="323"/>
      <c r="E44" s="316"/>
      <c r="F44" s="316"/>
      <c r="G44" s="316"/>
      <c r="H44" s="316"/>
      <c r="I44" s="316"/>
      <c r="J44" s="316"/>
      <c r="K44" s="316"/>
      <c r="L44" s="316"/>
      <c r="M44" s="316"/>
      <c r="N44" s="316"/>
      <c r="O44" s="316"/>
      <c r="P44" s="316"/>
      <c r="Q44" s="316"/>
      <c r="R44" s="316"/>
      <c r="S44" s="314"/>
      <c r="T44" s="314"/>
      <c r="U44" s="327"/>
      <c r="V44" s="321"/>
    </row>
    <row r="45" spans="1:22" ht="16.5" x14ac:dyDescent="0.25">
      <c r="A45" s="315">
        <v>29</v>
      </c>
      <c r="B45" s="372" t="s">
        <v>948</v>
      </c>
      <c r="C45" s="326"/>
      <c r="D45" s="323"/>
      <c r="E45" s="316"/>
      <c r="F45" s="316"/>
      <c r="G45" s="316"/>
      <c r="H45" s="316"/>
      <c r="I45" s="316"/>
      <c r="J45" s="316"/>
      <c r="K45" s="316"/>
      <c r="L45" s="316"/>
      <c r="M45" s="316"/>
      <c r="N45" s="316"/>
      <c r="O45" s="316"/>
      <c r="P45" s="316"/>
      <c r="Q45" s="316"/>
      <c r="R45" s="316"/>
      <c r="S45" s="314"/>
      <c r="T45" s="314"/>
      <c r="U45" s="327"/>
      <c r="V45" s="321"/>
    </row>
    <row r="46" spans="1:22" ht="16.5" x14ac:dyDescent="0.25">
      <c r="A46" s="315">
        <v>30</v>
      </c>
      <c r="B46" s="372" t="s">
        <v>961</v>
      </c>
      <c r="C46" s="329"/>
      <c r="D46" s="316"/>
      <c r="E46" s="316"/>
      <c r="F46" s="316"/>
      <c r="G46" s="316"/>
      <c r="H46" s="316"/>
      <c r="I46" s="316"/>
      <c r="J46" s="316"/>
      <c r="K46" s="316"/>
      <c r="L46" s="316"/>
      <c r="M46" s="316"/>
      <c r="N46" s="316"/>
      <c r="O46" s="316"/>
      <c r="P46" s="316"/>
      <c r="Q46" s="316"/>
      <c r="R46" s="316"/>
      <c r="S46" s="314"/>
      <c r="T46" s="314"/>
      <c r="U46" s="330"/>
      <c r="V46" s="325"/>
    </row>
    <row r="47" spans="1:22" ht="16.5" x14ac:dyDescent="0.25">
      <c r="A47" s="315">
        <v>31</v>
      </c>
      <c r="B47" s="372" t="s">
        <v>949</v>
      </c>
      <c r="C47" s="316"/>
      <c r="D47" s="316"/>
      <c r="E47" s="316"/>
      <c r="F47" s="316"/>
      <c r="G47" s="316"/>
      <c r="H47" s="316"/>
      <c r="I47" s="316"/>
      <c r="J47" s="316"/>
      <c r="K47" s="316"/>
      <c r="L47" s="316"/>
      <c r="M47" s="316"/>
      <c r="N47" s="316"/>
      <c r="O47" s="316"/>
      <c r="P47" s="316"/>
      <c r="Q47" s="316"/>
      <c r="R47" s="316"/>
      <c r="S47" s="316"/>
      <c r="T47" s="316"/>
      <c r="U47" s="316"/>
      <c r="V47" s="316"/>
    </row>
    <row r="48" spans="1:22" ht="16.5" x14ac:dyDescent="0.25">
      <c r="A48" s="316">
        <v>32</v>
      </c>
      <c r="B48" s="372" t="s">
        <v>950</v>
      </c>
      <c r="C48" s="316"/>
      <c r="D48" s="316"/>
      <c r="E48" s="316"/>
      <c r="F48" s="316"/>
      <c r="G48" s="316"/>
      <c r="H48" s="316"/>
      <c r="I48" s="316"/>
      <c r="J48" s="316"/>
      <c r="K48" s="316"/>
      <c r="L48" s="316"/>
      <c r="M48" s="316"/>
      <c r="N48" s="316"/>
      <c r="O48" s="316"/>
      <c r="P48" s="316"/>
      <c r="Q48" s="316"/>
      <c r="R48" s="316"/>
      <c r="S48" s="316"/>
      <c r="T48" s="316"/>
      <c r="U48" s="331"/>
      <c r="V48" s="316"/>
    </row>
    <row r="49" spans="1:22" ht="16.5" x14ac:dyDescent="0.25">
      <c r="A49" s="316">
        <v>33</v>
      </c>
      <c r="B49" s="372" t="s">
        <v>962</v>
      </c>
      <c r="C49" s="316"/>
      <c r="D49" s="316"/>
      <c r="E49" s="316"/>
      <c r="F49" s="316"/>
      <c r="G49" s="316"/>
      <c r="H49" s="316"/>
      <c r="I49" s="316"/>
      <c r="J49" s="316"/>
      <c r="K49" s="316"/>
      <c r="L49" s="316"/>
      <c r="M49" s="316"/>
      <c r="N49" s="316"/>
      <c r="O49" s="316"/>
      <c r="P49" s="316"/>
      <c r="Q49" s="316"/>
      <c r="R49" s="316"/>
      <c r="S49" s="316"/>
      <c r="T49" s="316"/>
      <c r="U49" s="316"/>
      <c r="V49" s="330"/>
    </row>
    <row r="50" spans="1:22" ht="16.5" x14ac:dyDescent="0.25">
      <c r="A50" s="316">
        <v>34</v>
      </c>
      <c r="B50" s="372" t="s">
        <v>951</v>
      </c>
      <c r="C50" s="316"/>
      <c r="D50" s="316"/>
      <c r="E50" s="316"/>
      <c r="F50" s="316"/>
      <c r="G50" s="316"/>
      <c r="H50" s="316"/>
      <c r="I50" s="316"/>
      <c r="J50" s="316"/>
      <c r="K50" s="316"/>
      <c r="L50" s="316"/>
      <c r="M50" s="316"/>
      <c r="N50" s="316"/>
      <c r="O50" s="316"/>
      <c r="P50" s="316"/>
      <c r="Q50" s="316"/>
      <c r="R50" s="316"/>
      <c r="S50" s="316"/>
      <c r="T50" s="316"/>
      <c r="U50" s="316"/>
      <c r="V50" s="330"/>
    </row>
    <row r="51" spans="1:22" ht="16.5" x14ac:dyDescent="0.25">
      <c r="A51" s="316">
        <v>35</v>
      </c>
      <c r="B51" s="372" t="s">
        <v>963</v>
      </c>
      <c r="C51" s="316"/>
      <c r="D51" s="316"/>
      <c r="E51" s="316"/>
      <c r="F51" s="316"/>
      <c r="G51" s="316"/>
      <c r="H51" s="316"/>
      <c r="I51" s="316"/>
      <c r="J51" s="316"/>
      <c r="K51" s="316"/>
      <c r="L51" s="316"/>
      <c r="M51" s="316"/>
      <c r="N51" s="316"/>
      <c r="O51" s="316"/>
      <c r="P51" s="316"/>
      <c r="Q51" s="316"/>
      <c r="R51" s="316"/>
      <c r="S51" s="316"/>
      <c r="T51" s="316"/>
      <c r="U51" s="316"/>
      <c r="V51" s="330"/>
    </row>
    <row r="52" spans="1:22" ht="16.5" x14ac:dyDescent="0.25">
      <c r="A52" s="316">
        <v>36</v>
      </c>
      <c r="B52" s="372" t="s">
        <v>964</v>
      </c>
      <c r="C52" s="316"/>
      <c r="D52" s="316"/>
      <c r="E52" s="316"/>
      <c r="F52" s="316"/>
      <c r="G52" s="316"/>
      <c r="H52" s="316"/>
      <c r="I52" s="316"/>
      <c r="J52" s="316"/>
      <c r="K52" s="316"/>
      <c r="L52" s="316"/>
      <c r="M52" s="316"/>
      <c r="N52" s="316"/>
      <c r="O52" s="316"/>
      <c r="P52" s="316"/>
      <c r="Q52" s="316"/>
      <c r="R52" s="316"/>
      <c r="S52" s="316"/>
      <c r="T52" s="316"/>
      <c r="U52" s="316"/>
      <c r="V52" s="330"/>
    </row>
    <row r="54" spans="1:22" x14ac:dyDescent="0.25">
      <c r="T54" s="332">
        <f>SUM(T17:T49)</f>
        <v>0</v>
      </c>
    </row>
    <row r="55" spans="1:22" x14ac:dyDescent="0.25">
      <c r="R55" t="s">
        <v>803</v>
      </c>
      <c r="T55" s="333" t="s">
        <v>804</v>
      </c>
    </row>
    <row r="56" spans="1:22" x14ac:dyDescent="0.25">
      <c r="T56">
        <v>49.3</v>
      </c>
    </row>
    <row r="59" spans="1:22" ht="23.25" x14ac:dyDescent="0.35">
      <c r="G59" s="361" t="s">
        <v>858</v>
      </c>
    </row>
    <row r="61" spans="1:22" x14ac:dyDescent="0.25">
      <c r="B61" t="s">
        <v>38</v>
      </c>
      <c r="D61" t="s">
        <v>701</v>
      </c>
      <c r="H61" t="s">
        <v>43</v>
      </c>
      <c r="J61" t="s">
        <v>866</v>
      </c>
    </row>
    <row r="62" spans="1:22" x14ac:dyDescent="0.25">
      <c r="B62" t="s">
        <v>797</v>
      </c>
      <c r="D62" t="s">
        <v>34</v>
      </c>
      <c r="H62" t="s">
        <v>800</v>
      </c>
      <c r="J62" s="291" t="s">
        <v>1045</v>
      </c>
    </row>
    <row r="63" spans="1:22" x14ac:dyDescent="0.25">
      <c r="B63" t="s">
        <v>798</v>
      </c>
      <c r="D63" s="291" t="s">
        <v>34</v>
      </c>
      <c r="H63" t="s">
        <v>696</v>
      </c>
      <c r="J63" t="s">
        <v>34</v>
      </c>
    </row>
    <row r="65" spans="1:48" x14ac:dyDescent="0.25">
      <c r="A65" s="444" t="s">
        <v>0</v>
      </c>
      <c r="B65" s="444" t="s">
        <v>27</v>
      </c>
      <c r="C65" s="362" t="s">
        <v>862</v>
      </c>
      <c r="D65" s="438"/>
      <c r="E65" s="438"/>
      <c r="F65" s="438"/>
      <c r="G65" s="438"/>
      <c r="H65" s="438"/>
      <c r="I65" s="438"/>
      <c r="J65" s="438"/>
      <c r="K65" s="438"/>
      <c r="L65" s="438"/>
      <c r="M65" s="438"/>
      <c r="N65" s="438"/>
      <c r="O65" s="438"/>
      <c r="P65" s="438"/>
      <c r="Q65" s="438"/>
      <c r="R65" s="438"/>
      <c r="S65" s="438"/>
      <c r="T65" s="438"/>
      <c r="U65" s="438"/>
      <c r="V65" s="438"/>
      <c r="W65" s="438"/>
      <c r="X65" s="438"/>
      <c r="Y65" s="438"/>
      <c r="Z65" s="438"/>
      <c r="AA65" s="438"/>
      <c r="AB65" s="438"/>
      <c r="AC65" s="438"/>
      <c r="AD65" s="438"/>
      <c r="AE65" s="438"/>
      <c r="AF65" s="438"/>
      <c r="AG65" s="438"/>
      <c r="AH65" s="438"/>
      <c r="AI65" s="438"/>
      <c r="AJ65" s="438"/>
      <c r="AK65" s="438"/>
      <c r="AL65" s="438"/>
      <c r="AM65" s="438"/>
      <c r="AN65" s="438"/>
      <c r="AO65" s="438"/>
      <c r="AP65" s="439"/>
      <c r="AQ65" s="436" t="s">
        <v>859</v>
      </c>
      <c r="AR65" s="436" t="s">
        <v>860</v>
      </c>
      <c r="AS65" s="436" t="s">
        <v>861</v>
      </c>
      <c r="AT65" s="436" t="s">
        <v>49</v>
      </c>
      <c r="AU65" s="23"/>
      <c r="AV65" s="23"/>
    </row>
    <row r="66" spans="1:48" x14ac:dyDescent="0.25">
      <c r="A66" s="445"/>
      <c r="B66" s="445"/>
      <c r="C66" s="363">
        <v>1</v>
      </c>
      <c r="D66" s="363">
        <v>2</v>
      </c>
      <c r="E66" s="363">
        <v>3</v>
      </c>
      <c r="F66" s="363">
        <v>4</v>
      </c>
      <c r="G66" s="363">
        <v>5</v>
      </c>
      <c r="H66" s="363">
        <v>6</v>
      </c>
      <c r="I66" s="363">
        <v>7</v>
      </c>
      <c r="J66" s="363">
        <v>8</v>
      </c>
      <c r="K66" s="363">
        <v>9</v>
      </c>
      <c r="L66" s="363">
        <v>10</v>
      </c>
      <c r="M66" s="363">
        <v>11</v>
      </c>
      <c r="N66" s="363">
        <v>12</v>
      </c>
      <c r="O66" s="363">
        <v>13</v>
      </c>
      <c r="P66" s="363">
        <v>14</v>
      </c>
      <c r="Q66" s="363">
        <v>15</v>
      </c>
      <c r="R66" s="363">
        <v>16</v>
      </c>
      <c r="S66" s="363">
        <v>17</v>
      </c>
      <c r="T66" s="363">
        <v>18</v>
      </c>
      <c r="U66" s="363">
        <v>19</v>
      </c>
      <c r="V66" s="363">
        <v>20</v>
      </c>
      <c r="W66" s="363">
        <v>21</v>
      </c>
      <c r="X66" s="363">
        <v>22</v>
      </c>
      <c r="Y66" s="363">
        <v>23</v>
      </c>
      <c r="Z66" s="363">
        <v>24</v>
      </c>
      <c r="AA66" s="363">
        <v>25</v>
      </c>
      <c r="AB66" s="363">
        <v>26</v>
      </c>
      <c r="AC66" s="363">
        <v>27</v>
      </c>
      <c r="AD66" s="363">
        <v>28</v>
      </c>
      <c r="AE66" s="363">
        <v>29</v>
      </c>
      <c r="AF66" s="363">
        <v>30</v>
      </c>
      <c r="AG66" s="363">
        <v>31</v>
      </c>
      <c r="AH66" s="363">
        <v>32</v>
      </c>
      <c r="AI66" s="363">
        <v>33</v>
      </c>
      <c r="AJ66" s="363">
        <v>34</v>
      </c>
      <c r="AK66" s="363">
        <v>35</v>
      </c>
      <c r="AL66" s="363">
        <v>36</v>
      </c>
      <c r="AM66" s="363">
        <v>37</v>
      </c>
      <c r="AN66" s="363">
        <v>38</v>
      </c>
      <c r="AO66" s="363">
        <v>39</v>
      </c>
      <c r="AP66" s="363">
        <v>40</v>
      </c>
      <c r="AQ66" s="364"/>
      <c r="AR66" s="364"/>
      <c r="AS66" s="364"/>
      <c r="AT66" s="364"/>
      <c r="AU66" s="23"/>
      <c r="AV66" s="23"/>
    </row>
    <row r="67" spans="1:48" x14ac:dyDescent="0.25">
      <c r="A67" s="446"/>
      <c r="B67" s="446"/>
      <c r="C67" s="363"/>
      <c r="D67" s="363"/>
      <c r="E67" s="363"/>
      <c r="F67" s="363"/>
      <c r="G67" s="363"/>
      <c r="H67" s="363"/>
      <c r="I67" s="363"/>
      <c r="J67" s="363"/>
      <c r="K67" s="363"/>
      <c r="L67" s="363"/>
      <c r="M67" s="363"/>
      <c r="N67" s="363"/>
      <c r="O67" s="363"/>
      <c r="P67" s="363"/>
      <c r="Q67" s="363"/>
      <c r="R67" s="363"/>
      <c r="S67" s="363"/>
      <c r="T67" s="363"/>
      <c r="U67" s="363"/>
      <c r="V67" s="363"/>
      <c r="W67" s="363"/>
      <c r="X67" s="363"/>
      <c r="Y67" s="363"/>
      <c r="Z67" s="363"/>
      <c r="AA67" s="363"/>
      <c r="AB67" s="363"/>
      <c r="AC67" s="363"/>
      <c r="AD67" s="363"/>
      <c r="AE67" s="363"/>
      <c r="AF67" s="363"/>
      <c r="AG67" s="363"/>
      <c r="AH67" s="363"/>
      <c r="AI67" s="363"/>
      <c r="AJ67" s="363"/>
      <c r="AK67" s="363"/>
      <c r="AL67" s="363"/>
      <c r="AM67" s="363"/>
      <c r="AN67" s="363"/>
      <c r="AO67" s="363"/>
      <c r="AP67" s="363"/>
      <c r="AQ67" s="437"/>
      <c r="AR67" s="437"/>
      <c r="AS67" s="437"/>
      <c r="AT67" s="437"/>
      <c r="AU67" s="23"/>
      <c r="AV67" s="23"/>
    </row>
    <row r="68" spans="1:48" x14ac:dyDescent="0.25">
      <c r="A68" s="365">
        <v>1</v>
      </c>
      <c r="B68" s="421" t="s">
        <v>927</v>
      </c>
      <c r="C68" s="363"/>
      <c r="D68" s="363"/>
      <c r="E68" s="363"/>
      <c r="F68" s="363"/>
      <c r="G68" s="363"/>
      <c r="H68" s="363"/>
      <c r="I68" s="363"/>
      <c r="J68" s="363"/>
      <c r="K68" s="363"/>
      <c r="L68" s="363"/>
      <c r="M68" s="363"/>
      <c r="N68" s="363"/>
      <c r="O68" s="363"/>
      <c r="P68" s="363"/>
      <c r="Q68" s="363"/>
      <c r="R68" s="363"/>
      <c r="S68" s="363"/>
      <c r="T68" s="363"/>
      <c r="U68" s="363"/>
      <c r="V68" s="363"/>
      <c r="W68" s="363"/>
      <c r="X68" s="363"/>
      <c r="Y68" s="363"/>
      <c r="Z68" s="363"/>
      <c r="AA68" s="363"/>
      <c r="AB68" s="363"/>
      <c r="AC68" s="363"/>
      <c r="AD68" s="363"/>
      <c r="AE68" s="363"/>
      <c r="AF68" s="363"/>
      <c r="AG68" s="363"/>
      <c r="AH68" s="363"/>
      <c r="AI68" s="363"/>
      <c r="AJ68" s="363"/>
      <c r="AK68" s="363"/>
      <c r="AL68" s="363"/>
      <c r="AM68" s="363"/>
      <c r="AN68" s="363"/>
      <c r="AO68" s="363"/>
      <c r="AP68" s="363"/>
      <c r="AQ68" s="363"/>
      <c r="AR68" s="363"/>
      <c r="AS68" s="366"/>
      <c r="AT68" s="363"/>
      <c r="AU68" s="23"/>
      <c r="AV68" s="23"/>
    </row>
    <row r="69" spans="1:48" ht="16.5" x14ac:dyDescent="0.25">
      <c r="A69" s="365">
        <v>2</v>
      </c>
      <c r="B69" s="372" t="s">
        <v>928</v>
      </c>
      <c r="C69" s="363"/>
      <c r="D69" s="363"/>
      <c r="E69" s="363"/>
      <c r="F69" s="363"/>
      <c r="G69" s="363"/>
      <c r="H69" s="363"/>
      <c r="I69" s="363"/>
      <c r="J69" s="363"/>
      <c r="K69" s="363"/>
      <c r="L69" s="363"/>
      <c r="M69" s="363"/>
      <c r="N69" s="363"/>
      <c r="O69" s="363"/>
      <c r="P69" s="363"/>
      <c r="Q69" s="363"/>
      <c r="R69" s="363"/>
      <c r="S69" s="363"/>
      <c r="T69" s="363"/>
      <c r="U69" s="363"/>
      <c r="V69" s="363"/>
      <c r="W69" s="363"/>
      <c r="X69" s="363"/>
      <c r="Y69" s="363"/>
      <c r="Z69" s="363"/>
      <c r="AA69" s="363"/>
      <c r="AB69" s="363"/>
      <c r="AC69" s="363"/>
      <c r="AD69" s="363"/>
      <c r="AE69" s="363"/>
      <c r="AF69" s="363"/>
      <c r="AG69" s="363"/>
      <c r="AH69" s="363"/>
      <c r="AI69" s="363"/>
      <c r="AJ69" s="363"/>
      <c r="AK69" s="363"/>
      <c r="AL69" s="363"/>
      <c r="AM69" s="363"/>
      <c r="AN69" s="363"/>
      <c r="AO69" s="363"/>
      <c r="AP69" s="363"/>
      <c r="AQ69" s="363"/>
      <c r="AR69" s="363"/>
      <c r="AS69" s="366"/>
      <c r="AT69" s="363"/>
      <c r="AU69" s="23"/>
    </row>
    <row r="70" spans="1:48" ht="16.5" x14ac:dyDescent="0.25">
      <c r="A70" s="365">
        <v>3</v>
      </c>
      <c r="B70" s="374" t="s">
        <v>929</v>
      </c>
      <c r="C70" s="363"/>
      <c r="D70" s="363"/>
      <c r="E70" s="363"/>
      <c r="F70" s="363"/>
      <c r="G70" s="363"/>
      <c r="H70" s="363"/>
      <c r="I70" s="363"/>
      <c r="J70" s="363"/>
      <c r="K70" s="363"/>
      <c r="L70" s="363"/>
      <c r="M70" s="363"/>
      <c r="N70" s="363"/>
      <c r="O70" s="363"/>
      <c r="P70" s="363"/>
      <c r="Q70" s="363"/>
      <c r="R70" s="363"/>
      <c r="S70" s="363"/>
      <c r="T70" s="363"/>
      <c r="U70" s="363"/>
      <c r="V70" s="363"/>
      <c r="W70" s="363"/>
      <c r="X70" s="363"/>
      <c r="Y70" s="363"/>
      <c r="Z70" s="363"/>
      <c r="AA70" s="363"/>
      <c r="AB70" s="363"/>
      <c r="AC70" s="363"/>
      <c r="AD70" s="363"/>
      <c r="AE70" s="363"/>
      <c r="AF70" s="363"/>
      <c r="AG70" s="363"/>
      <c r="AH70" s="363"/>
      <c r="AI70" s="363"/>
      <c r="AJ70" s="363"/>
      <c r="AK70" s="363"/>
      <c r="AL70" s="363"/>
      <c r="AM70" s="363"/>
      <c r="AN70" s="363"/>
      <c r="AO70" s="363"/>
      <c r="AP70" s="363"/>
      <c r="AQ70" s="363"/>
      <c r="AR70" s="363"/>
      <c r="AS70" s="366"/>
      <c r="AT70" s="363"/>
      <c r="AU70" s="23"/>
    </row>
    <row r="71" spans="1:48" ht="16.5" x14ac:dyDescent="0.25">
      <c r="A71" s="365">
        <v>4</v>
      </c>
      <c r="B71" s="374" t="s">
        <v>953</v>
      </c>
      <c r="C71" s="363"/>
      <c r="D71" s="363"/>
      <c r="E71" s="363"/>
      <c r="F71" s="363"/>
      <c r="G71" s="363"/>
      <c r="H71" s="363"/>
      <c r="I71" s="363"/>
      <c r="J71" s="363"/>
      <c r="K71" s="363"/>
      <c r="L71" s="363"/>
      <c r="M71" s="363"/>
      <c r="N71" s="363"/>
      <c r="O71" s="363"/>
      <c r="P71" s="363"/>
      <c r="Q71" s="363"/>
      <c r="R71" s="363"/>
      <c r="S71" s="363"/>
      <c r="T71" s="363"/>
      <c r="U71" s="363"/>
      <c r="V71" s="363"/>
      <c r="W71" s="363"/>
      <c r="X71" s="363"/>
      <c r="Y71" s="363"/>
      <c r="Z71" s="363"/>
      <c r="AA71" s="363"/>
      <c r="AB71" s="363"/>
      <c r="AC71" s="363"/>
      <c r="AD71" s="363"/>
      <c r="AE71" s="363"/>
      <c r="AF71" s="363"/>
      <c r="AG71" s="363"/>
      <c r="AH71" s="363"/>
      <c r="AI71" s="363"/>
      <c r="AJ71" s="363"/>
      <c r="AK71" s="363"/>
      <c r="AL71" s="363"/>
      <c r="AM71" s="363"/>
      <c r="AN71" s="363"/>
      <c r="AO71" s="363"/>
      <c r="AP71" s="363"/>
      <c r="AQ71" s="363"/>
      <c r="AR71" s="363"/>
      <c r="AS71" s="366"/>
      <c r="AT71" s="363"/>
      <c r="AU71" s="23"/>
    </row>
    <row r="72" spans="1:48" ht="16.5" x14ac:dyDescent="0.25">
      <c r="A72" s="365">
        <v>5</v>
      </c>
      <c r="B72" s="372" t="s">
        <v>954</v>
      </c>
      <c r="C72" s="363"/>
      <c r="D72" s="363"/>
      <c r="E72" s="363"/>
      <c r="F72" s="363"/>
      <c r="G72" s="363"/>
      <c r="H72" s="363"/>
      <c r="I72" s="363"/>
      <c r="J72" s="363"/>
      <c r="K72" s="363"/>
      <c r="L72" s="363"/>
      <c r="M72" s="363"/>
      <c r="N72" s="363"/>
      <c r="O72" s="363"/>
      <c r="P72" s="363"/>
      <c r="Q72" s="363"/>
      <c r="R72" s="363"/>
      <c r="S72" s="363"/>
      <c r="T72" s="363"/>
      <c r="U72" s="363"/>
      <c r="V72" s="363"/>
      <c r="W72" s="363"/>
      <c r="X72" s="363"/>
      <c r="Y72" s="363"/>
      <c r="Z72" s="363"/>
      <c r="AA72" s="363"/>
      <c r="AB72" s="363"/>
      <c r="AC72" s="363"/>
      <c r="AD72" s="363"/>
      <c r="AE72" s="363"/>
      <c r="AF72" s="363"/>
      <c r="AG72" s="363"/>
      <c r="AH72" s="363"/>
      <c r="AI72" s="363"/>
      <c r="AJ72" s="363"/>
      <c r="AK72" s="363"/>
      <c r="AL72" s="363"/>
      <c r="AM72" s="363"/>
      <c r="AN72" s="363"/>
      <c r="AO72" s="363"/>
      <c r="AP72" s="363"/>
      <c r="AQ72" s="363"/>
      <c r="AR72" s="363"/>
      <c r="AS72" s="366"/>
      <c r="AT72" s="363"/>
      <c r="AU72" s="23"/>
    </row>
    <row r="73" spans="1:48" ht="16.5" x14ac:dyDescent="0.25">
      <c r="A73" s="365">
        <v>6</v>
      </c>
      <c r="B73" s="372" t="s">
        <v>930</v>
      </c>
      <c r="C73" s="363"/>
      <c r="D73" s="363"/>
      <c r="E73" s="363"/>
      <c r="F73" s="363"/>
      <c r="G73" s="363"/>
      <c r="H73" s="363"/>
      <c r="I73" s="363"/>
      <c r="J73" s="363"/>
      <c r="K73" s="363"/>
      <c r="L73" s="363"/>
      <c r="M73" s="363"/>
      <c r="N73" s="363"/>
      <c r="O73" s="363"/>
      <c r="P73" s="363"/>
      <c r="Q73" s="363"/>
      <c r="R73" s="363"/>
      <c r="S73" s="363"/>
      <c r="T73" s="363"/>
      <c r="U73" s="363"/>
      <c r="V73" s="363"/>
      <c r="W73" s="363"/>
      <c r="X73" s="363"/>
      <c r="Y73" s="363"/>
      <c r="Z73" s="363"/>
      <c r="AA73" s="363"/>
      <c r="AB73" s="363"/>
      <c r="AC73" s="363"/>
      <c r="AD73" s="363"/>
      <c r="AE73" s="363"/>
      <c r="AF73" s="363"/>
      <c r="AG73" s="363"/>
      <c r="AH73" s="363"/>
      <c r="AI73" s="363"/>
      <c r="AJ73" s="363"/>
      <c r="AK73" s="363"/>
      <c r="AL73" s="363"/>
      <c r="AM73" s="363"/>
      <c r="AN73" s="363"/>
      <c r="AO73" s="363"/>
      <c r="AP73" s="363"/>
      <c r="AQ73" s="363"/>
      <c r="AR73" s="363"/>
      <c r="AS73" s="363"/>
      <c r="AT73" s="363"/>
      <c r="AU73" s="23"/>
    </row>
    <row r="74" spans="1:48" ht="16.5" x14ac:dyDescent="0.25">
      <c r="A74" s="365">
        <v>7</v>
      </c>
      <c r="B74" s="372" t="s">
        <v>931</v>
      </c>
      <c r="C74" s="363"/>
      <c r="D74" s="363"/>
      <c r="E74" s="363"/>
      <c r="F74" s="363"/>
      <c r="G74" s="363"/>
      <c r="H74" s="363"/>
      <c r="I74" s="363"/>
      <c r="J74" s="363"/>
      <c r="K74" s="363"/>
      <c r="L74" s="363"/>
      <c r="M74" s="363"/>
      <c r="N74" s="363"/>
      <c r="O74" s="363"/>
      <c r="P74" s="363"/>
      <c r="Q74" s="363"/>
      <c r="R74" s="363"/>
      <c r="S74" s="363"/>
      <c r="T74" s="363"/>
      <c r="U74" s="363"/>
      <c r="V74" s="363"/>
      <c r="W74" s="363"/>
      <c r="X74" s="363"/>
      <c r="Y74" s="363"/>
      <c r="Z74" s="363"/>
      <c r="AA74" s="363"/>
      <c r="AB74" s="363"/>
      <c r="AC74" s="363"/>
      <c r="AD74" s="363"/>
      <c r="AE74" s="363"/>
      <c r="AF74" s="363"/>
      <c r="AG74" s="363"/>
      <c r="AH74" s="363"/>
      <c r="AI74" s="363"/>
      <c r="AJ74" s="363"/>
      <c r="AK74" s="363"/>
      <c r="AL74" s="363"/>
      <c r="AM74" s="363"/>
      <c r="AN74" s="363"/>
      <c r="AO74" s="363"/>
      <c r="AP74" s="363"/>
      <c r="AQ74" s="363"/>
      <c r="AR74" s="363"/>
      <c r="AS74" s="366"/>
      <c r="AT74" s="363"/>
      <c r="AU74" s="23"/>
    </row>
    <row r="75" spans="1:48" ht="16.5" x14ac:dyDescent="0.25">
      <c r="A75" s="365">
        <v>8</v>
      </c>
      <c r="B75" s="372" t="s">
        <v>932</v>
      </c>
      <c r="C75" s="363"/>
      <c r="D75" s="363"/>
      <c r="E75" s="363"/>
      <c r="F75" s="363"/>
      <c r="G75" s="363"/>
      <c r="H75" s="363"/>
      <c r="I75" s="363"/>
      <c r="J75" s="363"/>
      <c r="K75" s="363"/>
      <c r="L75" s="363"/>
      <c r="M75" s="363"/>
      <c r="N75" s="363"/>
      <c r="O75" s="363"/>
      <c r="P75" s="363"/>
      <c r="Q75" s="363"/>
      <c r="R75" s="363"/>
      <c r="S75" s="363"/>
      <c r="T75" s="363"/>
      <c r="U75" s="363"/>
      <c r="V75" s="363"/>
      <c r="W75" s="363"/>
      <c r="X75" s="363"/>
      <c r="Y75" s="363"/>
      <c r="Z75" s="363"/>
      <c r="AA75" s="363"/>
      <c r="AB75" s="363"/>
      <c r="AC75" s="363"/>
      <c r="AD75" s="363"/>
      <c r="AE75" s="363"/>
      <c r="AF75" s="363"/>
      <c r="AG75" s="363"/>
      <c r="AH75" s="363"/>
      <c r="AI75" s="363"/>
      <c r="AJ75" s="363"/>
      <c r="AK75" s="363"/>
      <c r="AL75" s="363"/>
      <c r="AM75" s="363"/>
      <c r="AN75" s="363"/>
      <c r="AO75" s="363"/>
      <c r="AP75" s="363"/>
      <c r="AQ75" s="363"/>
      <c r="AR75" s="363"/>
      <c r="AS75" s="366"/>
      <c r="AT75" s="363"/>
      <c r="AU75" s="368"/>
      <c r="AV75" s="23"/>
    </row>
    <row r="76" spans="1:48" ht="16.5" x14ac:dyDescent="0.25">
      <c r="A76" s="365">
        <v>9</v>
      </c>
      <c r="B76" s="372" t="s">
        <v>933</v>
      </c>
      <c r="C76" s="363"/>
      <c r="D76" s="363"/>
      <c r="E76" s="363"/>
      <c r="F76" s="363"/>
      <c r="G76" s="363"/>
      <c r="H76" s="363"/>
      <c r="I76" s="363"/>
      <c r="J76" s="363"/>
      <c r="K76" s="363"/>
      <c r="L76" s="363"/>
      <c r="M76" s="363"/>
      <c r="N76" s="363"/>
      <c r="O76" s="363"/>
      <c r="P76" s="363"/>
      <c r="Q76" s="363"/>
      <c r="R76" s="363"/>
      <c r="S76" s="363"/>
      <c r="T76" s="363"/>
      <c r="U76" s="363"/>
      <c r="V76" s="363"/>
      <c r="W76" s="363"/>
      <c r="X76" s="363"/>
      <c r="Y76" s="363"/>
      <c r="Z76" s="363"/>
      <c r="AA76" s="363"/>
      <c r="AB76" s="363"/>
      <c r="AC76" s="363"/>
      <c r="AD76" s="363"/>
      <c r="AE76" s="363"/>
      <c r="AF76" s="363"/>
      <c r="AG76" s="363"/>
      <c r="AH76" s="363"/>
      <c r="AI76" s="363"/>
      <c r="AJ76" s="363"/>
      <c r="AK76" s="363"/>
      <c r="AL76" s="363"/>
      <c r="AM76" s="363"/>
      <c r="AN76" s="363"/>
      <c r="AO76" s="363"/>
      <c r="AP76" s="363"/>
      <c r="AQ76" s="363"/>
      <c r="AR76" s="363"/>
      <c r="AS76" s="366"/>
      <c r="AT76" s="363"/>
      <c r="AU76" s="368"/>
      <c r="AV76" s="23"/>
    </row>
    <row r="77" spans="1:48" ht="16.5" x14ac:dyDescent="0.25">
      <c r="A77" s="365">
        <v>10</v>
      </c>
      <c r="B77" s="372" t="s">
        <v>934</v>
      </c>
      <c r="C77" s="363"/>
      <c r="D77" s="363"/>
      <c r="E77" s="363"/>
      <c r="F77" s="363"/>
      <c r="G77" s="363"/>
      <c r="H77" s="363"/>
      <c r="I77" s="363"/>
      <c r="J77" s="363"/>
      <c r="K77" s="363"/>
      <c r="L77" s="363"/>
      <c r="M77" s="363"/>
      <c r="N77" s="363"/>
      <c r="O77" s="363"/>
      <c r="P77" s="363"/>
      <c r="Q77" s="363"/>
      <c r="R77" s="363"/>
      <c r="S77" s="363"/>
      <c r="T77" s="363"/>
      <c r="U77" s="363"/>
      <c r="V77" s="363"/>
      <c r="W77" s="363"/>
      <c r="X77" s="363"/>
      <c r="Y77" s="363"/>
      <c r="Z77" s="363"/>
      <c r="AA77" s="363"/>
      <c r="AB77" s="363"/>
      <c r="AC77" s="363"/>
      <c r="AD77" s="363"/>
      <c r="AE77" s="363"/>
      <c r="AF77" s="363"/>
      <c r="AG77" s="363"/>
      <c r="AH77" s="363"/>
      <c r="AI77" s="363"/>
      <c r="AJ77" s="363"/>
      <c r="AK77" s="363"/>
      <c r="AL77" s="363"/>
      <c r="AM77" s="363"/>
      <c r="AN77" s="363"/>
      <c r="AO77" s="363"/>
      <c r="AP77" s="363"/>
      <c r="AQ77" s="363"/>
      <c r="AR77" s="363"/>
      <c r="AS77" s="366"/>
      <c r="AT77" s="363"/>
      <c r="AU77" s="368"/>
      <c r="AV77" s="23"/>
    </row>
    <row r="78" spans="1:48" ht="16.5" x14ac:dyDescent="0.25">
      <c r="A78" s="365">
        <v>11</v>
      </c>
      <c r="B78" s="372" t="s">
        <v>935</v>
      </c>
      <c r="C78" s="363"/>
      <c r="D78" s="363"/>
      <c r="E78" s="363"/>
      <c r="F78" s="363"/>
      <c r="G78" s="363"/>
      <c r="H78" s="363"/>
      <c r="I78" s="363"/>
      <c r="J78" s="363"/>
      <c r="K78" s="363"/>
      <c r="L78" s="363"/>
      <c r="M78" s="363"/>
      <c r="N78" s="363"/>
      <c r="O78" s="363"/>
      <c r="P78" s="363"/>
      <c r="Q78" s="363"/>
      <c r="R78" s="363"/>
      <c r="S78" s="363"/>
      <c r="T78" s="363"/>
      <c r="U78" s="363"/>
      <c r="V78" s="363"/>
      <c r="W78" s="363"/>
      <c r="X78" s="363"/>
      <c r="Y78" s="363"/>
      <c r="Z78" s="363"/>
      <c r="AA78" s="363"/>
      <c r="AB78" s="363"/>
      <c r="AC78" s="363"/>
      <c r="AD78" s="363"/>
      <c r="AE78" s="363"/>
      <c r="AF78" s="363"/>
      <c r="AG78" s="363"/>
      <c r="AH78" s="363"/>
      <c r="AI78" s="363"/>
      <c r="AJ78" s="363"/>
      <c r="AK78" s="363"/>
      <c r="AL78" s="363"/>
      <c r="AM78" s="363"/>
      <c r="AN78" s="363"/>
      <c r="AO78" s="363"/>
      <c r="AP78" s="363"/>
      <c r="AQ78" s="363"/>
      <c r="AR78" s="363"/>
      <c r="AS78" s="366"/>
      <c r="AT78" s="363"/>
      <c r="AU78" s="368"/>
      <c r="AV78" s="23"/>
    </row>
    <row r="79" spans="1:48" ht="16.5" x14ac:dyDescent="0.25">
      <c r="A79" s="365">
        <v>12</v>
      </c>
      <c r="B79" s="372" t="s">
        <v>936</v>
      </c>
      <c r="C79" s="363"/>
      <c r="D79" s="363"/>
      <c r="E79" s="363"/>
      <c r="F79" s="363"/>
      <c r="G79" s="363"/>
      <c r="H79" s="363"/>
      <c r="I79" s="363"/>
      <c r="J79" s="363"/>
      <c r="K79" s="363"/>
      <c r="L79" s="363"/>
      <c r="M79" s="363"/>
      <c r="N79" s="363"/>
      <c r="O79" s="363"/>
      <c r="P79" s="363"/>
      <c r="Q79" s="363"/>
      <c r="R79" s="363"/>
      <c r="S79" s="363"/>
      <c r="T79" s="363"/>
      <c r="U79" s="363"/>
      <c r="V79" s="363"/>
      <c r="W79" s="363"/>
      <c r="X79" s="363"/>
      <c r="Y79" s="363"/>
      <c r="Z79" s="363"/>
      <c r="AA79" s="363"/>
      <c r="AB79" s="363"/>
      <c r="AC79" s="363"/>
      <c r="AD79" s="363"/>
      <c r="AE79" s="363"/>
      <c r="AF79" s="363"/>
      <c r="AG79" s="363"/>
      <c r="AH79" s="363"/>
      <c r="AI79" s="363"/>
      <c r="AJ79" s="363"/>
      <c r="AK79" s="363"/>
      <c r="AL79" s="363"/>
      <c r="AM79" s="363"/>
      <c r="AN79" s="363"/>
      <c r="AO79" s="363"/>
      <c r="AP79" s="363"/>
      <c r="AQ79" s="363"/>
      <c r="AR79" s="363"/>
      <c r="AS79" s="366"/>
      <c r="AT79" s="363"/>
      <c r="AU79" s="368"/>
      <c r="AV79" s="23"/>
    </row>
    <row r="80" spans="1:48" ht="16.5" x14ac:dyDescent="0.25">
      <c r="A80" s="365">
        <v>13</v>
      </c>
      <c r="B80" s="372" t="s">
        <v>937</v>
      </c>
      <c r="C80" s="363"/>
      <c r="D80" s="363"/>
      <c r="E80" s="363"/>
      <c r="F80" s="363"/>
      <c r="G80" s="363"/>
      <c r="H80" s="363"/>
      <c r="I80" s="363"/>
      <c r="J80" s="363"/>
      <c r="K80" s="363"/>
      <c r="L80" s="363"/>
      <c r="M80" s="363"/>
      <c r="N80" s="363"/>
      <c r="O80" s="363"/>
      <c r="P80" s="363"/>
      <c r="Q80" s="363"/>
      <c r="R80" s="363"/>
      <c r="S80" s="363"/>
      <c r="T80" s="363"/>
      <c r="U80" s="363"/>
      <c r="V80" s="363"/>
      <c r="W80" s="363"/>
      <c r="X80" s="363"/>
      <c r="Y80" s="363"/>
      <c r="Z80" s="363"/>
      <c r="AA80" s="363"/>
      <c r="AB80" s="363"/>
      <c r="AC80" s="363"/>
      <c r="AD80" s="363"/>
      <c r="AE80" s="363"/>
      <c r="AF80" s="363"/>
      <c r="AG80" s="363"/>
      <c r="AH80" s="363"/>
      <c r="AI80" s="363"/>
      <c r="AJ80" s="363"/>
      <c r="AK80" s="363"/>
      <c r="AL80" s="363"/>
      <c r="AM80" s="363"/>
      <c r="AN80" s="363"/>
      <c r="AO80" s="363"/>
      <c r="AP80" s="363"/>
      <c r="AQ80" s="363"/>
      <c r="AR80" s="363"/>
      <c r="AS80" s="366"/>
      <c r="AT80" s="363"/>
      <c r="AU80" s="368"/>
      <c r="AV80" s="23"/>
    </row>
    <row r="81" spans="1:48" ht="16.5" x14ac:dyDescent="0.25">
      <c r="A81" s="365">
        <v>14</v>
      </c>
      <c r="B81" s="372" t="s">
        <v>938</v>
      </c>
      <c r="C81" s="363"/>
      <c r="D81" s="363"/>
      <c r="E81" s="363"/>
      <c r="F81" s="363"/>
      <c r="G81" s="363"/>
      <c r="H81" s="363"/>
      <c r="I81" s="363"/>
      <c r="J81" s="363"/>
      <c r="K81" s="363"/>
      <c r="L81" s="363"/>
      <c r="M81" s="363"/>
      <c r="N81" s="363"/>
      <c r="O81" s="363"/>
      <c r="P81" s="363"/>
      <c r="Q81" s="363"/>
      <c r="R81" s="363"/>
      <c r="S81" s="363"/>
      <c r="T81" s="363"/>
      <c r="U81" s="363"/>
      <c r="V81" s="363"/>
      <c r="W81" s="363"/>
      <c r="X81" s="363"/>
      <c r="Y81" s="363"/>
      <c r="Z81" s="363"/>
      <c r="AA81" s="363"/>
      <c r="AB81" s="363"/>
      <c r="AC81" s="363"/>
      <c r="AD81" s="363"/>
      <c r="AE81" s="363"/>
      <c r="AF81" s="363"/>
      <c r="AG81" s="363"/>
      <c r="AH81" s="363"/>
      <c r="AI81" s="363"/>
      <c r="AJ81" s="363"/>
      <c r="AK81" s="363"/>
      <c r="AL81" s="363"/>
      <c r="AM81" s="363"/>
      <c r="AN81" s="363"/>
      <c r="AO81" s="363"/>
      <c r="AP81" s="363"/>
      <c r="AQ81" s="363"/>
      <c r="AR81" s="363"/>
      <c r="AS81" s="366"/>
      <c r="AT81" s="363"/>
      <c r="AU81" s="368"/>
      <c r="AV81" s="23"/>
    </row>
    <row r="82" spans="1:48" ht="16.5" x14ac:dyDescent="0.25">
      <c r="A82" s="365">
        <v>15</v>
      </c>
      <c r="B82" s="372" t="s">
        <v>939</v>
      </c>
      <c r="C82" s="363"/>
      <c r="D82" s="363"/>
      <c r="E82" s="363"/>
      <c r="F82" s="363"/>
      <c r="G82" s="363"/>
      <c r="H82" s="363"/>
      <c r="I82" s="363"/>
      <c r="J82" s="363"/>
      <c r="K82" s="363"/>
      <c r="L82" s="363"/>
      <c r="M82" s="363"/>
      <c r="N82" s="363"/>
      <c r="O82" s="363"/>
      <c r="P82" s="363"/>
      <c r="Q82" s="363"/>
      <c r="R82" s="363"/>
      <c r="S82" s="363"/>
      <c r="T82" s="363"/>
      <c r="U82" s="363"/>
      <c r="V82" s="363"/>
      <c r="W82" s="363"/>
      <c r="X82" s="363"/>
      <c r="Y82" s="363"/>
      <c r="Z82" s="363"/>
      <c r="AA82" s="363"/>
      <c r="AB82" s="363"/>
      <c r="AC82" s="363"/>
      <c r="AD82" s="363"/>
      <c r="AE82" s="363"/>
      <c r="AF82" s="363"/>
      <c r="AG82" s="363"/>
      <c r="AH82" s="363"/>
      <c r="AI82" s="363"/>
      <c r="AJ82" s="363"/>
      <c r="AK82" s="363"/>
      <c r="AL82" s="363"/>
      <c r="AM82" s="363"/>
      <c r="AN82" s="363"/>
      <c r="AO82" s="363"/>
      <c r="AP82" s="363"/>
      <c r="AQ82" s="363"/>
      <c r="AR82" s="363"/>
      <c r="AS82" s="366"/>
      <c r="AT82" s="363"/>
      <c r="AU82" s="368"/>
      <c r="AV82" s="23"/>
    </row>
    <row r="83" spans="1:48" ht="16.5" x14ac:dyDescent="0.25">
      <c r="A83" s="365">
        <v>16</v>
      </c>
      <c r="B83" s="372" t="s">
        <v>940</v>
      </c>
      <c r="C83" s="363"/>
      <c r="D83" s="363"/>
      <c r="E83" s="363"/>
      <c r="F83" s="363"/>
      <c r="G83" s="363"/>
      <c r="H83" s="363"/>
      <c r="I83" s="363"/>
      <c r="J83" s="363"/>
      <c r="K83" s="363"/>
      <c r="L83" s="363"/>
      <c r="M83" s="363"/>
      <c r="N83" s="363"/>
      <c r="O83" s="363"/>
      <c r="P83" s="363"/>
      <c r="Q83" s="363"/>
      <c r="R83" s="363"/>
      <c r="S83" s="363"/>
      <c r="T83" s="363"/>
      <c r="U83" s="363"/>
      <c r="V83" s="363"/>
      <c r="W83" s="363"/>
      <c r="X83" s="363"/>
      <c r="Y83" s="363"/>
      <c r="Z83" s="363"/>
      <c r="AA83" s="363"/>
      <c r="AB83" s="363"/>
      <c r="AC83" s="363"/>
      <c r="AD83" s="363"/>
      <c r="AE83" s="363"/>
      <c r="AF83" s="363"/>
      <c r="AG83" s="363"/>
      <c r="AH83" s="363"/>
      <c r="AI83" s="363"/>
      <c r="AJ83" s="363"/>
      <c r="AK83" s="363"/>
      <c r="AL83" s="363"/>
      <c r="AM83" s="363"/>
      <c r="AN83" s="363"/>
      <c r="AO83" s="363"/>
      <c r="AP83" s="363"/>
      <c r="AQ83" s="363"/>
      <c r="AR83" s="363"/>
      <c r="AS83" s="366"/>
      <c r="AT83" s="363"/>
      <c r="AU83" s="368"/>
      <c r="AV83" s="23"/>
    </row>
    <row r="84" spans="1:48" ht="16.5" x14ac:dyDescent="0.25">
      <c r="A84" s="365">
        <v>17</v>
      </c>
      <c r="B84" s="372" t="s">
        <v>941</v>
      </c>
      <c r="C84" s="363"/>
      <c r="D84" s="363"/>
      <c r="E84" s="363"/>
      <c r="F84" s="363"/>
      <c r="G84" s="363"/>
      <c r="H84" s="363"/>
      <c r="I84" s="363"/>
      <c r="J84" s="363"/>
      <c r="K84" s="363"/>
      <c r="L84" s="363"/>
      <c r="M84" s="363"/>
      <c r="N84" s="363"/>
      <c r="O84" s="363"/>
      <c r="P84" s="363"/>
      <c r="Q84" s="363"/>
      <c r="R84" s="363"/>
      <c r="S84" s="363"/>
      <c r="T84" s="363"/>
      <c r="U84" s="363"/>
      <c r="V84" s="363"/>
      <c r="W84" s="363"/>
      <c r="X84" s="363"/>
      <c r="Y84" s="363"/>
      <c r="Z84" s="363"/>
      <c r="AA84" s="363"/>
      <c r="AB84" s="363"/>
      <c r="AC84" s="363"/>
      <c r="AD84" s="363"/>
      <c r="AE84" s="363"/>
      <c r="AF84" s="363"/>
      <c r="AG84" s="363"/>
      <c r="AH84" s="363"/>
      <c r="AI84" s="363"/>
      <c r="AJ84" s="363"/>
      <c r="AK84" s="363"/>
      <c r="AL84" s="363"/>
      <c r="AM84" s="363"/>
      <c r="AN84" s="363"/>
      <c r="AO84" s="363"/>
      <c r="AP84" s="363"/>
      <c r="AQ84" s="363"/>
      <c r="AR84" s="363"/>
      <c r="AS84" s="366"/>
      <c r="AT84" s="363"/>
      <c r="AU84" s="368"/>
      <c r="AV84" s="23"/>
    </row>
    <row r="85" spans="1:48" ht="16.5" x14ac:dyDescent="0.25">
      <c r="A85" s="365">
        <v>18</v>
      </c>
      <c r="B85" s="372" t="s">
        <v>942</v>
      </c>
      <c r="C85" s="363"/>
      <c r="D85" s="363"/>
      <c r="E85" s="363"/>
      <c r="F85" s="363"/>
      <c r="G85" s="363"/>
      <c r="H85" s="363"/>
      <c r="I85" s="363"/>
      <c r="J85" s="363"/>
      <c r="K85" s="363"/>
      <c r="L85" s="363"/>
      <c r="M85" s="363"/>
      <c r="N85" s="363"/>
      <c r="O85" s="363"/>
      <c r="P85" s="363"/>
      <c r="Q85" s="363"/>
      <c r="R85" s="363"/>
      <c r="S85" s="363"/>
      <c r="T85" s="363"/>
      <c r="U85" s="363"/>
      <c r="V85" s="363"/>
      <c r="W85" s="363"/>
      <c r="X85" s="363"/>
      <c r="Y85" s="363"/>
      <c r="Z85" s="363"/>
      <c r="AA85" s="363"/>
      <c r="AB85" s="363"/>
      <c r="AC85" s="363"/>
      <c r="AD85" s="363"/>
      <c r="AE85" s="363"/>
      <c r="AF85" s="363"/>
      <c r="AG85" s="363"/>
      <c r="AH85" s="363"/>
      <c r="AI85" s="363"/>
      <c r="AJ85" s="363"/>
      <c r="AK85" s="363"/>
      <c r="AL85" s="363"/>
      <c r="AM85" s="363"/>
      <c r="AN85" s="363"/>
      <c r="AO85" s="363"/>
      <c r="AP85" s="363"/>
      <c r="AQ85" s="363"/>
      <c r="AR85" s="363"/>
      <c r="AS85" s="366"/>
      <c r="AT85" s="363"/>
      <c r="AU85" s="368"/>
      <c r="AV85" s="23"/>
    </row>
    <row r="86" spans="1:48" ht="16.5" x14ac:dyDescent="0.25">
      <c r="A86" s="365">
        <v>19</v>
      </c>
      <c r="B86" s="372" t="s">
        <v>956</v>
      </c>
      <c r="C86" s="363"/>
      <c r="D86" s="363"/>
      <c r="E86" s="363"/>
      <c r="F86" s="363"/>
      <c r="G86" s="363"/>
      <c r="H86" s="363"/>
      <c r="I86" s="363"/>
      <c r="J86" s="363"/>
      <c r="K86" s="363"/>
      <c r="L86" s="363"/>
      <c r="M86" s="363"/>
      <c r="N86" s="363"/>
      <c r="O86" s="363"/>
      <c r="P86" s="363"/>
      <c r="Q86" s="363"/>
      <c r="R86" s="363"/>
      <c r="S86" s="363"/>
      <c r="T86" s="363"/>
      <c r="U86" s="363"/>
      <c r="V86" s="363"/>
      <c r="W86" s="363"/>
      <c r="X86" s="363"/>
      <c r="Y86" s="363"/>
      <c r="Z86" s="363"/>
      <c r="AA86" s="363"/>
      <c r="AB86" s="363"/>
      <c r="AC86" s="363"/>
      <c r="AD86" s="363"/>
      <c r="AE86" s="363"/>
      <c r="AF86" s="363"/>
      <c r="AG86" s="363"/>
      <c r="AH86" s="363"/>
      <c r="AI86" s="363"/>
      <c r="AJ86" s="363"/>
      <c r="AK86" s="363"/>
      <c r="AL86" s="363"/>
      <c r="AM86" s="363"/>
      <c r="AN86" s="363"/>
      <c r="AO86" s="363"/>
      <c r="AP86" s="363"/>
      <c r="AQ86" s="363"/>
      <c r="AR86" s="363"/>
      <c r="AS86" s="366"/>
      <c r="AT86" s="363"/>
      <c r="AU86" s="368"/>
      <c r="AV86" s="23"/>
    </row>
    <row r="87" spans="1:48" ht="16.5" x14ac:dyDescent="0.25">
      <c r="A87" s="365">
        <v>20</v>
      </c>
      <c r="B87" s="372" t="s">
        <v>943</v>
      </c>
      <c r="C87" s="363"/>
      <c r="D87" s="363"/>
      <c r="E87" s="363"/>
      <c r="F87" s="363"/>
      <c r="G87" s="363"/>
      <c r="H87" s="363"/>
      <c r="I87" s="363"/>
      <c r="J87" s="363"/>
      <c r="K87" s="363"/>
      <c r="L87" s="363"/>
      <c r="M87" s="363"/>
      <c r="N87" s="363"/>
      <c r="O87" s="363"/>
      <c r="P87" s="363"/>
      <c r="Q87" s="363"/>
      <c r="R87" s="363"/>
      <c r="S87" s="363"/>
      <c r="T87" s="363"/>
      <c r="U87" s="363"/>
      <c r="V87" s="363"/>
      <c r="W87" s="363"/>
      <c r="X87" s="363"/>
      <c r="Y87" s="363"/>
      <c r="Z87" s="363"/>
      <c r="AA87" s="363"/>
      <c r="AB87" s="363"/>
      <c r="AC87" s="363"/>
      <c r="AD87" s="363"/>
      <c r="AE87" s="363"/>
      <c r="AF87" s="363"/>
      <c r="AG87" s="363"/>
      <c r="AH87" s="363"/>
      <c r="AI87" s="363"/>
      <c r="AJ87" s="363"/>
      <c r="AK87" s="363"/>
      <c r="AL87" s="363"/>
      <c r="AM87" s="363"/>
      <c r="AN87" s="363"/>
      <c r="AO87" s="363"/>
      <c r="AP87" s="363"/>
      <c r="AQ87" s="363"/>
      <c r="AR87" s="363"/>
      <c r="AS87" s="366"/>
      <c r="AT87" s="363"/>
      <c r="AU87" s="368"/>
      <c r="AV87" s="23"/>
    </row>
    <row r="88" spans="1:48" ht="16.5" x14ac:dyDescent="0.25">
      <c r="A88" s="365">
        <v>21</v>
      </c>
      <c r="B88" s="372" t="s">
        <v>944</v>
      </c>
      <c r="C88" s="363"/>
      <c r="D88" s="363"/>
      <c r="E88" s="363"/>
      <c r="F88" s="363"/>
      <c r="G88" s="363"/>
      <c r="H88" s="363"/>
      <c r="I88" s="363"/>
      <c r="J88" s="363"/>
      <c r="K88" s="363"/>
      <c r="L88" s="363"/>
      <c r="M88" s="363"/>
      <c r="N88" s="363"/>
      <c r="O88" s="363"/>
      <c r="P88" s="363"/>
      <c r="Q88" s="363"/>
      <c r="R88" s="363"/>
      <c r="S88" s="363"/>
      <c r="T88" s="363"/>
      <c r="U88" s="363"/>
      <c r="V88" s="363"/>
      <c r="W88" s="363"/>
      <c r="X88" s="363"/>
      <c r="Y88" s="363"/>
      <c r="Z88" s="363"/>
      <c r="AA88" s="363"/>
      <c r="AB88" s="363"/>
      <c r="AC88" s="363"/>
      <c r="AD88" s="363"/>
      <c r="AE88" s="363"/>
      <c r="AF88" s="363"/>
      <c r="AG88" s="363"/>
      <c r="AH88" s="363"/>
      <c r="AI88" s="363"/>
      <c r="AJ88" s="363"/>
      <c r="AK88" s="363"/>
      <c r="AL88" s="363"/>
      <c r="AM88" s="363"/>
      <c r="AN88" s="363"/>
      <c r="AO88" s="363"/>
      <c r="AP88" s="363"/>
      <c r="AQ88" s="363"/>
      <c r="AR88" s="363"/>
      <c r="AS88" s="366"/>
      <c r="AT88" s="363"/>
      <c r="AU88" s="368"/>
      <c r="AV88" s="23"/>
    </row>
    <row r="89" spans="1:48" ht="16.5" x14ac:dyDescent="0.25">
      <c r="A89" s="365">
        <v>22</v>
      </c>
      <c r="B89" s="372" t="s">
        <v>957</v>
      </c>
      <c r="C89" s="363"/>
      <c r="D89" s="363"/>
      <c r="E89" s="363"/>
      <c r="F89" s="363"/>
      <c r="G89" s="363"/>
      <c r="H89" s="363"/>
      <c r="I89" s="363"/>
      <c r="J89" s="363"/>
      <c r="K89" s="363"/>
      <c r="L89" s="363"/>
      <c r="M89" s="363"/>
      <c r="N89" s="363"/>
      <c r="O89" s="363"/>
      <c r="P89" s="363"/>
      <c r="Q89" s="363"/>
      <c r="R89" s="363"/>
      <c r="S89" s="363"/>
      <c r="T89" s="363"/>
      <c r="U89" s="363"/>
      <c r="V89" s="363"/>
      <c r="W89" s="363"/>
      <c r="X89" s="363"/>
      <c r="Y89" s="363"/>
      <c r="Z89" s="363"/>
      <c r="AA89" s="363"/>
      <c r="AB89" s="363"/>
      <c r="AC89" s="363"/>
      <c r="AD89" s="363"/>
      <c r="AE89" s="363"/>
      <c r="AF89" s="363"/>
      <c r="AG89" s="363"/>
      <c r="AH89" s="363"/>
      <c r="AI89" s="363"/>
      <c r="AJ89" s="363"/>
      <c r="AK89" s="363"/>
      <c r="AL89" s="363"/>
      <c r="AM89" s="363"/>
      <c r="AN89" s="363"/>
      <c r="AO89" s="363"/>
      <c r="AP89" s="363"/>
      <c r="AQ89" s="363"/>
      <c r="AR89" s="363"/>
      <c r="AS89" s="366"/>
      <c r="AT89" s="363"/>
      <c r="AU89" s="23"/>
      <c r="AV89" s="23"/>
    </row>
    <row r="90" spans="1:48" ht="16.5" x14ac:dyDescent="0.25">
      <c r="A90" s="365">
        <v>23</v>
      </c>
      <c r="B90" s="372" t="s">
        <v>945</v>
      </c>
      <c r="C90" s="363"/>
      <c r="D90" s="363"/>
      <c r="E90" s="363"/>
      <c r="F90" s="363"/>
      <c r="G90" s="363"/>
      <c r="H90" s="363"/>
      <c r="I90" s="363"/>
      <c r="J90" s="363"/>
      <c r="K90" s="363"/>
      <c r="L90" s="363"/>
      <c r="M90" s="363"/>
      <c r="N90" s="363"/>
      <c r="O90" s="363"/>
      <c r="P90" s="363"/>
      <c r="Q90" s="363"/>
      <c r="R90" s="363"/>
      <c r="S90" s="363"/>
      <c r="T90" s="363"/>
      <c r="U90" s="363"/>
      <c r="V90" s="363"/>
      <c r="W90" s="363"/>
      <c r="X90" s="363"/>
      <c r="Y90" s="363"/>
      <c r="Z90" s="363"/>
      <c r="AA90" s="363"/>
      <c r="AB90" s="363"/>
      <c r="AC90" s="363"/>
      <c r="AD90" s="363"/>
      <c r="AE90" s="363"/>
      <c r="AF90" s="363"/>
      <c r="AG90" s="363"/>
      <c r="AH90" s="363"/>
      <c r="AI90" s="363"/>
      <c r="AJ90" s="363"/>
      <c r="AK90" s="363"/>
      <c r="AL90" s="363"/>
      <c r="AM90" s="363"/>
      <c r="AN90" s="363"/>
      <c r="AO90" s="363"/>
      <c r="AP90" s="363"/>
      <c r="AQ90" s="363"/>
      <c r="AR90" s="363"/>
      <c r="AS90" s="366"/>
      <c r="AT90" s="363"/>
      <c r="AU90" s="23"/>
      <c r="AV90" s="23"/>
    </row>
    <row r="91" spans="1:48" ht="16.5" x14ac:dyDescent="0.25">
      <c r="A91" s="365">
        <v>24</v>
      </c>
      <c r="B91" s="372" t="s">
        <v>958</v>
      </c>
      <c r="C91" s="363"/>
      <c r="D91" s="363"/>
      <c r="E91" s="363"/>
      <c r="F91" s="363"/>
      <c r="G91" s="363"/>
      <c r="H91" s="363"/>
      <c r="I91" s="363"/>
      <c r="J91" s="363"/>
      <c r="K91" s="363"/>
      <c r="L91" s="363"/>
      <c r="M91" s="363"/>
      <c r="N91" s="363"/>
      <c r="O91" s="363"/>
      <c r="P91" s="363"/>
      <c r="Q91" s="363"/>
      <c r="R91" s="363"/>
      <c r="S91" s="363"/>
      <c r="T91" s="363"/>
      <c r="U91" s="363"/>
      <c r="V91" s="363"/>
      <c r="W91" s="363"/>
      <c r="X91" s="363"/>
      <c r="Y91" s="363"/>
      <c r="Z91" s="363"/>
      <c r="AA91" s="363"/>
      <c r="AB91" s="363"/>
      <c r="AC91" s="363"/>
      <c r="AD91" s="363"/>
      <c r="AE91" s="363"/>
      <c r="AF91" s="363"/>
      <c r="AG91" s="363"/>
      <c r="AH91" s="363"/>
      <c r="AI91" s="363"/>
      <c r="AJ91" s="363"/>
      <c r="AK91" s="363"/>
      <c r="AL91" s="363"/>
      <c r="AM91" s="363"/>
      <c r="AN91" s="363"/>
      <c r="AO91" s="363"/>
      <c r="AP91" s="363"/>
      <c r="AQ91" s="363"/>
      <c r="AR91" s="363"/>
      <c r="AS91" s="366"/>
      <c r="AT91" s="363"/>
      <c r="AU91" s="23"/>
      <c r="AV91" s="23"/>
    </row>
    <row r="92" spans="1:48" ht="16.5" x14ac:dyDescent="0.25">
      <c r="A92" s="365">
        <v>25</v>
      </c>
      <c r="B92" s="372" t="s">
        <v>946</v>
      </c>
      <c r="C92" s="363"/>
      <c r="D92" s="363"/>
      <c r="E92" s="363"/>
      <c r="F92" s="363"/>
      <c r="G92" s="363"/>
      <c r="H92" s="363"/>
      <c r="I92" s="363"/>
      <c r="J92" s="363"/>
      <c r="K92" s="363"/>
      <c r="L92" s="363"/>
      <c r="M92" s="363"/>
      <c r="N92" s="363"/>
      <c r="O92" s="363"/>
      <c r="P92" s="363"/>
      <c r="Q92" s="363"/>
      <c r="R92" s="363"/>
      <c r="S92" s="363"/>
      <c r="T92" s="363"/>
      <c r="U92" s="363"/>
      <c r="V92" s="363"/>
      <c r="W92" s="363"/>
      <c r="X92" s="363"/>
      <c r="Y92" s="363"/>
      <c r="Z92" s="363"/>
      <c r="AA92" s="363"/>
      <c r="AB92" s="363"/>
      <c r="AC92" s="363"/>
      <c r="AD92" s="363"/>
      <c r="AE92" s="363"/>
      <c r="AF92" s="363"/>
      <c r="AG92" s="363"/>
      <c r="AH92" s="363"/>
      <c r="AI92" s="363"/>
      <c r="AJ92" s="363"/>
      <c r="AK92" s="363"/>
      <c r="AL92" s="363"/>
      <c r="AM92" s="363"/>
      <c r="AN92" s="363"/>
      <c r="AO92" s="363"/>
      <c r="AP92" s="363"/>
      <c r="AQ92" s="363"/>
      <c r="AR92" s="363"/>
      <c r="AS92" s="366"/>
      <c r="AT92" s="363"/>
      <c r="AU92" s="23"/>
      <c r="AV92" s="23"/>
    </row>
    <row r="93" spans="1:48" ht="16.5" x14ac:dyDescent="0.25">
      <c r="A93" s="365">
        <v>26</v>
      </c>
      <c r="B93" s="372" t="s">
        <v>947</v>
      </c>
      <c r="C93" s="363"/>
      <c r="D93" s="363"/>
      <c r="E93" s="363"/>
      <c r="F93" s="363"/>
      <c r="G93" s="363"/>
      <c r="H93" s="363"/>
      <c r="I93" s="363"/>
      <c r="J93" s="363"/>
      <c r="K93" s="363"/>
      <c r="L93" s="363"/>
      <c r="M93" s="363"/>
      <c r="N93" s="363"/>
      <c r="O93" s="363"/>
      <c r="P93" s="363"/>
      <c r="Q93" s="363"/>
      <c r="R93" s="363"/>
      <c r="S93" s="363"/>
      <c r="T93" s="363"/>
      <c r="U93" s="363"/>
      <c r="V93" s="363"/>
      <c r="W93" s="363"/>
      <c r="X93" s="363"/>
      <c r="Y93" s="363"/>
      <c r="Z93" s="363"/>
      <c r="AA93" s="363"/>
      <c r="AB93" s="363"/>
      <c r="AC93" s="363"/>
      <c r="AD93" s="363"/>
      <c r="AE93" s="363"/>
      <c r="AF93" s="363"/>
      <c r="AG93" s="363"/>
      <c r="AH93" s="363"/>
      <c r="AI93" s="363"/>
      <c r="AJ93" s="363"/>
      <c r="AK93" s="363"/>
      <c r="AL93" s="363"/>
      <c r="AM93" s="363"/>
      <c r="AN93" s="363"/>
      <c r="AO93" s="363"/>
      <c r="AP93" s="363"/>
      <c r="AQ93" s="363"/>
      <c r="AR93" s="363"/>
      <c r="AS93" s="366"/>
      <c r="AT93" s="363"/>
      <c r="AU93" s="23"/>
      <c r="AV93" s="23"/>
    </row>
    <row r="94" spans="1:48" ht="16.5" x14ac:dyDescent="0.25">
      <c r="A94" s="365">
        <v>27</v>
      </c>
      <c r="B94" s="372" t="s">
        <v>959</v>
      </c>
      <c r="C94" s="363"/>
      <c r="D94" s="363"/>
      <c r="E94" s="363"/>
      <c r="F94" s="363"/>
      <c r="G94" s="363"/>
      <c r="H94" s="363"/>
      <c r="I94" s="363"/>
      <c r="J94" s="363"/>
      <c r="K94" s="363"/>
      <c r="L94" s="363"/>
      <c r="M94" s="363"/>
      <c r="N94" s="363"/>
      <c r="O94" s="363"/>
      <c r="P94" s="363"/>
      <c r="Q94" s="363"/>
      <c r="R94" s="363"/>
      <c r="S94" s="363"/>
      <c r="T94" s="363"/>
      <c r="U94" s="363"/>
      <c r="V94" s="363"/>
      <c r="W94" s="363"/>
      <c r="X94" s="363"/>
      <c r="Y94" s="363"/>
      <c r="Z94" s="363"/>
      <c r="AA94" s="363"/>
      <c r="AB94" s="363"/>
      <c r="AC94" s="363"/>
      <c r="AD94" s="363"/>
      <c r="AE94" s="363"/>
      <c r="AF94" s="363"/>
      <c r="AG94" s="363"/>
      <c r="AH94" s="363"/>
      <c r="AI94" s="363"/>
      <c r="AJ94" s="363"/>
      <c r="AK94" s="363"/>
      <c r="AL94" s="363"/>
      <c r="AM94" s="363"/>
      <c r="AN94" s="363"/>
      <c r="AO94" s="363"/>
      <c r="AP94" s="363"/>
      <c r="AQ94" s="363"/>
      <c r="AR94" s="363"/>
      <c r="AS94" s="366"/>
      <c r="AT94" s="363"/>
      <c r="AU94" s="23"/>
      <c r="AV94" s="23"/>
    </row>
    <row r="95" spans="1:48" ht="16.5" x14ac:dyDescent="0.25">
      <c r="A95" s="365">
        <v>28</v>
      </c>
      <c r="B95" s="372" t="s">
        <v>960</v>
      </c>
      <c r="C95" s="363"/>
      <c r="D95" s="363"/>
      <c r="E95" s="363"/>
      <c r="F95" s="363"/>
      <c r="G95" s="363"/>
      <c r="H95" s="363"/>
      <c r="I95" s="363"/>
      <c r="J95" s="363"/>
      <c r="K95" s="363"/>
      <c r="L95" s="363"/>
      <c r="M95" s="363"/>
      <c r="N95" s="363"/>
      <c r="O95" s="363"/>
      <c r="P95" s="363"/>
      <c r="Q95" s="363"/>
      <c r="R95" s="363"/>
      <c r="S95" s="363"/>
      <c r="T95" s="363"/>
      <c r="U95" s="363"/>
      <c r="V95" s="363"/>
      <c r="W95" s="363"/>
      <c r="X95" s="363"/>
      <c r="Y95" s="363"/>
      <c r="Z95" s="363"/>
      <c r="AA95" s="363"/>
      <c r="AB95" s="363"/>
      <c r="AC95" s="363"/>
      <c r="AD95" s="363"/>
      <c r="AE95" s="363"/>
      <c r="AF95" s="363"/>
      <c r="AG95" s="363"/>
      <c r="AH95" s="363"/>
      <c r="AI95" s="363"/>
      <c r="AJ95" s="363"/>
      <c r="AK95" s="363"/>
      <c r="AL95" s="363"/>
      <c r="AM95" s="363"/>
      <c r="AN95" s="363"/>
      <c r="AO95" s="363"/>
      <c r="AP95" s="363"/>
      <c r="AQ95" s="363"/>
      <c r="AR95" s="363"/>
      <c r="AS95" s="366"/>
      <c r="AT95" s="363"/>
      <c r="AU95" s="23"/>
      <c r="AV95" s="23"/>
    </row>
    <row r="96" spans="1:48" ht="16.5" x14ac:dyDescent="0.25">
      <c r="A96" s="365">
        <v>29</v>
      </c>
      <c r="B96" s="372" t="s">
        <v>948</v>
      </c>
      <c r="C96" s="363"/>
      <c r="D96" s="363"/>
      <c r="E96" s="363"/>
      <c r="F96" s="363"/>
      <c r="G96" s="363"/>
      <c r="H96" s="363"/>
      <c r="I96" s="363"/>
      <c r="J96" s="363"/>
      <c r="K96" s="363"/>
      <c r="L96" s="363"/>
      <c r="M96" s="363"/>
      <c r="N96" s="363"/>
      <c r="O96" s="363"/>
      <c r="P96" s="363"/>
      <c r="Q96" s="363"/>
      <c r="R96" s="363"/>
      <c r="S96" s="363"/>
      <c r="T96" s="363"/>
      <c r="U96" s="363"/>
      <c r="V96" s="363"/>
      <c r="W96" s="363"/>
      <c r="X96" s="363"/>
      <c r="Y96" s="363"/>
      <c r="Z96" s="363"/>
      <c r="AA96" s="363"/>
      <c r="AB96" s="363"/>
      <c r="AC96" s="363"/>
      <c r="AD96" s="363"/>
      <c r="AE96" s="363"/>
      <c r="AF96" s="363"/>
      <c r="AG96" s="363"/>
      <c r="AH96" s="363"/>
      <c r="AI96" s="363"/>
      <c r="AJ96" s="363"/>
      <c r="AK96" s="363"/>
      <c r="AL96" s="363"/>
      <c r="AM96" s="363"/>
      <c r="AN96" s="363"/>
      <c r="AO96" s="363"/>
      <c r="AP96" s="363"/>
      <c r="AQ96" s="363"/>
      <c r="AR96" s="363"/>
      <c r="AS96" s="366"/>
      <c r="AT96" s="363"/>
      <c r="AU96" s="23"/>
      <c r="AV96" s="23"/>
    </row>
    <row r="97" spans="1:48" ht="16.5" x14ac:dyDescent="0.25">
      <c r="A97" s="365">
        <v>30</v>
      </c>
      <c r="B97" s="372" t="s">
        <v>961</v>
      </c>
      <c r="C97" s="363"/>
      <c r="D97" s="363"/>
      <c r="E97" s="363"/>
      <c r="F97" s="363"/>
      <c r="G97" s="363"/>
      <c r="H97" s="363"/>
      <c r="I97" s="363"/>
      <c r="J97" s="363"/>
      <c r="K97" s="363"/>
      <c r="L97" s="363"/>
      <c r="M97" s="363"/>
      <c r="N97" s="363"/>
      <c r="O97" s="363"/>
      <c r="P97" s="363"/>
      <c r="Q97" s="363"/>
      <c r="R97" s="363"/>
      <c r="S97" s="363"/>
      <c r="T97" s="363"/>
      <c r="U97" s="363"/>
      <c r="V97" s="363"/>
      <c r="W97" s="363"/>
      <c r="X97" s="363"/>
      <c r="Y97" s="363"/>
      <c r="Z97" s="363"/>
      <c r="AA97" s="363"/>
      <c r="AB97" s="363"/>
      <c r="AC97" s="363"/>
      <c r="AD97" s="363"/>
      <c r="AE97" s="363"/>
      <c r="AF97" s="363"/>
      <c r="AG97" s="363"/>
      <c r="AH97" s="363"/>
      <c r="AI97" s="363"/>
      <c r="AJ97" s="363"/>
      <c r="AK97" s="363"/>
      <c r="AL97" s="363"/>
      <c r="AM97" s="363"/>
      <c r="AN97" s="363"/>
      <c r="AO97" s="363"/>
      <c r="AP97" s="363"/>
      <c r="AQ97" s="363"/>
      <c r="AR97" s="363"/>
      <c r="AS97" s="366"/>
      <c r="AT97" s="363"/>
      <c r="AU97" s="23"/>
      <c r="AV97" s="23"/>
    </row>
    <row r="98" spans="1:48" ht="16.5" x14ac:dyDescent="0.25">
      <c r="A98" s="365">
        <v>31</v>
      </c>
      <c r="B98" s="372" t="s">
        <v>949</v>
      </c>
      <c r="C98" s="363"/>
      <c r="D98" s="363"/>
      <c r="E98" s="363"/>
      <c r="F98" s="363"/>
      <c r="G98" s="363"/>
      <c r="H98" s="363"/>
      <c r="I98" s="363"/>
      <c r="J98" s="363"/>
      <c r="K98" s="363"/>
      <c r="L98" s="363"/>
      <c r="M98" s="363"/>
      <c r="N98" s="363"/>
      <c r="O98" s="363"/>
      <c r="P98" s="363"/>
      <c r="Q98" s="363"/>
      <c r="R98" s="363"/>
      <c r="S98" s="363"/>
      <c r="T98" s="363"/>
      <c r="U98" s="363"/>
      <c r="V98" s="363"/>
      <c r="W98" s="363"/>
      <c r="X98" s="363"/>
      <c r="Y98" s="363"/>
      <c r="Z98" s="363"/>
      <c r="AA98" s="363"/>
      <c r="AB98" s="363"/>
      <c r="AC98" s="363"/>
      <c r="AD98" s="363"/>
      <c r="AE98" s="363"/>
      <c r="AF98" s="363"/>
      <c r="AG98" s="363"/>
      <c r="AH98" s="363"/>
      <c r="AI98" s="363"/>
      <c r="AJ98" s="363"/>
      <c r="AK98" s="363"/>
      <c r="AL98" s="363"/>
      <c r="AM98" s="363"/>
      <c r="AN98" s="363"/>
      <c r="AO98" s="363"/>
      <c r="AP98" s="363"/>
      <c r="AQ98" s="363"/>
      <c r="AR98" s="363"/>
      <c r="AS98" s="366"/>
      <c r="AT98" s="363"/>
      <c r="AU98" s="23"/>
      <c r="AV98" s="23"/>
    </row>
    <row r="99" spans="1:48" ht="16.5" x14ac:dyDescent="0.25">
      <c r="A99" s="367">
        <v>32</v>
      </c>
      <c r="B99" s="372" t="s">
        <v>950</v>
      </c>
      <c r="C99" s="363"/>
      <c r="D99" s="363"/>
      <c r="E99" s="363"/>
      <c r="F99" s="363"/>
      <c r="G99" s="363"/>
      <c r="H99" s="363"/>
      <c r="I99" s="363"/>
      <c r="J99" s="363"/>
      <c r="K99" s="363"/>
      <c r="L99" s="363"/>
      <c r="M99" s="363"/>
      <c r="N99" s="363"/>
      <c r="O99" s="363"/>
      <c r="P99" s="363"/>
      <c r="Q99" s="363"/>
      <c r="R99" s="363"/>
      <c r="S99" s="363"/>
      <c r="T99" s="363"/>
      <c r="U99" s="363"/>
      <c r="V99" s="363"/>
      <c r="W99" s="363"/>
      <c r="X99" s="363"/>
      <c r="Y99" s="363"/>
      <c r="Z99" s="363"/>
      <c r="AA99" s="363"/>
      <c r="AB99" s="363"/>
      <c r="AC99" s="363"/>
      <c r="AD99" s="363"/>
      <c r="AE99" s="363"/>
      <c r="AF99" s="363"/>
      <c r="AG99" s="363"/>
      <c r="AH99" s="363"/>
      <c r="AI99" s="363"/>
      <c r="AJ99" s="363"/>
      <c r="AK99" s="363"/>
      <c r="AL99" s="363"/>
      <c r="AM99" s="363"/>
      <c r="AN99" s="363"/>
      <c r="AO99" s="363"/>
      <c r="AP99" s="363"/>
      <c r="AQ99" s="363"/>
      <c r="AR99" s="363"/>
      <c r="AS99" s="366"/>
      <c r="AT99" s="363"/>
      <c r="AU99" s="23"/>
      <c r="AV99" s="23"/>
    </row>
    <row r="100" spans="1:48" ht="16.5" x14ac:dyDescent="0.25">
      <c r="A100" s="367">
        <v>33</v>
      </c>
      <c r="B100" s="372" t="s">
        <v>962</v>
      </c>
      <c r="C100" s="363"/>
      <c r="D100" s="363"/>
      <c r="E100" s="363"/>
      <c r="F100" s="363"/>
      <c r="G100" s="363"/>
      <c r="H100" s="363"/>
      <c r="I100" s="363"/>
      <c r="J100" s="363"/>
      <c r="K100" s="363"/>
      <c r="L100" s="363"/>
      <c r="M100" s="363"/>
      <c r="N100" s="363"/>
      <c r="O100" s="363"/>
      <c r="P100" s="363"/>
      <c r="Q100" s="363"/>
      <c r="R100" s="363"/>
      <c r="S100" s="363"/>
      <c r="T100" s="363"/>
      <c r="U100" s="363"/>
      <c r="V100" s="363"/>
      <c r="W100" s="363"/>
      <c r="X100" s="363"/>
      <c r="Y100" s="363"/>
      <c r="Z100" s="363"/>
      <c r="AA100" s="363"/>
      <c r="AB100" s="363"/>
      <c r="AC100" s="363"/>
      <c r="AD100" s="363"/>
      <c r="AE100" s="363"/>
      <c r="AF100" s="363"/>
      <c r="AG100" s="363"/>
      <c r="AH100" s="363"/>
      <c r="AI100" s="363"/>
      <c r="AJ100" s="363"/>
      <c r="AK100" s="363"/>
      <c r="AL100" s="363"/>
      <c r="AM100" s="363"/>
      <c r="AN100" s="363"/>
      <c r="AO100" s="363"/>
      <c r="AP100" s="363"/>
      <c r="AQ100" s="363"/>
      <c r="AR100" s="363"/>
      <c r="AS100" s="366"/>
      <c r="AT100" s="363"/>
      <c r="AU100" s="23"/>
      <c r="AV100" s="23"/>
    </row>
    <row r="101" spans="1:48" ht="16.5" x14ac:dyDescent="0.25">
      <c r="A101" s="367">
        <v>34</v>
      </c>
      <c r="B101" s="372" t="s">
        <v>951</v>
      </c>
      <c r="C101" s="363"/>
      <c r="D101" s="363"/>
      <c r="E101" s="363"/>
      <c r="F101" s="363"/>
      <c r="G101" s="363"/>
      <c r="H101" s="363"/>
      <c r="I101" s="363"/>
      <c r="J101" s="363"/>
      <c r="K101" s="363"/>
      <c r="L101" s="363"/>
      <c r="M101" s="363"/>
      <c r="N101" s="363"/>
      <c r="O101" s="363"/>
      <c r="P101" s="363"/>
      <c r="Q101" s="363"/>
      <c r="R101" s="363"/>
      <c r="S101" s="363"/>
      <c r="T101" s="363"/>
      <c r="U101" s="363"/>
      <c r="V101" s="363"/>
      <c r="W101" s="363"/>
      <c r="X101" s="363"/>
      <c r="Y101" s="363"/>
      <c r="Z101" s="363"/>
      <c r="AA101" s="363"/>
      <c r="AB101" s="363"/>
      <c r="AC101" s="363"/>
      <c r="AD101" s="363"/>
      <c r="AE101" s="363"/>
      <c r="AF101" s="363"/>
      <c r="AG101" s="363"/>
      <c r="AH101" s="363"/>
      <c r="AI101" s="363"/>
      <c r="AJ101" s="363"/>
      <c r="AK101" s="363"/>
      <c r="AL101" s="363"/>
      <c r="AM101" s="363"/>
      <c r="AN101" s="363"/>
      <c r="AO101" s="363"/>
      <c r="AP101" s="363"/>
      <c r="AQ101" s="363"/>
      <c r="AR101" s="363"/>
      <c r="AS101" s="366"/>
      <c r="AT101" s="363"/>
    </row>
    <row r="102" spans="1:48" ht="16.5" x14ac:dyDescent="0.25">
      <c r="A102" s="367">
        <v>35</v>
      </c>
      <c r="B102" s="372" t="s">
        <v>963</v>
      </c>
      <c r="C102" s="363"/>
      <c r="D102" s="363"/>
      <c r="E102" s="363"/>
      <c r="F102" s="363"/>
      <c r="G102" s="363"/>
      <c r="H102" s="363"/>
      <c r="I102" s="363"/>
      <c r="J102" s="363"/>
      <c r="K102" s="363"/>
      <c r="L102" s="363"/>
      <c r="M102" s="363"/>
      <c r="N102" s="363"/>
      <c r="O102" s="363"/>
      <c r="P102" s="363"/>
      <c r="Q102" s="363"/>
      <c r="R102" s="363"/>
      <c r="S102" s="363"/>
      <c r="T102" s="363"/>
      <c r="U102" s="363"/>
      <c r="V102" s="363"/>
      <c r="W102" s="363"/>
      <c r="X102" s="363"/>
      <c r="Y102" s="363"/>
      <c r="Z102" s="363"/>
      <c r="AA102" s="363"/>
      <c r="AB102" s="363"/>
      <c r="AC102" s="363"/>
      <c r="AD102" s="363"/>
      <c r="AE102" s="363"/>
      <c r="AF102" s="363"/>
      <c r="AG102" s="363"/>
      <c r="AH102" s="363"/>
      <c r="AI102" s="363"/>
      <c r="AJ102" s="363"/>
      <c r="AK102" s="363"/>
      <c r="AL102" s="363"/>
      <c r="AM102" s="363"/>
      <c r="AN102" s="363"/>
      <c r="AO102" s="363"/>
      <c r="AP102" s="363"/>
      <c r="AQ102" s="363"/>
      <c r="AR102" s="363"/>
      <c r="AS102" s="366"/>
      <c r="AT102" s="363"/>
    </row>
    <row r="103" spans="1:48" ht="16.5" x14ac:dyDescent="0.25">
      <c r="A103" s="367">
        <v>36</v>
      </c>
      <c r="B103" s="372" t="s">
        <v>964</v>
      </c>
      <c r="C103" s="363"/>
      <c r="D103" s="363"/>
      <c r="E103" s="363"/>
      <c r="F103" s="363"/>
      <c r="G103" s="363"/>
      <c r="H103" s="363"/>
      <c r="I103" s="363"/>
      <c r="J103" s="363"/>
      <c r="K103" s="363"/>
      <c r="L103" s="363"/>
      <c r="M103" s="363"/>
      <c r="N103" s="363"/>
      <c r="O103" s="363"/>
      <c r="P103" s="363"/>
      <c r="Q103" s="363"/>
      <c r="R103" s="363"/>
      <c r="S103" s="363"/>
      <c r="T103" s="363"/>
      <c r="U103" s="363"/>
      <c r="V103" s="363"/>
      <c r="W103" s="363"/>
      <c r="X103" s="363"/>
      <c r="Y103" s="363"/>
      <c r="Z103" s="363"/>
      <c r="AA103" s="363"/>
      <c r="AB103" s="363"/>
      <c r="AC103" s="363"/>
      <c r="AD103" s="363"/>
      <c r="AE103" s="363"/>
      <c r="AF103" s="363"/>
      <c r="AG103" s="363"/>
      <c r="AH103" s="363"/>
      <c r="AI103" s="363"/>
      <c r="AJ103" s="363"/>
      <c r="AK103" s="363"/>
      <c r="AL103" s="363"/>
      <c r="AM103" s="363"/>
      <c r="AN103" s="363"/>
      <c r="AO103" s="363"/>
      <c r="AP103" s="363"/>
      <c r="AQ103" s="363"/>
      <c r="AR103" s="363"/>
      <c r="AS103" s="366"/>
      <c r="AT103" s="363"/>
    </row>
    <row r="105" spans="1:48" x14ac:dyDescent="0.25">
      <c r="A105" s="444" t="s">
        <v>0</v>
      </c>
      <c r="B105" s="444" t="s">
        <v>27</v>
      </c>
      <c r="C105" s="362" t="s">
        <v>389</v>
      </c>
      <c r="D105" s="438"/>
      <c r="E105" s="438"/>
      <c r="F105" s="438"/>
      <c r="G105" s="438"/>
      <c r="H105" s="438"/>
      <c r="I105" s="438"/>
      <c r="J105" s="438"/>
      <c r="K105" s="438"/>
      <c r="L105" s="438"/>
      <c r="M105" s="438"/>
      <c r="N105" s="438"/>
      <c r="O105" s="438"/>
      <c r="P105" s="438"/>
      <c r="Q105" s="438"/>
      <c r="R105" s="438"/>
      <c r="S105" s="438"/>
      <c r="T105" s="438"/>
      <c r="U105" s="438"/>
      <c r="V105" s="438"/>
      <c r="W105" s="438"/>
      <c r="X105" s="438"/>
      <c r="Y105" s="438"/>
      <c r="Z105" s="438"/>
      <c r="AA105" s="438"/>
      <c r="AB105" s="438"/>
      <c r="AC105" s="438"/>
      <c r="AD105" s="438"/>
      <c r="AE105" s="438"/>
      <c r="AF105" s="438"/>
      <c r="AG105" s="438"/>
      <c r="AH105" s="438"/>
      <c r="AI105" s="438"/>
      <c r="AJ105" s="438"/>
      <c r="AK105" s="438"/>
      <c r="AL105" s="438"/>
      <c r="AM105" s="438"/>
      <c r="AN105" s="438"/>
      <c r="AO105" s="438"/>
      <c r="AP105" s="439"/>
      <c r="AQ105" s="436" t="s">
        <v>859</v>
      </c>
      <c r="AR105" s="436" t="s">
        <v>860</v>
      </c>
      <c r="AS105" s="436" t="s">
        <v>861</v>
      </c>
      <c r="AT105" s="436" t="s">
        <v>49</v>
      </c>
    </row>
    <row r="106" spans="1:48" x14ac:dyDescent="0.25">
      <c r="A106" s="445"/>
      <c r="B106" s="445"/>
      <c r="C106" s="363">
        <v>1</v>
      </c>
      <c r="D106" s="363">
        <v>2</v>
      </c>
      <c r="E106" s="363">
        <v>3</v>
      </c>
      <c r="F106" s="363">
        <v>4</v>
      </c>
      <c r="G106" s="363">
        <v>5</v>
      </c>
      <c r="H106" s="363">
        <v>6</v>
      </c>
      <c r="I106" s="363">
        <v>7</v>
      </c>
      <c r="J106" s="363">
        <v>8</v>
      </c>
      <c r="K106" s="363">
        <v>9</v>
      </c>
      <c r="L106" s="363">
        <v>10</v>
      </c>
      <c r="M106" s="363">
        <v>11</v>
      </c>
      <c r="N106" s="363">
        <v>12</v>
      </c>
      <c r="O106" s="363">
        <v>13</v>
      </c>
      <c r="P106" s="363">
        <v>14</v>
      </c>
      <c r="Q106" s="363">
        <v>15</v>
      </c>
      <c r="R106" s="363">
        <v>16</v>
      </c>
      <c r="S106" s="363">
        <v>17</v>
      </c>
      <c r="T106" s="363">
        <v>18</v>
      </c>
      <c r="U106" s="363">
        <v>19</v>
      </c>
      <c r="V106" s="363">
        <v>20</v>
      </c>
      <c r="W106" s="363">
        <v>21</v>
      </c>
      <c r="X106" s="363">
        <v>22</v>
      </c>
      <c r="Y106" s="363">
        <v>23</v>
      </c>
      <c r="Z106" s="363">
        <v>24</v>
      </c>
      <c r="AA106" s="363">
        <v>25</v>
      </c>
      <c r="AB106" s="363">
        <v>26</v>
      </c>
      <c r="AC106" s="363">
        <v>27</v>
      </c>
      <c r="AD106" s="363">
        <v>28</v>
      </c>
      <c r="AE106" s="363">
        <v>29</v>
      </c>
      <c r="AF106" s="363">
        <v>30</v>
      </c>
      <c r="AG106" s="363">
        <v>31</v>
      </c>
      <c r="AH106" s="363">
        <v>32</v>
      </c>
      <c r="AI106" s="363">
        <v>33</v>
      </c>
      <c r="AJ106" s="363">
        <v>34</v>
      </c>
      <c r="AK106" s="363">
        <v>35</v>
      </c>
      <c r="AL106" s="363">
        <v>36</v>
      </c>
      <c r="AM106" s="363">
        <v>37</v>
      </c>
      <c r="AN106" s="363">
        <v>38</v>
      </c>
      <c r="AO106" s="363">
        <v>39</v>
      </c>
      <c r="AP106" s="363">
        <v>40</v>
      </c>
      <c r="AQ106" s="364"/>
      <c r="AR106" s="364"/>
      <c r="AS106" s="364"/>
      <c r="AT106" s="364"/>
    </row>
    <row r="107" spans="1:48" x14ac:dyDescent="0.25">
      <c r="A107" s="446"/>
      <c r="B107" s="446"/>
      <c r="C107" s="363"/>
      <c r="D107" s="363"/>
      <c r="E107" s="363"/>
      <c r="F107" s="363"/>
      <c r="G107" s="363"/>
      <c r="H107" s="363"/>
      <c r="I107" s="363"/>
      <c r="J107" s="363"/>
      <c r="K107" s="363"/>
      <c r="L107" s="363"/>
      <c r="M107" s="363"/>
      <c r="N107" s="363"/>
      <c r="O107" s="363"/>
      <c r="P107" s="363"/>
      <c r="Q107" s="363"/>
      <c r="R107" s="363"/>
      <c r="S107" s="363"/>
      <c r="T107" s="363"/>
      <c r="U107" s="363"/>
      <c r="V107" s="363"/>
      <c r="W107" s="363"/>
      <c r="X107" s="363"/>
      <c r="Y107" s="363"/>
      <c r="Z107" s="363"/>
      <c r="AA107" s="363"/>
      <c r="AB107" s="363"/>
      <c r="AC107" s="363"/>
      <c r="AD107" s="363"/>
      <c r="AE107" s="363"/>
      <c r="AF107" s="363"/>
      <c r="AG107" s="363"/>
      <c r="AH107" s="363"/>
      <c r="AI107" s="363"/>
      <c r="AJ107" s="363"/>
      <c r="AK107" s="363"/>
      <c r="AL107" s="363"/>
      <c r="AM107" s="363"/>
      <c r="AN107" s="363"/>
      <c r="AO107" s="363"/>
      <c r="AP107" s="363"/>
      <c r="AQ107" s="437"/>
      <c r="AR107" s="437"/>
      <c r="AS107" s="437"/>
      <c r="AT107" s="437"/>
    </row>
    <row r="108" spans="1:48" x14ac:dyDescent="0.25">
      <c r="A108" s="365">
        <v>1</v>
      </c>
      <c r="B108" s="421" t="s">
        <v>927</v>
      </c>
      <c r="C108" s="363"/>
      <c r="D108" s="363"/>
      <c r="E108" s="363"/>
      <c r="F108" s="363"/>
      <c r="G108" s="363"/>
      <c r="H108" s="363"/>
      <c r="I108" s="363"/>
      <c r="J108" s="363"/>
      <c r="K108" s="363"/>
      <c r="L108" s="363"/>
      <c r="M108" s="363"/>
      <c r="N108" s="363"/>
      <c r="O108" s="363"/>
      <c r="P108" s="363"/>
      <c r="Q108" s="363"/>
      <c r="R108" s="363"/>
      <c r="S108" s="363"/>
      <c r="T108" s="363"/>
      <c r="U108" s="363"/>
      <c r="V108" s="363"/>
      <c r="W108" s="363"/>
      <c r="X108" s="363"/>
      <c r="Y108" s="363"/>
      <c r="Z108" s="363"/>
      <c r="AA108" s="363"/>
      <c r="AB108" s="363"/>
      <c r="AC108" s="363"/>
      <c r="AD108" s="363"/>
      <c r="AE108" s="363"/>
      <c r="AF108" s="363"/>
      <c r="AG108" s="363"/>
      <c r="AH108" s="363"/>
      <c r="AI108" s="363"/>
      <c r="AJ108" s="363"/>
      <c r="AK108" s="363"/>
      <c r="AL108" s="363"/>
      <c r="AM108" s="363"/>
      <c r="AN108" s="363"/>
      <c r="AO108" s="363"/>
      <c r="AP108" s="363"/>
      <c r="AQ108" s="363"/>
      <c r="AR108" s="363"/>
      <c r="AS108" s="363"/>
      <c r="AT108" s="363"/>
    </row>
    <row r="109" spans="1:48" ht="16.5" x14ac:dyDescent="0.25">
      <c r="A109" s="365">
        <v>2</v>
      </c>
      <c r="B109" s="372" t="s">
        <v>928</v>
      </c>
      <c r="C109" s="363"/>
      <c r="D109" s="363"/>
      <c r="E109" s="363"/>
      <c r="F109" s="363"/>
      <c r="G109" s="363"/>
      <c r="H109" s="363"/>
      <c r="I109" s="363"/>
      <c r="J109" s="363"/>
      <c r="K109" s="363"/>
      <c r="L109" s="363"/>
      <c r="M109" s="363"/>
      <c r="N109" s="363"/>
      <c r="O109" s="363"/>
      <c r="P109" s="363"/>
      <c r="Q109" s="363"/>
      <c r="R109" s="363"/>
      <c r="S109" s="363"/>
      <c r="T109" s="363"/>
      <c r="U109" s="363"/>
      <c r="V109" s="363"/>
      <c r="W109" s="363"/>
      <c r="X109" s="363"/>
      <c r="Y109" s="363"/>
      <c r="Z109" s="363"/>
      <c r="AA109" s="363"/>
      <c r="AB109" s="363"/>
      <c r="AC109" s="363"/>
      <c r="AD109" s="363"/>
      <c r="AE109" s="363"/>
      <c r="AF109" s="363"/>
      <c r="AG109" s="363"/>
      <c r="AH109" s="363"/>
      <c r="AI109" s="363"/>
      <c r="AJ109" s="363"/>
      <c r="AK109" s="363"/>
      <c r="AL109" s="363"/>
      <c r="AM109" s="363"/>
      <c r="AN109" s="363"/>
      <c r="AO109" s="363"/>
      <c r="AP109" s="363"/>
      <c r="AQ109" s="363"/>
      <c r="AR109" s="363"/>
      <c r="AS109" s="363"/>
      <c r="AT109" s="363"/>
    </row>
    <row r="110" spans="1:48" ht="16.5" x14ac:dyDescent="0.25">
      <c r="A110" s="365">
        <v>3</v>
      </c>
      <c r="B110" s="374" t="s">
        <v>929</v>
      </c>
      <c r="C110" s="363"/>
      <c r="D110" s="363"/>
      <c r="E110" s="363"/>
      <c r="F110" s="363"/>
      <c r="G110" s="363"/>
      <c r="H110" s="363"/>
      <c r="I110" s="363"/>
      <c r="J110" s="363"/>
      <c r="K110" s="363"/>
      <c r="L110" s="363"/>
      <c r="M110" s="363"/>
      <c r="N110" s="363"/>
      <c r="O110" s="363"/>
      <c r="P110" s="363"/>
      <c r="Q110" s="363"/>
      <c r="R110" s="363"/>
      <c r="S110" s="363"/>
      <c r="T110" s="363"/>
      <c r="U110" s="363"/>
      <c r="V110" s="363"/>
      <c r="W110" s="363"/>
      <c r="X110" s="363"/>
      <c r="Y110" s="363"/>
      <c r="Z110" s="363"/>
      <c r="AA110" s="363"/>
      <c r="AB110" s="363"/>
      <c r="AC110" s="363"/>
      <c r="AD110" s="363"/>
      <c r="AE110" s="363"/>
      <c r="AF110" s="363"/>
      <c r="AG110" s="363"/>
      <c r="AH110" s="363"/>
      <c r="AI110" s="363"/>
      <c r="AJ110" s="363"/>
      <c r="AK110" s="363"/>
      <c r="AL110" s="363"/>
      <c r="AM110" s="363"/>
      <c r="AN110" s="363"/>
      <c r="AO110" s="363"/>
      <c r="AP110" s="363"/>
      <c r="AQ110" s="363"/>
      <c r="AR110" s="363"/>
      <c r="AS110" s="363"/>
      <c r="AT110" s="363"/>
    </row>
    <row r="111" spans="1:48" ht="16.5" x14ac:dyDescent="0.25">
      <c r="A111" s="365">
        <v>4</v>
      </c>
      <c r="B111" s="374" t="s">
        <v>953</v>
      </c>
      <c r="C111" s="363"/>
      <c r="D111" s="363"/>
      <c r="E111" s="363"/>
      <c r="F111" s="363"/>
      <c r="G111" s="363"/>
      <c r="H111" s="363"/>
      <c r="I111" s="363"/>
      <c r="J111" s="363"/>
      <c r="K111" s="363"/>
      <c r="L111" s="363"/>
      <c r="M111" s="363"/>
      <c r="N111" s="363"/>
      <c r="O111" s="363"/>
      <c r="P111" s="363"/>
      <c r="Q111" s="363"/>
      <c r="R111" s="363"/>
      <c r="S111" s="363"/>
      <c r="T111" s="363"/>
      <c r="U111" s="363"/>
      <c r="V111" s="363"/>
      <c r="W111" s="363"/>
      <c r="X111" s="363"/>
      <c r="Y111" s="363"/>
      <c r="Z111" s="363"/>
      <c r="AA111" s="363"/>
      <c r="AB111" s="363"/>
      <c r="AC111" s="363"/>
      <c r="AD111" s="363"/>
      <c r="AE111" s="363"/>
      <c r="AF111" s="363"/>
      <c r="AG111" s="363"/>
      <c r="AH111" s="363"/>
      <c r="AI111" s="363"/>
      <c r="AJ111" s="363"/>
      <c r="AK111" s="363"/>
      <c r="AL111" s="363"/>
      <c r="AM111" s="363"/>
      <c r="AN111" s="363"/>
      <c r="AO111" s="363"/>
      <c r="AP111" s="363"/>
      <c r="AQ111" s="363"/>
      <c r="AR111" s="363"/>
      <c r="AS111" s="363"/>
      <c r="AT111" s="363"/>
    </row>
    <row r="112" spans="1:48" ht="16.5" x14ac:dyDescent="0.25">
      <c r="A112" s="365">
        <v>5</v>
      </c>
      <c r="B112" s="372" t="s">
        <v>954</v>
      </c>
      <c r="C112" s="363"/>
      <c r="D112" s="363"/>
      <c r="E112" s="363"/>
      <c r="F112" s="363"/>
      <c r="G112" s="363"/>
      <c r="H112" s="363"/>
      <c r="I112" s="363"/>
      <c r="J112" s="363"/>
      <c r="K112" s="363"/>
      <c r="L112" s="363"/>
      <c r="M112" s="363"/>
      <c r="N112" s="363"/>
      <c r="O112" s="363"/>
      <c r="P112" s="363"/>
      <c r="Q112" s="363"/>
      <c r="R112" s="363"/>
      <c r="S112" s="363"/>
      <c r="T112" s="363"/>
      <c r="U112" s="363"/>
      <c r="V112" s="363"/>
      <c r="W112" s="363"/>
      <c r="X112" s="363"/>
      <c r="Y112" s="363"/>
      <c r="Z112" s="363"/>
      <c r="AA112" s="363"/>
      <c r="AB112" s="363"/>
      <c r="AC112" s="363"/>
      <c r="AD112" s="363"/>
      <c r="AE112" s="363"/>
      <c r="AF112" s="363"/>
      <c r="AG112" s="363"/>
      <c r="AH112" s="363"/>
      <c r="AI112" s="363"/>
      <c r="AJ112" s="363"/>
      <c r="AK112" s="363"/>
      <c r="AL112" s="363"/>
      <c r="AM112" s="363"/>
      <c r="AN112" s="363"/>
      <c r="AO112" s="363"/>
      <c r="AP112" s="363"/>
      <c r="AQ112" s="363"/>
      <c r="AR112" s="363"/>
      <c r="AS112" s="363"/>
      <c r="AT112" s="363"/>
    </row>
    <row r="113" spans="1:46" ht="16.5" x14ac:dyDescent="0.25">
      <c r="A113" s="365">
        <v>6</v>
      </c>
      <c r="B113" s="372" t="s">
        <v>930</v>
      </c>
      <c r="C113" s="363"/>
      <c r="D113" s="363"/>
      <c r="E113" s="363"/>
      <c r="F113" s="363"/>
      <c r="G113" s="363"/>
      <c r="H113" s="363"/>
      <c r="I113" s="363"/>
      <c r="J113" s="363"/>
      <c r="K113" s="363"/>
      <c r="L113" s="363"/>
      <c r="M113" s="363"/>
      <c r="N113" s="363"/>
      <c r="O113" s="363"/>
      <c r="P113" s="363"/>
      <c r="Q113" s="363"/>
      <c r="R113" s="363"/>
      <c r="S113" s="363"/>
      <c r="T113" s="363"/>
      <c r="U113" s="363"/>
      <c r="V113" s="363"/>
      <c r="W113" s="363"/>
      <c r="X113" s="363"/>
      <c r="Y113" s="363"/>
      <c r="Z113" s="363"/>
      <c r="AA113" s="363"/>
      <c r="AB113" s="363"/>
      <c r="AC113" s="363"/>
      <c r="AD113" s="363"/>
      <c r="AE113" s="363"/>
      <c r="AF113" s="363"/>
      <c r="AG113" s="363"/>
      <c r="AH113" s="363"/>
      <c r="AI113" s="363"/>
      <c r="AJ113" s="363"/>
      <c r="AK113" s="363"/>
      <c r="AL113" s="363"/>
      <c r="AM113" s="363"/>
      <c r="AN113" s="363"/>
      <c r="AO113" s="363"/>
      <c r="AP113" s="363"/>
      <c r="AQ113" s="363"/>
      <c r="AR113" s="363"/>
      <c r="AS113" s="363"/>
      <c r="AT113" s="363"/>
    </row>
    <row r="114" spans="1:46" ht="16.5" x14ac:dyDescent="0.25">
      <c r="A114" s="365">
        <v>7</v>
      </c>
      <c r="B114" s="372" t="s">
        <v>931</v>
      </c>
      <c r="C114" s="363"/>
      <c r="D114" s="363"/>
      <c r="E114" s="363"/>
      <c r="F114" s="363"/>
      <c r="G114" s="363"/>
      <c r="H114" s="363"/>
      <c r="I114" s="363"/>
      <c r="J114" s="363"/>
      <c r="K114" s="363"/>
      <c r="L114" s="363"/>
      <c r="M114" s="363"/>
      <c r="N114" s="363"/>
      <c r="O114" s="363"/>
      <c r="P114" s="363"/>
      <c r="Q114" s="363"/>
      <c r="R114" s="363"/>
      <c r="S114" s="363"/>
      <c r="T114" s="363"/>
      <c r="U114" s="363"/>
      <c r="V114" s="363"/>
      <c r="W114" s="363"/>
      <c r="X114" s="363"/>
      <c r="Y114" s="363"/>
      <c r="Z114" s="363"/>
      <c r="AA114" s="363"/>
      <c r="AB114" s="363"/>
      <c r="AC114" s="363"/>
      <c r="AD114" s="363"/>
      <c r="AE114" s="363"/>
      <c r="AF114" s="363"/>
      <c r="AG114" s="363"/>
      <c r="AH114" s="363"/>
      <c r="AI114" s="363"/>
      <c r="AJ114" s="363"/>
      <c r="AK114" s="363"/>
      <c r="AL114" s="363"/>
      <c r="AM114" s="363"/>
      <c r="AN114" s="363"/>
      <c r="AO114" s="363"/>
      <c r="AP114" s="363"/>
      <c r="AQ114" s="363"/>
      <c r="AR114" s="363"/>
      <c r="AS114" s="363"/>
      <c r="AT114" s="363"/>
    </row>
    <row r="115" spans="1:46" ht="16.5" x14ac:dyDescent="0.25">
      <c r="A115" s="365">
        <v>8</v>
      </c>
      <c r="B115" s="372" t="s">
        <v>932</v>
      </c>
      <c r="C115" s="363"/>
      <c r="D115" s="363"/>
      <c r="E115" s="363"/>
      <c r="F115" s="363"/>
      <c r="G115" s="363"/>
      <c r="H115" s="363"/>
      <c r="I115" s="363"/>
      <c r="J115" s="363"/>
      <c r="K115" s="363"/>
      <c r="L115" s="363"/>
      <c r="M115" s="363"/>
      <c r="N115" s="363"/>
      <c r="O115" s="363"/>
      <c r="P115" s="363"/>
      <c r="Q115" s="363"/>
      <c r="R115" s="363"/>
      <c r="S115" s="363"/>
      <c r="T115" s="363"/>
      <c r="U115" s="363"/>
      <c r="V115" s="363"/>
      <c r="W115" s="363"/>
      <c r="X115" s="363"/>
      <c r="Y115" s="363"/>
      <c r="Z115" s="363"/>
      <c r="AA115" s="363"/>
      <c r="AB115" s="363"/>
      <c r="AC115" s="363"/>
      <c r="AD115" s="363"/>
      <c r="AE115" s="363"/>
      <c r="AF115" s="363"/>
      <c r="AG115" s="363"/>
      <c r="AH115" s="363"/>
      <c r="AI115" s="363"/>
      <c r="AJ115" s="363"/>
      <c r="AK115" s="363"/>
      <c r="AL115" s="363"/>
      <c r="AM115" s="363"/>
      <c r="AN115" s="363"/>
      <c r="AO115" s="363"/>
      <c r="AP115" s="363"/>
      <c r="AQ115" s="363"/>
      <c r="AR115" s="363"/>
      <c r="AS115" s="363"/>
      <c r="AT115" s="363"/>
    </row>
    <row r="116" spans="1:46" ht="16.5" x14ac:dyDescent="0.25">
      <c r="A116" s="365">
        <v>9</v>
      </c>
      <c r="B116" s="372" t="s">
        <v>933</v>
      </c>
      <c r="C116" s="363"/>
      <c r="D116" s="363"/>
      <c r="E116" s="363"/>
      <c r="F116" s="363"/>
      <c r="G116" s="363"/>
      <c r="H116" s="363"/>
      <c r="I116" s="363"/>
      <c r="J116" s="363"/>
      <c r="K116" s="363"/>
      <c r="L116" s="363"/>
      <c r="M116" s="363"/>
      <c r="N116" s="363"/>
      <c r="O116" s="363"/>
      <c r="P116" s="363"/>
      <c r="Q116" s="363"/>
      <c r="R116" s="363"/>
      <c r="S116" s="363"/>
      <c r="T116" s="363"/>
      <c r="U116" s="363"/>
      <c r="V116" s="363"/>
      <c r="W116" s="363"/>
      <c r="X116" s="363"/>
      <c r="Y116" s="363"/>
      <c r="Z116" s="363"/>
      <c r="AA116" s="363"/>
      <c r="AB116" s="363"/>
      <c r="AC116" s="363"/>
      <c r="AD116" s="363"/>
      <c r="AE116" s="363"/>
      <c r="AF116" s="363"/>
      <c r="AG116" s="363"/>
      <c r="AH116" s="363"/>
      <c r="AI116" s="363"/>
      <c r="AJ116" s="363"/>
      <c r="AK116" s="363"/>
      <c r="AL116" s="363"/>
      <c r="AM116" s="363"/>
      <c r="AN116" s="363"/>
      <c r="AO116" s="363"/>
      <c r="AP116" s="363"/>
      <c r="AQ116" s="363"/>
      <c r="AR116" s="363"/>
      <c r="AS116" s="363"/>
      <c r="AT116" s="363"/>
    </row>
    <row r="117" spans="1:46" ht="16.5" x14ac:dyDescent="0.25">
      <c r="A117" s="365">
        <v>10</v>
      </c>
      <c r="B117" s="372" t="s">
        <v>934</v>
      </c>
      <c r="C117" s="363"/>
      <c r="D117" s="363"/>
      <c r="E117" s="363"/>
      <c r="F117" s="363"/>
      <c r="G117" s="363"/>
      <c r="H117" s="363"/>
      <c r="I117" s="363"/>
      <c r="J117" s="363"/>
      <c r="K117" s="363"/>
      <c r="L117" s="363"/>
      <c r="M117" s="363"/>
      <c r="N117" s="363"/>
      <c r="O117" s="363"/>
      <c r="P117" s="363"/>
      <c r="Q117" s="363"/>
      <c r="R117" s="363"/>
      <c r="S117" s="363"/>
      <c r="T117" s="363"/>
      <c r="U117" s="363"/>
      <c r="V117" s="363"/>
      <c r="W117" s="363"/>
      <c r="X117" s="363"/>
      <c r="Y117" s="363"/>
      <c r="Z117" s="363"/>
      <c r="AA117" s="363"/>
      <c r="AB117" s="363"/>
      <c r="AC117" s="363"/>
      <c r="AD117" s="363"/>
      <c r="AE117" s="363"/>
      <c r="AF117" s="363"/>
      <c r="AG117" s="363"/>
      <c r="AH117" s="363"/>
      <c r="AI117" s="363"/>
      <c r="AJ117" s="363"/>
      <c r="AK117" s="363"/>
      <c r="AL117" s="363"/>
      <c r="AM117" s="363"/>
      <c r="AN117" s="363"/>
      <c r="AO117" s="363"/>
      <c r="AP117" s="363"/>
      <c r="AQ117" s="363"/>
      <c r="AR117" s="363"/>
      <c r="AS117" s="363"/>
      <c r="AT117" s="363"/>
    </row>
    <row r="118" spans="1:46" ht="16.5" x14ac:dyDescent="0.25">
      <c r="A118" s="365">
        <v>11</v>
      </c>
      <c r="B118" s="372" t="s">
        <v>935</v>
      </c>
      <c r="C118" s="363"/>
      <c r="D118" s="363"/>
      <c r="E118" s="363"/>
      <c r="F118" s="363"/>
      <c r="G118" s="363"/>
      <c r="H118" s="363"/>
      <c r="I118" s="363"/>
      <c r="J118" s="363"/>
      <c r="K118" s="363"/>
      <c r="L118" s="363"/>
      <c r="M118" s="363"/>
      <c r="N118" s="363"/>
      <c r="O118" s="363"/>
      <c r="P118" s="363"/>
      <c r="Q118" s="363"/>
      <c r="R118" s="363"/>
      <c r="S118" s="363"/>
      <c r="T118" s="363"/>
      <c r="U118" s="363"/>
      <c r="V118" s="363"/>
      <c r="W118" s="363"/>
      <c r="X118" s="363"/>
      <c r="Y118" s="363"/>
      <c r="Z118" s="363"/>
      <c r="AA118" s="363"/>
      <c r="AB118" s="363"/>
      <c r="AC118" s="363"/>
      <c r="AD118" s="363"/>
      <c r="AE118" s="363"/>
      <c r="AF118" s="363"/>
      <c r="AG118" s="363"/>
      <c r="AH118" s="363"/>
      <c r="AI118" s="363"/>
      <c r="AJ118" s="363"/>
      <c r="AK118" s="363"/>
      <c r="AL118" s="363"/>
      <c r="AM118" s="363"/>
      <c r="AN118" s="363"/>
      <c r="AO118" s="363"/>
      <c r="AP118" s="363"/>
      <c r="AQ118" s="363"/>
      <c r="AR118" s="363"/>
      <c r="AS118" s="363"/>
      <c r="AT118" s="363"/>
    </row>
    <row r="119" spans="1:46" ht="16.5" x14ac:dyDescent="0.25">
      <c r="A119" s="365">
        <v>12</v>
      </c>
      <c r="B119" s="372" t="s">
        <v>936</v>
      </c>
      <c r="C119" s="363"/>
      <c r="D119" s="363"/>
      <c r="E119" s="363"/>
      <c r="F119" s="363"/>
      <c r="G119" s="363"/>
      <c r="H119" s="363"/>
      <c r="I119" s="363"/>
      <c r="J119" s="363"/>
      <c r="K119" s="363"/>
      <c r="L119" s="363"/>
      <c r="M119" s="363"/>
      <c r="N119" s="363"/>
      <c r="O119" s="363"/>
      <c r="P119" s="363"/>
      <c r="Q119" s="363"/>
      <c r="R119" s="363"/>
      <c r="S119" s="363"/>
      <c r="T119" s="363"/>
      <c r="U119" s="363"/>
      <c r="V119" s="363"/>
      <c r="W119" s="363"/>
      <c r="X119" s="363"/>
      <c r="Y119" s="363"/>
      <c r="Z119" s="363"/>
      <c r="AA119" s="363"/>
      <c r="AB119" s="363"/>
      <c r="AC119" s="363"/>
      <c r="AD119" s="363"/>
      <c r="AE119" s="363"/>
      <c r="AF119" s="363"/>
      <c r="AG119" s="363"/>
      <c r="AH119" s="363"/>
      <c r="AI119" s="363"/>
      <c r="AJ119" s="363"/>
      <c r="AK119" s="363"/>
      <c r="AL119" s="363"/>
      <c r="AM119" s="363"/>
      <c r="AN119" s="363"/>
      <c r="AO119" s="363"/>
      <c r="AP119" s="363"/>
      <c r="AQ119" s="363"/>
      <c r="AR119" s="363"/>
      <c r="AS119" s="363"/>
      <c r="AT119" s="363"/>
    </row>
    <row r="120" spans="1:46" ht="16.5" x14ac:dyDescent="0.25">
      <c r="A120" s="365">
        <v>13</v>
      </c>
      <c r="B120" s="372" t="s">
        <v>937</v>
      </c>
      <c r="C120" s="363"/>
      <c r="D120" s="363"/>
      <c r="E120" s="363"/>
      <c r="F120" s="363"/>
      <c r="G120" s="363"/>
      <c r="H120" s="363"/>
      <c r="I120" s="363"/>
      <c r="J120" s="363"/>
      <c r="K120" s="363"/>
      <c r="L120" s="363"/>
      <c r="M120" s="363"/>
      <c r="N120" s="363"/>
      <c r="O120" s="363"/>
      <c r="P120" s="363"/>
      <c r="Q120" s="363"/>
      <c r="R120" s="363"/>
      <c r="S120" s="363"/>
      <c r="T120" s="363"/>
      <c r="U120" s="363"/>
      <c r="V120" s="363"/>
      <c r="W120" s="363"/>
      <c r="X120" s="363"/>
      <c r="Y120" s="363"/>
      <c r="Z120" s="363"/>
      <c r="AA120" s="363"/>
      <c r="AB120" s="363"/>
      <c r="AC120" s="363"/>
      <c r="AD120" s="363"/>
      <c r="AE120" s="363"/>
      <c r="AF120" s="363"/>
      <c r="AG120" s="363"/>
      <c r="AH120" s="363"/>
      <c r="AI120" s="363"/>
      <c r="AJ120" s="363"/>
      <c r="AK120" s="363"/>
      <c r="AL120" s="363"/>
      <c r="AM120" s="363"/>
      <c r="AN120" s="363"/>
      <c r="AO120" s="363"/>
      <c r="AP120" s="363"/>
      <c r="AQ120" s="363"/>
      <c r="AR120" s="363"/>
      <c r="AS120" s="363"/>
      <c r="AT120" s="363"/>
    </row>
    <row r="121" spans="1:46" ht="16.5" x14ac:dyDescent="0.25">
      <c r="A121" s="365">
        <v>14</v>
      </c>
      <c r="B121" s="372" t="s">
        <v>938</v>
      </c>
      <c r="C121" s="363"/>
      <c r="D121" s="363"/>
      <c r="E121" s="363"/>
      <c r="F121" s="363"/>
      <c r="G121" s="363"/>
      <c r="H121" s="363"/>
      <c r="I121" s="363"/>
      <c r="J121" s="363"/>
      <c r="K121" s="363"/>
      <c r="L121" s="363"/>
      <c r="M121" s="363"/>
      <c r="N121" s="363"/>
      <c r="O121" s="363"/>
      <c r="P121" s="363"/>
      <c r="Q121" s="363"/>
      <c r="R121" s="363"/>
      <c r="S121" s="363"/>
      <c r="T121" s="363"/>
      <c r="U121" s="363"/>
      <c r="V121" s="363"/>
      <c r="W121" s="363"/>
      <c r="X121" s="363"/>
      <c r="Y121" s="363"/>
      <c r="Z121" s="363"/>
      <c r="AA121" s="363"/>
      <c r="AB121" s="363"/>
      <c r="AC121" s="363"/>
      <c r="AD121" s="363"/>
      <c r="AE121" s="363"/>
      <c r="AF121" s="363"/>
      <c r="AG121" s="363"/>
      <c r="AH121" s="363"/>
      <c r="AI121" s="363"/>
      <c r="AJ121" s="363"/>
      <c r="AK121" s="363"/>
      <c r="AL121" s="363"/>
      <c r="AM121" s="363"/>
      <c r="AN121" s="363"/>
      <c r="AO121" s="363"/>
      <c r="AP121" s="363"/>
      <c r="AQ121" s="363"/>
      <c r="AR121" s="363"/>
      <c r="AS121" s="363"/>
      <c r="AT121" s="363"/>
    </row>
    <row r="122" spans="1:46" ht="16.5" x14ac:dyDescent="0.25">
      <c r="A122" s="365">
        <v>15</v>
      </c>
      <c r="B122" s="372" t="s">
        <v>939</v>
      </c>
      <c r="C122" s="363"/>
      <c r="D122" s="363"/>
      <c r="E122" s="363"/>
      <c r="F122" s="363"/>
      <c r="G122" s="363"/>
      <c r="H122" s="363"/>
      <c r="I122" s="363"/>
      <c r="J122" s="363"/>
      <c r="K122" s="363"/>
      <c r="L122" s="363"/>
      <c r="M122" s="363"/>
      <c r="N122" s="363"/>
      <c r="O122" s="363"/>
      <c r="P122" s="363"/>
      <c r="Q122" s="363"/>
      <c r="R122" s="363"/>
      <c r="S122" s="363"/>
      <c r="T122" s="363"/>
      <c r="U122" s="363"/>
      <c r="V122" s="363"/>
      <c r="W122" s="363"/>
      <c r="X122" s="363"/>
      <c r="Y122" s="363"/>
      <c r="Z122" s="363"/>
      <c r="AA122" s="363"/>
      <c r="AB122" s="363"/>
      <c r="AC122" s="363"/>
      <c r="AD122" s="363"/>
      <c r="AE122" s="363"/>
      <c r="AF122" s="363"/>
      <c r="AG122" s="363"/>
      <c r="AH122" s="363"/>
      <c r="AI122" s="363"/>
      <c r="AJ122" s="363"/>
      <c r="AK122" s="363"/>
      <c r="AL122" s="363"/>
      <c r="AM122" s="363"/>
      <c r="AN122" s="363"/>
      <c r="AO122" s="363"/>
      <c r="AP122" s="363"/>
      <c r="AQ122" s="363"/>
      <c r="AR122" s="363"/>
      <c r="AS122" s="363"/>
      <c r="AT122" s="363"/>
    </row>
    <row r="123" spans="1:46" ht="16.5" x14ac:dyDescent="0.25">
      <c r="A123" s="365">
        <v>16</v>
      </c>
      <c r="B123" s="372" t="s">
        <v>940</v>
      </c>
      <c r="C123" s="363"/>
      <c r="D123" s="363"/>
      <c r="E123" s="363"/>
      <c r="F123" s="363"/>
      <c r="G123" s="363"/>
      <c r="H123" s="363"/>
      <c r="I123" s="363"/>
      <c r="J123" s="363"/>
      <c r="K123" s="363"/>
      <c r="L123" s="363"/>
      <c r="M123" s="363"/>
      <c r="N123" s="363"/>
      <c r="O123" s="363"/>
      <c r="P123" s="363"/>
      <c r="Q123" s="363"/>
      <c r="R123" s="363"/>
      <c r="S123" s="363"/>
      <c r="T123" s="363"/>
      <c r="U123" s="363"/>
      <c r="V123" s="363"/>
      <c r="W123" s="363"/>
      <c r="X123" s="363"/>
      <c r="Y123" s="363"/>
      <c r="Z123" s="363"/>
      <c r="AA123" s="363"/>
      <c r="AB123" s="363"/>
      <c r="AC123" s="363"/>
      <c r="AD123" s="363"/>
      <c r="AE123" s="363"/>
      <c r="AF123" s="363"/>
      <c r="AG123" s="363"/>
      <c r="AH123" s="363"/>
      <c r="AI123" s="363"/>
      <c r="AJ123" s="363"/>
      <c r="AK123" s="363"/>
      <c r="AL123" s="363"/>
      <c r="AM123" s="363"/>
      <c r="AN123" s="363"/>
      <c r="AO123" s="363"/>
      <c r="AP123" s="363"/>
      <c r="AQ123" s="363"/>
      <c r="AR123" s="363"/>
      <c r="AS123" s="363"/>
      <c r="AT123" s="363"/>
    </row>
    <row r="124" spans="1:46" ht="16.5" x14ac:dyDescent="0.25">
      <c r="A124" s="365">
        <v>17</v>
      </c>
      <c r="B124" s="372" t="s">
        <v>941</v>
      </c>
      <c r="C124" s="363"/>
      <c r="D124" s="363"/>
      <c r="E124" s="363"/>
      <c r="F124" s="363"/>
      <c r="G124" s="363"/>
      <c r="H124" s="363"/>
      <c r="I124" s="363"/>
      <c r="J124" s="363"/>
      <c r="K124" s="363"/>
      <c r="L124" s="363"/>
      <c r="M124" s="363"/>
      <c r="N124" s="363"/>
      <c r="O124" s="363"/>
      <c r="P124" s="363"/>
      <c r="Q124" s="363"/>
      <c r="R124" s="363"/>
      <c r="S124" s="363"/>
      <c r="T124" s="363"/>
      <c r="U124" s="363"/>
      <c r="V124" s="363"/>
      <c r="W124" s="363"/>
      <c r="X124" s="363"/>
      <c r="Y124" s="363"/>
      <c r="Z124" s="363"/>
      <c r="AA124" s="363"/>
      <c r="AB124" s="363"/>
      <c r="AC124" s="363"/>
      <c r="AD124" s="363"/>
      <c r="AE124" s="363"/>
      <c r="AF124" s="363"/>
      <c r="AG124" s="363"/>
      <c r="AH124" s="363"/>
      <c r="AI124" s="363"/>
      <c r="AJ124" s="363"/>
      <c r="AK124" s="363"/>
      <c r="AL124" s="363"/>
      <c r="AM124" s="363"/>
      <c r="AN124" s="363"/>
      <c r="AO124" s="363"/>
      <c r="AP124" s="363"/>
      <c r="AQ124" s="363"/>
      <c r="AR124" s="363"/>
      <c r="AS124" s="363"/>
      <c r="AT124" s="363"/>
    </row>
    <row r="125" spans="1:46" ht="16.5" x14ac:dyDescent="0.25">
      <c r="A125" s="365">
        <v>18</v>
      </c>
      <c r="B125" s="372" t="s">
        <v>942</v>
      </c>
      <c r="C125" s="363"/>
      <c r="D125" s="363"/>
      <c r="E125" s="363"/>
      <c r="F125" s="363"/>
      <c r="G125" s="363"/>
      <c r="H125" s="363"/>
      <c r="I125" s="363"/>
      <c r="J125" s="363"/>
      <c r="K125" s="363"/>
      <c r="L125" s="363"/>
      <c r="M125" s="363"/>
      <c r="N125" s="363"/>
      <c r="O125" s="363"/>
      <c r="P125" s="363"/>
      <c r="Q125" s="363"/>
      <c r="R125" s="363"/>
      <c r="S125" s="363"/>
      <c r="T125" s="363"/>
      <c r="U125" s="363"/>
      <c r="V125" s="363"/>
      <c r="W125" s="363"/>
      <c r="X125" s="363"/>
      <c r="Y125" s="363"/>
      <c r="Z125" s="363"/>
      <c r="AA125" s="363"/>
      <c r="AB125" s="363"/>
      <c r="AC125" s="363"/>
      <c r="AD125" s="363"/>
      <c r="AE125" s="363"/>
      <c r="AF125" s="363"/>
      <c r="AG125" s="363"/>
      <c r="AH125" s="363"/>
      <c r="AI125" s="363"/>
      <c r="AJ125" s="363"/>
      <c r="AK125" s="363"/>
      <c r="AL125" s="363"/>
      <c r="AM125" s="363"/>
      <c r="AN125" s="363"/>
      <c r="AO125" s="363"/>
      <c r="AP125" s="363"/>
      <c r="AQ125" s="363"/>
      <c r="AR125" s="363"/>
      <c r="AS125" s="363"/>
      <c r="AT125" s="363"/>
    </row>
    <row r="126" spans="1:46" ht="16.5" x14ac:dyDescent="0.25">
      <c r="A126" s="365">
        <v>19</v>
      </c>
      <c r="B126" s="372" t="s">
        <v>956</v>
      </c>
      <c r="C126" s="363"/>
      <c r="D126" s="363"/>
      <c r="E126" s="363"/>
      <c r="F126" s="363"/>
      <c r="G126" s="363"/>
      <c r="H126" s="363"/>
      <c r="I126" s="363"/>
      <c r="J126" s="363"/>
      <c r="K126" s="363"/>
      <c r="L126" s="363"/>
      <c r="M126" s="363"/>
      <c r="N126" s="363"/>
      <c r="O126" s="363"/>
      <c r="P126" s="363"/>
      <c r="Q126" s="363"/>
      <c r="R126" s="363"/>
      <c r="S126" s="363"/>
      <c r="T126" s="363"/>
      <c r="U126" s="363"/>
      <c r="V126" s="363"/>
      <c r="W126" s="363"/>
      <c r="X126" s="363"/>
      <c r="Y126" s="363"/>
      <c r="Z126" s="363"/>
      <c r="AA126" s="363"/>
      <c r="AB126" s="363"/>
      <c r="AC126" s="363"/>
      <c r="AD126" s="363"/>
      <c r="AE126" s="363"/>
      <c r="AF126" s="363"/>
      <c r="AG126" s="363"/>
      <c r="AH126" s="363"/>
      <c r="AI126" s="363"/>
      <c r="AJ126" s="363"/>
      <c r="AK126" s="363"/>
      <c r="AL126" s="363"/>
      <c r="AM126" s="363"/>
      <c r="AN126" s="363"/>
      <c r="AO126" s="363"/>
      <c r="AP126" s="363"/>
      <c r="AQ126" s="363"/>
      <c r="AR126" s="363"/>
      <c r="AS126" s="363"/>
      <c r="AT126" s="363"/>
    </row>
    <row r="127" spans="1:46" ht="16.5" x14ac:dyDescent="0.25">
      <c r="A127" s="365">
        <v>20</v>
      </c>
      <c r="B127" s="372" t="s">
        <v>943</v>
      </c>
      <c r="C127" s="363"/>
      <c r="D127" s="363"/>
      <c r="E127" s="363"/>
      <c r="F127" s="363"/>
      <c r="G127" s="363"/>
      <c r="H127" s="363"/>
      <c r="I127" s="363"/>
      <c r="J127" s="363"/>
      <c r="K127" s="363"/>
      <c r="L127" s="363"/>
      <c r="M127" s="363"/>
      <c r="N127" s="363"/>
      <c r="O127" s="363"/>
      <c r="P127" s="363"/>
      <c r="Q127" s="363"/>
      <c r="R127" s="363"/>
      <c r="S127" s="363"/>
      <c r="T127" s="363"/>
      <c r="U127" s="363"/>
      <c r="V127" s="363"/>
      <c r="W127" s="363"/>
      <c r="X127" s="363"/>
      <c r="Y127" s="363"/>
      <c r="Z127" s="363"/>
      <c r="AA127" s="363"/>
      <c r="AB127" s="363"/>
      <c r="AC127" s="363"/>
      <c r="AD127" s="363"/>
      <c r="AE127" s="363"/>
      <c r="AF127" s="363"/>
      <c r="AG127" s="363"/>
      <c r="AH127" s="363"/>
      <c r="AI127" s="363"/>
      <c r="AJ127" s="363"/>
      <c r="AK127" s="363"/>
      <c r="AL127" s="363"/>
      <c r="AM127" s="363"/>
      <c r="AN127" s="363"/>
      <c r="AO127" s="363"/>
      <c r="AP127" s="363"/>
      <c r="AQ127" s="363"/>
      <c r="AR127" s="363"/>
      <c r="AS127" s="363"/>
      <c r="AT127" s="363"/>
    </row>
    <row r="128" spans="1:46" ht="16.5" x14ac:dyDescent="0.25">
      <c r="A128" s="365">
        <v>21</v>
      </c>
      <c r="B128" s="372" t="s">
        <v>944</v>
      </c>
      <c r="C128" s="363"/>
      <c r="D128" s="363"/>
      <c r="E128" s="363"/>
      <c r="F128" s="363"/>
      <c r="G128" s="363"/>
      <c r="H128" s="363"/>
      <c r="I128" s="363"/>
      <c r="J128" s="363"/>
      <c r="K128" s="363"/>
      <c r="L128" s="363"/>
      <c r="M128" s="363"/>
      <c r="N128" s="363"/>
      <c r="O128" s="363"/>
      <c r="P128" s="363"/>
      <c r="Q128" s="363"/>
      <c r="R128" s="363"/>
      <c r="S128" s="363"/>
      <c r="T128" s="363"/>
      <c r="U128" s="363"/>
      <c r="V128" s="363"/>
      <c r="W128" s="363"/>
      <c r="X128" s="363"/>
      <c r="Y128" s="363"/>
      <c r="Z128" s="363"/>
      <c r="AA128" s="363"/>
      <c r="AB128" s="363"/>
      <c r="AC128" s="363"/>
      <c r="AD128" s="363"/>
      <c r="AE128" s="363"/>
      <c r="AF128" s="363"/>
      <c r="AG128" s="363"/>
      <c r="AH128" s="363"/>
      <c r="AI128" s="363"/>
      <c r="AJ128" s="363"/>
      <c r="AK128" s="363"/>
      <c r="AL128" s="363"/>
      <c r="AM128" s="363"/>
      <c r="AN128" s="363"/>
      <c r="AO128" s="363"/>
      <c r="AP128" s="363"/>
      <c r="AQ128" s="363"/>
      <c r="AR128" s="363"/>
      <c r="AS128" s="363"/>
      <c r="AT128" s="363"/>
    </row>
    <row r="129" spans="1:46" ht="16.5" x14ac:dyDescent="0.25">
      <c r="A129" s="365">
        <v>22</v>
      </c>
      <c r="B129" s="372" t="s">
        <v>957</v>
      </c>
      <c r="C129" s="363"/>
      <c r="D129" s="363"/>
      <c r="E129" s="363"/>
      <c r="F129" s="363"/>
      <c r="G129" s="363"/>
      <c r="H129" s="363"/>
      <c r="I129" s="363"/>
      <c r="J129" s="363"/>
      <c r="K129" s="363"/>
      <c r="L129" s="363"/>
      <c r="M129" s="363"/>
      <c r="N129" s="363"/>
      <c r="O129" s="363"/>
      <c r="P129" s="363"/>
      <c r="Q129" s="363"/>
      <c r="R129" s="363"/>
      <c r="S129" s="363"/>
      <c r="T129" s="363"/>
      <c r="U129" s="363"/>
      <c r="V129" s="363"/>
      <c r="W129" s="363"/>
      <c r="X129" s="363"/>
      <c r="Y129" s="363"/>
      <c r="Z129" s="363"/>
      <c r="AA129" s="363"/>
      <c r="AB129" s="363"/>
      <c r="AC129" s="363"/>
      <c r="AD129" s="363"/>
      <c r="AE129" s="363"/>
      <c r="AF129" s="363"/>
      <c r="AG129" s="363"/>
      <c r="AH129" s="363"/>
      <c r="AI129" s="363"/>
      <c r="AJ129" s="363"/>
      <c r="AK129" s="363"/>
      <c r="AL129" s="363"/>
      <c r="AM129" s="363"/>
      <c r="AN129" s="363"/>
      <c r="AO129" s="363"/>
      <c r="AP129" s="363"/>
      <c r="AQ129" s="363"/>
      <c r="AR129" s="363"/>
      <c r="AS129" s="363"/>
      <c r="AT129" s="363"/>
    </row>
    <row r="130" spans="1:46" ht="16.5" x14ac:dyDescent="0.25">
      <c r="A130" s="365">
        <v>23</v>
      </c>
      <c r="B130" s="372" t="s">
        <v>945</v>
      </c>
      <c r="C130" s="363"/>
      <c r="D130" s="363"/>
      <c r="E130" s="363"/>
      <c r="F130" s="363"/>
      <c r="G130" s="363"/>
      <c r="H130" s="363"/>
      <c r="I130" s="363"/>
      <c r="J130" s="363"/>
      <c r="K130" s="363"/>
      <c r="L130" s="363"/>
      <c r="M130" s="363"/>
      <c r="N130" s="363"/>
      <c r="O130" s="363"/>
      <c r="P130" s="363"/>
      <c r="Q130" s="363"/>
      <c r="R130" s="363"/>
      <c r="S130" s="363"/>
      <c r="T130" s="363"/>
      <c r="U130" s="363"/>
      <c r="V130" s="363"/>
      <c r="W130" s="363"/>
      <c r="X130" s="363"/>
      <c r="Y130" s="363"/>
      <c r="Z130" s="363"/>
      <c r="AA130" s="363"/>
      <c r="AB130" s="363"/>
      <c r="AC130" s="363"/>
      <c r="AD130" s="363"/>
      <c r="AE130" s="363"/>
      <c r="AF130" s="363"/>
      <c r="AG130" s="363"/>
      <c r="AH130" s="363"/>
      <c r="AI130" s="363"/>
      <c r="AJ130" s="363"/>
      <c r="AK130" s="363"/>
      <c r="AL130" s="363"/>
      <c r="AM130" s="363"/>
      <c r="AN130" s="363"/>
      <c r="AO130" s="363"/>
      <c r="AP130" s="363"/>
      <c r="AQ130" s="363"/>
      <c r="AR130" s="363"/>
      <c r="AS130" s="363"/>
      <c r="AT130" s="363"/>
    </row>
    <row r="131" spans="1:46" ht="16.5" x14ac:dyDescent="0.25">
      <c r="A131" s="365">
        <v>24</v>
      </c>
      <c r="B131" s="372" t="s">
        <v>958</v>
      </c>
      <c r="C131" s="363"/>
      <c r="D131" s="363"/>
      <c r="E131" s="363"/>
      <c r="F131" s="363"/>
      <c r="G131" s="363"/>
      <c r="H131" s="363"/>
      <c r="I131" s="363"/>
      <c r="J131" s="363"/>
      <c r="K131" s="363"/>
      <c r="L131" s="363"/>
      <c r="M131" s="363"/>
      <c r="N131" s="363"/>
      <c r="O131" s="363"/>
      <c r="P131" s="363"/>
      <c r="Q131" s="363"/>
      <c r="R131" s="363"/>
      <c r="S131" s="363"/>
      <c r="T131" s="363"/>
      <c r="U131" s="363"/>
      <c r="V131" s="363"/>
      <c r="W131" s="363"/>
      <c r="X131" s="363"/>
      <c r="Y131" s="363"/>
      <c r="Z131" s="363"/>
      <c r="AA131" s="363"/>
      <c r="AB131" s="363"/>
      <c r="AC131" s="363"/>
      <c r="AD131" s="363"/>
      <c r="AE131" s="363"/>
      <c r="AF131" s="363"/>
      <c r="AG131" s="363"/>
      <c r="AH131" s="363"/>
      <c r="AI131" s="363"/>
      <c r="AJ131" s="363"/>
      <c r="AK131" s="363"/>
      <c r="AL131" s="363"/>
      <c r="AM131" s="363"/>
      <c r="AN131" s="363"/>
      <c r="AO131" s="363"/>
      <c r="AP131" s="363"/>
      <c r="AQ131" s="363"/>
      <c r="AR131" s="363"/>
      <c r="AS131" s="363"/>
      <c r="AT131" s="363"/>
    </row>
    <row r="132" spans="1:46" ht="16.5" x14ac:dyDescent="0.25">
      <c r="A132" s="365">
        <v>25</v>
      </c>
      <c r="B132" s="372" t="s">
        <v>946</v>
      </c>
      <c r="C132" s="363"/>
      <c r="D132" s="363"/>
      <c r="E132" s="363"/>
      <c r="F132" s="363"/>
      <c r="G132" s="363"/>
      <c r="H132" s="363"/>
      <c r="I132" s="363"/>
      <c r="J132" s="363"/>
      <c r="K132" s="363"/>
      <c r="L132" s="363"/>
      <c r="M132" s="363"/>
      <c r="N132" s="363"/>
      <c r="O132" s="363"/>
      <c r="P132" s="363"/>
      <c r="Q132" s="363"/>
      <c r="R132" s="363"/>
      <c r="S132" s="363"/>
      <c r="T132" s="363"/>
      <c r="U132" s="363"/>
      <c r="V132" s="363"/>
      <c r="W132" s="363"/>
      <c r="X132" s="363"/>
      <c r="Y132" s="363"/>
      <c r="Z132" s="363"/>
      <c r="AA132" s="363"/>
      <c r="AB132" s="363"/>
      <c r="AC132" s="363"/>
      <c r="AD132" s="363"/>
      <c r="AE132" s="363"/>
      <c r="AF132" s="363"/>
      <c r="AG132" s="363"/>
      <c r="AH132" s="363"/>
      <c r="AI132" s="363"/>
      <c r="AJ132" s="363"/>
      <c r="AK132" s="363"/>
      <c r="AL132" s="363"/>
      <c r="AM132" s="363"/>
      <c r="AN132" s="363"/>
      <c r="AO132" s="363"/>
      <c r="AP132" s="363"/>
      <c r="AQ132" s="363"/>
      <c r="AR132" s="363"/>
      <c r="AS132" s="363"/>
      <c r="AT132" s="363"/>
    </row>
    <row r="133" spans="1:46" ht="16.5" x14ac:dyDescent="0.25">
      <c r="A133" s="365">
        <v>26</v>
      </c>
      <c r="B133" s="372" t="s">
        <v>947</v>
      </c>
      <c r="C133" s="363"/>
      <c r="D133" s="363"/>
      <c r="E133" s="363"/>
      <c r="F133" s="363"/>
      <c r="G133" s="363"/>
      <c r="H133" s="363"/>
      <c r="I133" s="363"/>
      <c r="J133" s="363"/>
      <c r="K133" s="363"/>
      <c r="L133" s="363"/>
      <c r="M133" s="363"/>
      <c r="N133" s="363"/>
      <c r="O133" s="363"/>
      <c r="P133" s="363"/>
      <c r="Q133" s="363"/>
      <c r="R133" s="363"/>
      <c r="S133" s="363"/>
      <c r="T133" s="363"/>
      <c r="U133" s="363"/>
      <c r="V133" s="363"/>
      <c r="W133" s="363"/>
      <c r="X133" s="363"/>
      <c r="Y133" s="363"/>
      <c r="Z133" s="363"/>
      <c r="AA133" s="363"/>
      <c r="AB133" s="363"/>
      <c r="AC133" s="363"/>
      <c r="AD133" s="363"/>
      <c r="AE133" s="363"/>
      <c r="AF133" s="363"/>
      <c r="AG133" s="363"/>
      <c r="AH133" s="363"/>
      <c r="AI133" s="363"/>
      <c r="AJ133" s="363"/>
      <c r="AK133" s="363"/>
      <c r="AL133" s="363"/>
      <c r="AM133" s="363"/>
      <c r="AN133" s="363"/>
      <c r="AO133" s="363"/>
      <c r="AP133" s="363"/>
      <c r="AQ133" s="363"/>
      <c r="AR133" s="363"/>
      <c r="AS133" s="363"/>
      <c r="AT133" s="363"/>
    </row>
    <row r="134" spans="1:46" ht="16.5" x14ac:dyDescent="0.25">
      <c r="A134" s="365">
        <v>27</v>
      </c>
      <c r="B134" s="372" t="s">
        <v>959</v>
      </c>
      <c r="C134" s="363"/>
      <c r="D134" s="363"/>
      <c r="E134" s="363"/>
      <c r="F134" s="363"/>
      <c r="G134" s="363"/>
      <c r="H134" s="363"/>
      <c r="I134" s="363"/>
      <c r="J134" s="363"/>
      <c r="K134" s="363"/>
      <c r="L134" s="363"/>
      <c r="M134" s="363"/>
      <c r="N134" s="363"/>
      <c r="O134" s="363"/>
      <c r="P134" s="363"/>
      <c r="Q134" s="363"/>
      <c r="R134" s="363"/>
      <c r="S134" s="363"/>
      <c r="T134" s="363"/>
      <c r="U134" s="363"/>
      <c r="V134" s="363"/>
      <c r="W134" s="363"/>
      <c r="X134" s="363"/>
      <c r="Y134" s="363"/>
      <c r="Z134" s="363"/>
      <c r="AA134" s="363"/>
      <c r="AB134" s="363"/>
      <c r="AC134" s="363"/>
      <c r="AD134" s="363"/>
      <c r="AE134" s="363"/>
      <c r="AF134" s="363"/>
      <c r="AG134" s="363"/>
      <c r="AH134" s="363"/>
      <c r="AI134" s="363"/>
      <c r="AJ134" s="363"/>
      <c r="AK134" s="363"/>
      <c r="AL134" s="363"/>
      <c r="AM134" s="363"/>
      <c r="AN134" s="363"/>
      <c r="AO134" s="363"/>
      <c r="AP134" s="363"/>
      <c r="AQ134" s="363"/>
      <c r="AR134" s="363"/>
      <c r="AS134" s="363"/>
      <c r="AT134" s="363"/>
    </row>
    <row r="135" spans="1:46" ht="16.5" x14ac:dyDescent="0.25">
      <c r="A135" s="365">
        <v>28</v>
      </c>
      <c r="B135" s="372" t="s">
        <v>960</v>
      </c>
      <c r="C135" s="363"/>
      <c r="D135" s="363"/>
      <c r="E135" s="363"/>
      <c r="F135" s="363"/>
      <c r="G135" s="363"/>
      <c r="H135" s="363"/>
      <c r="I135" s="363"/>
      <c r="J135" s="363"/>
      <c r="K135" s="363"/>
      <c r="L135" s="363"/>
      <c r="M135" s="363"/>
      <c r="N135" s="363"/>
      <c r="O135" s="363"/>
      <c r="P135" s="363"/>
      <c r="Q135" s="363"/>
      <c r="R135" s="363"/>
      <c r="S135" s="363"/>
      <c r="T135" s="363"/>
      <c r="U135" s="363"/>
      <c r="V135" s="363"/>
      <c r="W135" s="363"/>
      <c r="X135" s="363"/>
      <c r="Y135" s="363"/>
      <c r="Z135" s="363"/>
      <c r="AA135" s="363"/>
      <c r="AB135" s="363"/>
      <c r="AC135" s="363"/>
      <c r="AD135" s="363"/>
      <c r="AE135" s="363"/>
      <c r="AF135" s="363"/>
      <c r="AG135" s="363"/>
      <c r="AH135" s="363"/>
      <c r="AI135" s="363"/>
      <c r="AJ135" s="363"/>
      <c r="AK135" s="363"/>
      <c r="AL135" s="363"/>
      <c r="AM135" s="363"/>
      <c r="AN135" s="363"/>
      <c r="AO135" s="363"/>
      <c r="AP135" s="363"/>
      <c r="AQ135" s="363"/>
      <c r="AR135" s="363"/>
      <c r="AS135" s="363"/>
      <c r="AT135" s="363"/>
    </row>
    <row r="136" spans="1:46" ht="16.5" x14ac:dyDescent="0.25">
      <c r="A136" s="365">
        <v>29</v>
      </c>
      <c r="B136" s="372" t="s">
        <v>948</v>
      </c>
      <c r="C136" s="363"/>
      <c r="D136" s="363"/>
      <c r="E136" s="363"/>
      <c r="F136" s="363"/>
      <c r="G136" s="363"/>
      <c r="H136" s="363"/>
      <c r="I136" s="363"/>
      <c r="J136" s="363"/>
      <c r="K136" s="363"/>
      <c r="L136" s="363"/>
      <c r="M136" s="363"/>
      <c r="N136" s="363"/>
      <c r="O136" s="363"/>
      <c r="P136" s="363"/>
      <c r="Q136" s="363"/>
      <c r="R136" s="363"/>
      <c r="S136" s="363"/>
      <c r="T136" s="363"/>
      <c r="U136" s="363"/>
      <c r="V136" s="363"/>
      <c r="W136" s="363"/>
      <c r="X136" s="363"/>
      <c r="Y136" s="363"/>
      <c r="Z136" s="363"/>
      <c r="AA136" s="363"/>
      <c r="AB136" s="363"/>
      <c r="AC136" s="363"/>
      <c r="AD136" s="363"/>
      <c r="AE136" s="363"/>
      <c r="AF136" s="363"/>
      <c r="AG136" s="363"/>
      <c r="AH136" s="363"/>
      <c r="AI136" s="363"/>
      <c r="AJ136" s="363"/>
      <c r="AK136" s="363"/>
      <c r="AL136" s="363"/>
      <c r="AM136" s="363"/>
      <c r="AN136" s="363"/>
      <c r="AO136" s="363"/>
      <c r="AP136" s="363"/>
      <c r="AQ136" s="363"/>
      <c r="AR136" s="363"/>
      <c r="AS136" s="363"/>
      <c r="AT136" s="363"/>
    </row>
    <row r="137" spans="1:46" ht="16.5" x14ac:dyDescent="0.25">
      <c r="A137" s="365">
        <v>30</v>
      </c>
      <c r="B137" s="372" t="s">
        <v>961</v>
      </c>
      <c r="C137" s="363"/>
      <c r="D137" s="363"/>
      <c r="E137" s="363"/>
      <c r="F137" s="363"/>
      <c r="G137" s="363"/>
      <c r="H137" s="363"/>
      <c r="I137" s="363"/>
      <c r="J137" s="363"/>
      <c r="K137" s="363"/>
      <c r="L137" s="363"/>
      <c r="M137" s="363"/>
      <c r="N137" s="363"/>
      <c r="O137" s="363"/>
      <c r="P137" s="363"/>
      <c r="Q137" s="363"/>
      <c r="R137" s="363"/>
      <c r="S137" s="363"/>
      <c r="T137" s="363"/>
      <c r="U137" s="363"/>
      <c r="V137" s="363"/>
      <c r="W137" s="363"/>
      <c r="X137" s="363"/>
      <c r="Y137" s="363"/>
      <c r="Z137" s="363"/>
      <c r="AA137" s="363"/>
      <c r="AB137" s="363"/>
      <c r="AC137" s="363"/>
      <c r="AD137" s="363"/>
      <c r="AE137" s="363"/>
      <c r="AF137" s="363"/>
      <c r="AG137" s="363"/>
      <c r="AH137" s="363"/>
      <c r="AI137" s="363"/>
      <c r="AJ137" s="363"/>
      <c r="AK137" s="363"/>
      <c r="AL137" s="363"/>
      <c r="AM137" s="363"/>
      <c r="AN137" s="363"/>
      <c r="AO137" s="363"/>
      <c r="AP137" s="363"/>
      <c r="AQ137" s="363"/>
      <c r="AR137" s="363"/>
      <c r="AS137" s="363"/>
      <c r="AT137" s="363"/>
    </row>
    <row r="138" spans="1:46" ht="16.5" x14ac:dyDescent="0.25">
      <c r="A138" s="365">
        <v>31</v>
      </c>
      <c r="B138" s="372" t="s">
        <v>949</v>
      </c>
      <c r="C138" s="363"/>
      <c r="D138" s="363"/>
      <c r="E138" s="363"/>
      <c r="F138" s="363"/>
      <c r="G138" s="363"/>
      <c r="H138" s="363"/>
      <c r="I138" s="363"/>
      <c r="J138" s="363"/>
      <c r="K138" s="363"/>
      <c r="L138" s="363"/>
      <c r="M138" s="363"/>
      <c r="N138" s="363"/>
      <c r="O138" s="363"/>
      <c r="P138" s="363"/>
      <c r="Q138" s="363"/>
      <c r="R138" s="363"/>
      <c r="S138" s="363"/>
      <c r="T138" s="363"/>
      <c r="U138" s="363"/>
      <c r="V138" s="363"/>
      <c r="W138" s="363"/>
      <c r="X138" s="363"/>
      <c r="Y138" s="363"/>
      <c r="Z138" s="363"/>
      <c r="AA138" s="363"/>
      <c r="AB138" s="363"/>
      <c r="AC138" s="363"/>
      <c r="AD138" s="363"/>
      <c r="AE138" s="363"/>
      <c r="AF138" s="363"/>
      <c r="AG138" s="363"/>
      <c r="AH138" s="363"/>
      <c r="AI138" s="363"/>
      <c r="AJ138" s="363"/>
      <c r="AK138" s="363"/>
      <c r="AL138" s="363"/>
      <c r="AM138" s="363"/>
      <c r="AN138" s="363"/>
      <c r="AO138" s="363"/>
      <c r="AP138" s="363"/>
      <c r="AQ138" s="363"/>
      <c r="AR138" s="363"/>
      <c r="AS138" s="363"/>
      <c r="AT138" s="363"/>
    </row>
    <row r="139" spans="1:46" ht="16.5" x14ac:dyDescent="0.25">
      <c r="A139" s="367">
        <v>32</v>
      </c>
      <c r="B139" s="372" t="s">
        <v>950</v>
      </c>
      <c r="C139" s="363"/>
      <c r="D139" s="363"/>
      <c r="E139" s="363"/>
      <c r="F139" s="363"/>
      <c r="G139" s="363"/>
      <c r="H139" s="363"/>
      <c r="I139" s="363"/>
      <c r="J139" s="363"/>
      <c r="K139" s="363"/>
      <c r="L139" s="363"/>
      <c r="M139" s="363"/>
      <c r="N139" s="363"/>
      <c r="O139" s="363"/>
      <c r="P139" s="363"/>
      <c r="Q139" s="363"/>
      <c r="R139" s="363"/>
      <c r="S139" s="363"/>
      <c r="T139" s="363"/>
      <c r="U139" s="363"/>
      <c r="V139" s="363"/>
      <c r="W139" s="363"/>
      <c r="X139" s="363"/>
      <c r="Y139" s="363"/>
      <c r="Z139" s="363"/>
      <c r="AA139" s="363"/>
      <c r="AB139" s="363"/>
      <c r="AC139" s="363"/>
      <c r="AD139" s="363"/>
      <c r="AE139" s="363"/>
      <c r="AF139" s="363"/>
      <c r="AG139" s="363"/>
      <c r="AH139" s="363"/>
      <c r="AI139" s="363"/>
      <c r="AJ139" s="363"/>
      <c r="AK139" s="363"/>
      <c r="AL139" s="363"/>
      <c r="AM139" s="363"/>
      <c r="AN139" s="363"/>
      <c r="AO139" s="363"/>
      <c r="AP139" s="363"/>
      <c r="AQ139" s="363"/>
      <c r="AR139" s="363"/>
      <c r="AS139" s="363"/>
      <c r="AT139" s="363"/>
    </row>
    <row r="140" spans="1:46" ht="16.5" x14ac:dyDescent="0.25">
      <c r="A140" s="367">
        <v>33</v>
      </c>
      <c r="B140" s="372" t="s">
        <v>962</v>
      </c>
      <c r="C140" s="363"/>
      <c r="D140" s="363"/>
      <c r="E140" s="363"/>
      <c r="F140" s="363"/>
      <c r="G140" s="363"/>
      <c r="H140" s="363"/>
      <c r="I140" s="363"/>
      <c r="J140" s="363"/>
      <c r="K140" s="363"/>
      <c r="L140" s="363"/>
      <c r="M140" s="363"/>
      <c r="N140" s="363"/>
      <c r="O140" s="363"/>
      <c r="P140" s="363"/>
      <c r="Q140" s="363"/>
      <c r="R140" s="363"/>
      <c r="S140" s="363"/>
      <c r="T140" s="363"/>
      <c r="U140" s="363"/>
      <c r="V140" s="363"/>
      <c r="W140" s="363"/>
      <c r="X140" s="363"/>
      <c r="Y140" s="363"/>
      <c r="Z140" s="363"/>
      <c r="AA140" s="363"/>
      <c r="AB140" s="363"/>
      <c r="AC140" s="363"/>
      <c r="AD140" s="363"/>
      <c r="AE140" s="363"/>
      <c r="AF140" s="363"/>
      <c r="AG140" s="363"/>
      <c r="AH140" s="363"/>
      <c r="AI140" s="363"/>
      <c r="AJ140" s="363"/>
      <c r="AK140" s="363"/>
      <c r="AL140" s="363"/>
      <c r="AM140" s="363"/>
      <c r="AN140" s="363"/>
      <c r="AO140" s="363"/>
      <c r="AP140" s="363"/>
      <c r="AQ140" s="363"/>
      <c r="AR140" s="363"/>
      <c r="AS140" s="363"/>
      <c r="AT140" s="363"/>
    </row>
    <row r="141" spans="1:46" ht="16.5" x14ac:dyDescent="0.25">
      <c r="A141" s="447">
        <v>34</v>
      </c>
      <c r="B141" s="372" t="s">
        <v>951</v>
      </c>
      <c r="C141" s="363"/>
      <c r="D141" s="363"/>
      <c r="E141" s="363"/>
      <c r="F141" s="363"/>
      <c r="G141" s="363"/>
      <c r="H141" s="363"/>
      <c r="I141" s="363"/>
      <c r="J141" s="363"/>
      <c r="K141" s="363"/>
      <c r="L141" s="363"/>
      <c r="M141" s="363"/>
      <c r="N141" s="363"/>
      <c r="O141" s="363"/>
      <c r="P141" s="363"/>
      <c r="Q141" s="363"/>
      <c r="R141" s="363"/>
      <c r="S141" s="363"/>
      <c r="T141" s="363"/>
      <c r="U141" s="363"/>
      <c r="V141" s="363"/>
      <c r="W141" s="363"/>
      <c r="X141" s="363"/>
      <c r="Y141" s="363"/>
      <c r="Z141" s="363"/>
      <c r="AA141" s="363"/>
      <c r="AB141" s="363"/>
      <c r="AC141" s="363"/>
      <c r="AD141" s="363"/>
      <c r="AE141" s="363"/>
      <c r="AF141" s="363"/>
      <c r="AG141" s="363"/>
      <c r="AH141" s="363"/>
      <c r="AI141" s="363"/>
      <c r="AJ141" s="363"/>
      <c r="AK141" s="363"/>
      <c r="AL141" s="363"/>
      <c r="AM141" s="363"/>
      <c r="AN141" s="363"/>
      <c r="AO141" s="363"/>
      <c r="AP141" s="363"/>
      <c r="AQ141" s="363"/>
      <c r="AR141" s="363"/>
      <c r="AS141" s="363"/>
      <c r="AT141" s="363"/>
    </row>
    <row r="142" spans="1:46" ht="16.5" x14ac:dyDescent="0.25">
      <c r="A142" s="367">
        <v>35</v>
      </c>
      <c r="B142" s="372" t="s">
        <v>963</v>
      </c>
      <c r="C142" s="363"/>
      <c r="D142" s="363"/>
      <c r="E142" s="363"/>
      <c r="F142" s="363"/>
      <c r="G142" s="363"/>
      <c r="H142" s="363"/>
      <c r="I142" s="363"/>
      <c r="J142" s="363"/>
      <c r="K142" s="363"/>
      <c r="L142" s="363"/>
      <c r="M142" s="363"/>
      <c r="N142" s="363"/>
      <c r="O142" s="363"/>
      <c r="P142" s="363"/>
      <c r="Q142" s="363"/>
      <c r="R142" s="363"/>
      <c r="S142" s="363"/>
      <c r="T142" s="363"/>
      <c r="U142" s="363"/>
      <c r="V142" s="363"/>
      <c r="W142" s="363"/>
      <c r="X142" s="363"/>
      <c r="Y142" s="363"/>
      <c r="Z142" s="363"/>
      <c r="AA142" s="363"/>
      <c r="AB142" s="363"/>
      <c r="AC142" s="363"/>
      <c r="AD142" s="363"/>
      <c r="AE142" s="363"/>
      <c r="AF142" s="363"/>
      <c r="AG142" s="363"/>
      <c r="AH142" s="363"/>
      <c r="AI142" s="363"/>
      <c r="AJ142" s="363"/>
      <c r="AK142" s="363"/>
      <c r="AL142" s="363"/>
      <c r="AM142" s="363"/>
      <c r="AN142" s="363"/>
      <c r="AO142" s="363"/>
      <c r="AP142" s="363"/>
      <c r="AQ142" s="363"/>
      <c r="AR142" s="363"/>
      <c r="AS142" s="363"/>
      <c r="AT142" s="363"/>
    </row>
    <row r="143" spans="1:46" ht="16.5" x14ac:dyDescent="0.25">
      <c r="A143" s="367">
        <v>36</v>
      </c>
      <c r="B143" s="372" t="s">
        <v>964</v>
      </c>
      <c r="C143" s="363"/>
      <c r="D143" s="363"/>
      <c r="E143" s="363"/>
      <c r="F143" s="363"/>
      <c r="G143" s="363"/>
      <c r="H143" s="363"/>
      <c r="I143" s="363"/>
      <c r="J143" s="363"/>
      <c r="K143" s="363"/>
      <c r="L143" s="363"/>
      <c r="M143" s="363"/>
      <c r="N143" s="363"/>
      <c r="O143" s="363"/>
      <c r="P143" s="363"/>
      <c r="Q143" s="363"/>
      <c r="R143" s="363"/>
      <c r="S143" s="363"/>
      <c r="T143" s="363"/>
      <c r="U143" s="363"/>
      <c r="V143" s="363"/>
      <c r="W143" s="363"/>
      <c r="X143" s="363"/>
      <c r="Y143" s="363"/>
      <c r="Z143" s="363"/>
      <c r="AA143" s="363"/>
      <c r="AB143" s="363"/>
      <c r="AC143" s="363"/>
      <c r="AD143" s="363"/>
      <c r="AE143" s="363"/>
      <c r="AF143" s="363"/>
      <c r="AG143" s="363"/>
      <c r="AH143" s="363"/>
      <c r="AI143" s="363"/>
      <c r="AJ143" s="363"/>
      <c r="AK143" s="363"/>
      <c r="AL143" s="363"/>
      <c r="AM143" s="363"/>
      <c r="AN143" s="363"/>
      <c r="AO143" s="363"/>
      <c r="AP143" s="363"/>
      <c r="AQ143" s="363"/>
      <c r="AR143" s="363"/>
      <c r="AS143" s="363"/>
      <c r="AT143" s="363"/>
    </row>
    <row r="145" spans="1:46" x14ac:dyDescent="0.25">
      <c r="A145" s="369"/>
      <c r="B145" s="369"/>
      <c r="C145" s="369"/>
      <c r="D145" s="369"/>
      <c r="E145" s="369"/>
      <c r="F145" s="369"/>
      <c r="G145" s="369"/>
      <c r="H145" s="369"/>
      <c r="I145" s="369"/>
      <c r="J145" s="369"/>
      <c r="K145" s="369"/>
      <c r="L145" s="369"/>
      <c r="M145" s="369"/>
      <c r="N145" s="369"/>
      <c r="O145" s="369"/>
      <c r="P145" s="369"/>
      <c r="Q145" s="369"/>
      <c r="R145" s="369"/>
      <c r="S145" s="369"/>
      <c r="T145" s="369"/>
      <c r="U145" s="369"/>
      <c r="V145" s="369"/>
      <c r="W145" s="369"/>
      <c r="X145" s="369"/>
      <c r="Y145" s="369"/>
      <c r="Z145" s="369"/>
      <c r="AA145" s="369"/>
      <c r="AB145" s="369"/>
      <c r="AC145" s="369"/>
      <c r="AD145" s="369"/>
      <c r="AE145" s="369"/>
      <c r="AF145" s="369"/>
      <c r="AG145" s="369"/>
      <c r="AH145" s="369"/>
      <c r="AI145" s="369"/>
      <c r="AJ145" s="369"/>
      <c r="AK145" s="369"/>
      <c r="AL145" s="369"/>
      <c r="AM145" s="369"/>
      <c r="AN145" s="369"/>
      <c r="AO145" s="369"/>
      <c r="AP145" s="369"/>
      <c r="AQ145" s="369"/>
      <c r="AR145" s="369"/>
      <c r="AS145" s="369"/>
      <c r="AT145" s="369"/>
    </row>
    <row r="149" spans="1:46" x14ac:dyDescent="0.25">
      <c r="A149" s="444" t="s">
        <v>0</v>
      </c>
      <c r="B149" s="444" t="s">
        <v>27</v>
      </c>
      <c r="C149" s="362" t="s">
        <v>862</v>
      </c>
      <c r="D149" s="438"/>
      <c r="E149" s="438"/>
      <c r="F149" s="438"/>
      <c r="G149" s="438"/>
      <c r="H149" s="438"/>
      <c r="I149" s="438"/>
      <c r="J149" s="438"/>
      <c r="K149" s="438"/>
      <c r="L149" s="438"/>
      <c r="M149" s="438"/>
      <c r="N149" s="438"/>
      <c r="O149" s="438"/>
      <c r="P149" s="438"/>
      <c r="Q149" s="438"/>
      <c r="R149" s="438"/>
      <c r="S149" s="438"/>
      <c r="T149" s="438"/>
      <c r="U149" s="438"/>
      <c r="V149" s="438"/>
      <c r="W149" s="438"/>
      <c r="X149" s="438"/>
      <c r="Y149" s="438"/>
      <c r="Z149" s="438"/>
      <c r="AA149" s="438"/>
      <c r="AB149" s="438"/>
      <c r="AC149" s="438"/>
      <c r="AD149" s="438"/>
      <c r="AE149" s="438"/>
      <c r="AF149" s="438"/>
      <c r="AG149" s="438"/>
      <c r="AH149" s="438"/>
      <c r="AI149" s="438"/>
      <c r="AJ149" s="439"/>
    </row>
    <row r="150" spans="1:46" ht="30" x14ac:dyDescent="0.25">
      <c r="A150" s="446"/>
      <c r="B150" s="446"/>
      <c r="C150" s="363">
        <v>1</v>
      </c>
      <c r="D150" s="363">
        <v>2</v>
      </c>
      <c r="E150" s="363">
        <v>3</v>
      </c>
      <c r="F150" s="363">
        <v>4</v>
      </c>
      <c r="G150" s="363">
        <v>5</v>
      </c>
      <c r="H150" s="363">
        <v>6</v>
      </c>
      <c r="I150" s="363">
        <v>7</v>
      </c>
      <c r="J150" s="363">
        <v>8</v>
      </c>
      <c r="K150" s="363">
        <v>9</v>
      </c>
      <c r="L150" s="363">
        <v>10</v>
      </c>
      <c r="M150" s="363">
        <v>11</v>
      </c>
      <c r="N150" s="363">
        <v>12</v>
      </c>
      <c r="O150" s="363">
        <v>13</v>
      </c>
      <c r="P150" s="363">
        <v>14</v>
      </c>
      <c r="Q150" s="363">
        <v>15</v>
      </c>
      <c r="R150" s="363">
        <v>16</v>
      </c>
      <c r="S150" s="363">
        <v>17</v>
      </c>
      <c r="T150" s="363">
        <v>18</v>
      </c>
      <c r="U150" s="363">
        <v>19</v>
      </c>
      <c r="V150" s="363">
        <v>20</v>
      </c>
      <c r="W150" s="363">
        <v>21</v>
      </c>
      <c r="X150" s="363">
        <v>22</v>
      </c>
      <c r="Y150" s="363">
        <v>23</v>
      </c>
      <c r="Z150" s="363">
        <v>24</v>
      </c>
      <c r="AA150" s="363">
        <v>25</v>
      </c>
      <c r="AB150" s="363">
        <v>26</v>
      </c>
      <c r="AC150" s="363">
        <v>27</v>
      </c>
      <c r="AD150" s="363">
        <v>28</v>
      </c>
      <c r="AE150" s="363">
        <v>29</v>
      </c>
      <c r="AF150" s="363">
        <v>30</v>
      </c>
      <c r="AG150" s="370" t="s">
        <v>859</v>
      </c>
      <c r="AH150" s="363" t="s">
        <v>860</v>
      </c>
      <c r="AI150" s="362" t="s">
        <v>861</v>
      </c>
      <c r="AJ150" s="363" t="s">
        <v>863</v>
      </c>
    </row>
    <row r="151" spans="1:46" x14ac:dyDescent="0.25">
      <c r="A151" s="365">
        <v>1</v>
      </c>
      <c r="B151" s="421" t="s">
        <v>927</v>
      </c>
      <c r="C151" s="253"/>
      <c r="D151" s="253"/>
      <c r="E151" s="253"/>
      <c r="F151" s="253"/>
      <c r="G151" s="253"/>
      <c r="H151" s="253"/>
      <c r="I151" s="253"/>
      <c r="J151" s="253"/>
      <c r="K151" s="253"/>
      <c r="L151" s="253"/>
      <c r="M151" s="253"/>
      <c r="N151" s="253"/>
      <c r="O151" s="253"/>
      <c r="P151" s="253"/>
      <c r="Q151" s="253"/>
      <c r="R151" s="253"/>
      <c r="S151" s="253"/>
      <c r="T151" s="253"/>
      <c r="U151" s="253"/>
      <c r="V151" s="253"/>
      <c r="W151" s="253"/>
      <c r="X151" s="253"/>
      <c r="Y151" s="253"/>
      <c r="Z151" s="253"/>
      <c r="AA151" s="253"/>
      <c r="AB151" s="253"/>
      <c r="AC151" s="253"/>
      <c r="AD151" s="253"/>
      <c r="AE151" s="253"/>
      <c r="AF151" s="253"/>
      <c r="AG151" s="253"/>
      <c r="AH151" s="253"/>
      <c r="AI151" s="253"/>
      <c r="AJ151" s="253"/>
    </row>
    <row r="152" spans="1:46" ht="16.5" x14ac:dyDescent="0.25">
      <c r="A152" s="365">
        <v>2</v>
      </c>
      <c r="B152" s="372" t="s">
        <v>928</v>
      </c>
      <c r="C152" s="253"/>
      <c r="D152" s="253"/>
      <c r="E152" s="253"/>
      <c r="F152" s="253"/>
      <c r="G152" s="253"/>
      <c r="H152" s="253"/>
      <c r="I152" s="253"/>
      <c r="J152" s="253"/>
      <c r="K152" s="253"/>
      <c r="L152" s="253"/>
      <c r="M152" s="253"/>
      <c r="N152" s="253"/>
      <c r="O152" s="253"/>
      <c r="P152" s="253"/>
      <c r="Q152" s="253"/>
      <c r="R152" s="253"/>
      <c r="S152" s="253"/>
      <c r="T152" s="253"/>
      <c r="U152" s="253"/>
      <c r="V152" s="253"/>
      <c r="W152" s="253"/>
      <c r="X152" s="253"/>
      <c r="Y152" s="253"/>
      <c r="Z152" s="253"/>
      <c r="AA152" s="253"/>
      <c r="AB152" s="253"/>
      <c r="AC152" s="253"/>
      <c r="AD152" s="253"/>
      <c r="AE152" s="253"/>
      <c r="AF152" s="253"/>
      <c r="AG152" s="253"/>
      <c r="AH152" s="253"/>
      <c r="AI152" s="253"/>
      <c r="AJ152" s="253"/>
    </row>
    <row r="153" spans="1:46" ht="16.5" x14ac:dyDescent="0.25">
      <c r="A153" s="365">
        <v>3</v>
      </c>
      <c r="B153" s="374" t="s">
        <v>929</v>
      </c>
      <c r="C153" s="253"/>
      <c r="D153" s="253"/>
      <c r="E153" s="253"/>
      <c r="F153" s="253"/>
      <c r="G153" s="253"/>
      <c r="H153" s="253"/>
      <c r="I153" s="253"/>
      <c r="J153" s="253"/>
      <c r="K153" s="253"/>
      <c r="L153" s="253"/>
      <c r="M153" s="253"/>
      <c r="N153" s="253"/>
      <c r="O153" s="253"/>
      <c r="P153" s="253"/>
      <c r="Q153" s="253"/>
      <c r="R153" s="253"/>
      <c r="S153" s="253"/>
      <c r="T153" s="253"/>
      <c r="U153" s="253"/>
      <c r="V153" s="253"/>
      <c r="W153" s="253"/>
      <c r="X153" s="253"/>
      <c r="Y153" s="253"/>
      <c r="Z153" s="253"/>
      <c r="AA153" s="253"/>
      <c r="AB153" s="253"/>
      <c r="AC153" s="253"/>
      <c r="AD153" s="253"/>
      <c r="AE153" s="253"/>
      <c r="AF153" s="253"/>
      <c r="AG153" s="253"/>
      <c r="AH153" s="253"/>
      <c r="AI153" s="253"/>
      <c r="AJ153" s="253"/>
    </row>
    <row r="154" spans="1:46" ht="16.5" x14ac:dyDescent="0.25">
      <c r="A154" s="365">
        <v>4</v>
      </c>
      <c r="B154" s="374" t="s">
        <v>953</v>
      </c>
      <c r="C154" s="253"/>
      <c r="D154" s="253"/>
      <c r="E154" s="253"/>
      <c r="F154" s="253"/>
      <c r="G154" s="253"/>
      <c r="H154" s="253"/>
      <c r="I154" s="253"/>
      <c r="J154" s="253"/>
      <c r="K154" s="253"/>
      <c r="L154" s="253"/>
      <c r="M154" s="253"/>
      <c r="N154" s="253"/>
      <c r="O154" s="253"/>
      <c r="P154" s="253"/>
      <c r="Q154" s="253"/>
      <c r="R154" s="253"/>
      <c r="S154" s="253"/>
      <c r="T154" s="253"/>
      <c r="U154" s="253"/>
      <c r="V154" s="253"/>
      <c r="W154" s="253"/>
      <c r="X154" s="253"/>
      <c r="Y154" s="253"/>
      <c r="Z154" s="253"/>
      <c r="AA154" s="253"/>
      <c r="AB154" s="253"/>
      <c r="AC154" s="253"/>
      <c r="AD154" s="253"/>
      <c r="AE154" s="253"/>
      <c r="AF154" s="253"/>
      <c r="AG154" s="253"/>
      <c r="AH154" s="253"/>
      <c r="AI154" s="253"/>
      <c r="AJ154" s="253"/>
    </row>
    <row r="155" spans="1:46" ht="16.5" x14ac:dyDescent="0.25">
      <c r="A155" s="365">
        <v>5</v>
      </c>
      <c r="B155" s="372" t="s">
        <v>954</v>
      </c>
      <c r="C155" s="253"/>
      <c r="D155" s="253"/>
      <c r="E155" s="253"/>
      <c r="F155" s="253"/>
      <c r="G155" s="253"/>
      <c r="H155" s="253"/>
      <c r="I155" s="253"/>
      <c r="J155" s="253"/>
      <c r="K155" s="253"/>
      <c r="L155" s="253"/>
      <c r="M155" s="253"/>
      <c r="N155" s="253"/>
      <c r="O155" s="253"/>
      <c r="P155" s="253"/>
      <c r="Q155" s="253"/>
      <c r="R155" s="253"/>
      <c r="S155" s="253"/>
      <c r="T155" s="253"/>
      <c r="U155" s="253"/>
      <c r="V155" s="253"/>
      <c r="W155" s="253"/>
      <c r="X155" s="253"/>
      <c r="Y155" s="253"/>
      <c r="Z155" s="253"/>
      <c r="AA155" s="253"/>
      <c r="AB155" s="253"/>
      <c r="AC155" s="253"/>
      <c r="AD155" s="253"/>
      <c r="AE155" s="253"/>
      <c r="AF155" s="253"/>
      <c r="AG155" s="253"/>
      <c r="AH155" s="253"/>
      <c r="AI155" s="253"/>
      <c r="AJ155" s="253"/>
    </row>
    <row r="156" spans="1:46" ht="16.5" x14ac:dyDescent="0.25">
      <c r="A156" s="365">
        <v>6</v>
      </c>
      <c r="B156" s="372" t="s">
        <v>930</v>
      </c>
      <c r="C156" s="253"/>
      <c r="D156" s="253"/>
      <c r="E156" s="253"/>
      <c r="F156" s="253"/>
      <c r="G156" s="253"/>
      <c r="H156" s="253"/>
      <c r="I156" s="253"/>
      <c r="J156" s="253"/>
      <c r="K156" s="253"/>
      <c r="L156" s="253"/>
      <c r="M156" s="253"/>
      <c r="N156" s="253"/>
      <c r="O156" s="253"/>
      <c r="P156" s="253"/>
      <c r="Q156" s="253"/>
      <c r="R156" s="253"/>
      <c r="S156" s="253"/>
      <c r="T156" s="253"/>
      <c r="U156" s="253"/>
      <c r="V156" s="253"/>
      <c r="W156" s="253"/>
      <c r="X156" s="253"/>
      <c r="Y156" s="253"/>
      <c r="Z156" s="253"/>
      <c r="AA156" s="253"/>
      <c r="AB156" s="253"/>
      <c r="AC156" s="253"/>
      <c r="AD156" s="253"/>
      <c r="AE156" s="253"/>
      <c r="AF156" s="253"/>
      <c r="AG156" s="253"/>
      <c r="AH156" s="253"/>
      <c r="AI156" s="253"/>
      <c r="AJ156" s="253"/>
    </row>
    <row r="157" spans="1:46" ht="16.5" x14ac:dyDescent="0.25">
      <c r="A157" s="365">
        <v>7</v>
      </c>
      <c r="B157" s="372" t="s">
        <v>931</v>
      </c>
      <c r="C157" s="253"/>
      <c r="D157" s="253"/>
      <c r="E157" s="253"/>
      <c r="F157" s="253"/>
      <c r="G157" s="253"/>
      <c r="H157" s="253"/>
      <c r="I157" s="253"/>
      <c r="J157" s="253"/>
      <c r="K157" s="253"/>
      <c r="L157" s="253"/>
      <c r="M157" s="253"/>
      <c r="N157" s="253"/>
      <c r="O157" s="253"/>
      <c r="P157" s="253"/>
      <c r="Q157" s="253"/>
      <c r="R157" s="253"/>
      <c r="S157" s="253"/>
      <c r="T157" s="253"/>
      <c r="U157" s="253"/>
      <c r="V157" s="253"/>
      <c r="W157" s="253"/>
      <c r="X157" s="253"/>
      <c r="Y157" s="253"/>
      <c r="Z157" s="253"/>
      <c r="AA157" s="253"/>
      <c r="AB157" s="253"/>
      <c r="AC157" s="253"/>
      <c r="AD157" s="253"/>
      <c r="AE157" s="253"/>
      <c r="AF157" s="253"/>
      <c r="AG157" s="253"/>
      <c r="AH157" s="253"/>
      <c r="AI157" s="253"/>
      <c r="AJ157" s="253"/>
    </row>
    <row r="158" spans="1:46" ht="16.5" x14ac:dyDescent="0.25">
      <c r="A158" s="365">
        <v>8</v>
      </c>
      <c r="B158" s="372" t="s">
        <v>932</v>
      </c>
      <c r="C158" s="253"/>
      <c r="D158" s="253"/>
      <c r="E158" s="253"/>
      <c r="F158" s="253"/>
      <c r="G158" s="253"/>
      <c r="H158" s="253"/>
      <c r="I158" s="253"/>
      <c r="J158" s="253"/>
      <c r="K158" s="253"/>
      <c r="L158" s="253"/>
      <c r="M158" s="253"/>
      <c r="N158" s="253"/>
      <c r="O158" s="253"/>
      <c r="P158" s="253"/>
      <c r="Q158" s="253"/>
      <c r="R158" s="253"/>
      <c r="S158" s="253"/>
      <c r="T158" s="253"/>
      <c r="U158" s="253"/>
      <c r="V158" s="253"/>
      <c r="W158" s="253"/>
      <c r="X158" s="253"/>
      <c r="Y158" s="253"/>
      <c r="Z158" s="253"/>
      <c r="AA158" s="253"/>
      <c r="AB158" s="253"/>
      <c r="AC158" s="253"/>
      <c r="AD158" s="253"/>
      <c r="AE158" s="253"/>
      <c r="AF158" s="253"/>
      <c r="AG158" s="253"/>
      <c r="AH158" s="253"/>
      <c r="AI158" s="253"/>
      <c r="AJ158" s="253"/>
    </row>
    <row r="159" spans="1:46" ht="16.5" x14ac:dyDescent="0.25">
      <c r="A159" s="365">
        <v>9</v>
      </c>
      <c r="B159" s="372" t="s">
        <v>933</v>
      </c>
      <c r="C159" s="253"/>
      <c r="D159" s="253"/>
      <c r="E159" s="253"/>
      <c r="F159" s="253"/>
      <c r="G159" s="253"/>
      <c r="H159" s="253"/>
      <c r="I159" s="253"/>
      <c r="J159" s="253"/>
      <c r="K159" s="253"/>
      <c r="L159" s="253"/>
      <c r="M159" s="253"/>
      <c r="N159" s="253"/>
      <c r="O159" s="253"/>
      <c r="P159" s="253"/>
      <c r="Q159" s="253"/>
      <c r="R159" s="253"/>
      <c r="S159" s="253"/>
      <c r="T159" s="253"/>
      <c r="U159" s="253"/>
      <c r="V159" s="253"/>
      <c r="W159" s="253"/>
      <c r="X159" s="253"/>
      <c r="Y159" s="253"/>
      <c r="Z159" s="253"/>
      <c r="AA159" s="253"/>
      <c r="AB159" s="253"/>
      <c r="AC159" s="253"/>
      <c r="AD159" s="253"/>
      <c r="AE159" s="253"/>
      <c r="AF159" s="253"/>
      <c r="AG159" s="253"/>
      <c r="AH159" s="253"/>
      <c r="AI159" s="253"/>
      <c r="AJ159" s="253"/>
    </row>
    <row r="160" spans="1:46" ht="16.5" x14ac:dyDescent="0.25">
      <c r="A160" s="365">
        <v>10</v>
      </c>
      <c r="B160" s="372" t="s">
        <v>934</v>
      </c>
      <c r="C160" s="253"/>
      <c r="D160" s="253"/>
      <c r="E160" s="253"/>
      <c r="F160" s="253"/>
      <c r="G160" s="253"/>
      <c r="H160" s="253"/>
      <c r="I160" s="253"/>
      <c r="J160" s="253"/>
      <c r="K160" s="253"/>
      <c r="L160" s="253"/>
      <c r="M160" s="253"/>
      <c r="N160" s="253"/>
      <c r="O160" s="253"/>
      <c r="P160" s="253"/>
      <c r="Q160" s="253"/>
      <c r="R160" s="253"/>
      <c r="S160" s="253"/>
      <c r="T160" s="253"/>
      <c r="U160" s="253"/>
      <c r="V160" s="253"/>
      <c r="W160" s="253"/>
      <c r="X160" s="253"/>
      <c r="Y160" s="253"/>
      <c r="Z160" s="253"/>
      <c r="AA160" s="253"/>
      <c r="AB160" s="253"/>
      <c r="AC160" s="253"/>
      <c r="AD160" s="253"/>
      <c r="AE160" s="253"/>
      <c r="AF160" s="253"/>
      <c r="AG160" s="253"/>
      <c r="AH160" s="253"/>
      <c r="AI160" s="253"/>
      <c r="AJ160" s="253"/>
    </row>
    <row r="161" spans="1:37" ht="16.5" x14ac:dyDescent="0.25">
      <c r="A161" s="365">
        <v>11</v>
      </c>
      <c r="B161" s="372" t="s">
        <v>935</v>
      </c>
      <c r="C161" s="253"/>
      <c r="D161" s="253"/>
      <c r="E161" s="253"/>
      <c r="F161" s="253"/>
      <c r="G161" s="253"/>
      <c r="H161" s="253"/>
      <c r="I161" s="253"/>
      <c r="J161" s="253"/>
      <c r="K161" s="253"/>
      <c r="L161" s="253"/>
      <c r="M161" s="253"/>
      <c r="N161" s="253"/>
      <c r="O161" s="253"/>
      <c r="P161" s="253"/>
      <c r="Q161" s="253"/>
      <c r="R161" s="253"/>
      <c r="S161" s="253"/>
      <c r="T161" s="253"/>
      <c r="U161" s="253"/>
      <c r="V161" s="253"/>
      <c r="W161" s="253"/>
      <c r="X161" s="253"/>
      <c r="Y161" s="253"/>
      <c r="Z161" s="253"/>
      <c r="AA161" s="253"/>
      <c r="AB161" s="253"/>
      <c r="AC161" s="253"/>
      <c r="AD161" s="253"/>
      <c r="AE161" s="253"/>
      <c r="AF161" s="253"/>
      <c r="AG161" s="253"/>
      <c r="AH161" s="253"/>
      <c r="AI161" s="253"/>
      <c r="AJ161" s="253"/>
    </row>
    <row r="162" spans="1:37" ht="16.5" x14ac:dyDescent="0.25">
      <c r="A162" s="365">
        <v>12</v>
      </c>
      <c r="B162" s="372" t="s">
        <v>936</v>
      </c>
      <c r="C162" s="253"/>
      <c r="D162" s="253"/>
      <c r="E162" s="253"/>
      <c r="F162" s="253"/>
      <c r="G162" s="253"/>
      <c r="H162" s="253"/>
      <c r="I162" s="253"/>
      <c r="J162" s="253"/>
      <c r="K162" s="253"/>
      <c r="L162" s="253"/>
      <c r="M162" s="253"/>
      <c r="N162" s="253"/>
      <c r="O162" s="253"/>
      <c r="P162" s="253"/>
      <c r="Q162" s="253"/>
      <c r="R162" s="253"/>
      <c r="S162" s="253"/>
      <c r="T162" s="253"/>
      <c r="U162" s="253"/>
      <c r="V162" s="253"/>
      <c r="W162" s="253"/>
      <c r="X162" s="253"/>
      <c r="Y162" s="253"/>
      <c r="Z162" s="253"/>
      <c r="AA162" s="253"/>
      <c r="AB162" s="253"/>
      <c r="AC162" s="253"/>
      <c r="AD162" s="253"/>
      <c r="AE162" s="253"/>
      <c r="AF162" s="253"/>
      <c r="AG162" s="253"/>
      <c r="AH162" s="253"/>
      <c r="AI162" s="253"/>
      <c r="AJ162" s="253"/>
    </row>
    <row r="163" spans="1:37" ht="16.5" x14ac:dyDescent="0.25">
      <c r="A163" s="365">
        <v>13</v>
      </c>
      <c r="B163" s="372" t="s">
        <v>937</v>
      </c>
      <c r="C163" s="253"/>
      <c r="D163" s="253"/>
      <c r="E163" s="253"/>
      <c r="F163" s="253"/>
      <c r="G163" s="253"/>
      <c r="H163" s="253"/>
      <c r="I163" s="253"/>
      <c r="J163" s="253"/>
      <c r="K163" s="253"/>
      <c r="L163" s="253"/>
      <c r="M163" s="253"/>
      <c r="N163" s="253"/>
      <c r="O163" s="253"/>
      <c r="P163" s="253"/>
      <c r="Q163" s="253"/>
      <c r="R163" s="253"/>
      <c r="S163" s="253"/>
      <c r="T163" s="253"/>
      <c r="U163" s="253"/>
      <c r="V163" s="253"/>
      <c r="W163" s="253"/>
      <c r="X163" s="253"/>
      <c r="Y163" s="253"/>
      <c r="Z163" s="253"/>
      <c r="AA163" s="253"/>
      <c r="AB163" s="253"/>
      <c r="AC163" s="253"/>
      <c r="AD163" s="253"/>
      <c r="AE163" s="253"/>
      <c r="AF163" s="253"/>
      <c r="AG163" s="253"/>
      <c r="AH163" s="253"/>
      <c r="AI163" s="253"/>
      <c r="AJ163" s="253"/>
    </row>
    <row r="164" spans="1:37" ht="16.5" x14ac:dyDescent="0.25">
      <c r="A164" s="365">
        <v>14</v>
      </c>
      <c r="B164" s="372" t="s">
        <v>938</v>
      </c>
      <c r="C164" s="253"/>
      <c r="D164" s="253"/>
      <c r="E164" s="253"/>
      <c r="F164" s="253"/>
      <c r="G164" s="253"/>
      <c r="H164" s="253"/>
      <c r="I164" s="253"/>
      <c r="J164" s="253"/>
      <c r="K164" s="253"/>
      <c r="L164" s="253"/>
      <c r="M164" s="253"/>
      <c r="N164" s="253"/>
      <c r="O164" s="253"/>
      <c r="P164" s="253"/>
      <c r="Q164" s="253"/>
      <c r="R164" s="253"/>
      <c r="S164" s="253"/>
      <c r="T164" s="253"/>
      <c r="U164" s="253"/>
      <c r="V164" s="253"/>
      <c r="W164" s="253"/>
      <c r="X164" s="253"/>
      <c r="Y164" s="253"/>
      <c r="Z164" s="253"/>
      <c r="AA164" s="253"/>
      <c r="AB164" s="253"/>
      <c r="AC164" s="253"/>
      <c r="AD164" s="253"/>
      <c r="AE164" s="253"/>
      <c r="AF164" s="253"/>
      <c r="AG164" s="253"/>
      <c r="AH164" s="253"/>
      <c r="AI164" s="253"/>
      <c r="AJ164" s="253"/>
    </row>
    <row r="165" spans="1:37" ht="16.5" x14ac:dyDescent="0.25">
      <c r="A165" s="365">
        <v>15</v>
      </c>
      <c r="B165" s="372" t="s">
        <v>939</v>
      </c>
      <c r="C165" s="253"/>
      <c r="D165" s="253"/>
      <c r="E165" s="253"/>
      <c r="F165" s="253"/>
      <c r="G165" s="253"/>
      <c r="H165" s="253"/>
      <c r="I165" s="253"/>
      <c r="J165" s="253"/>
      <c r="K165" s="253"/>
      <c r="L165" s="253"/>
      <c r="M165" s="253"/>
      <c r="N165" s="253"/>
      <c r="O165" s="253"/>
      <c r="P165" s="253"/>
      <c r="Q165" s="253"/>
      <c r="R165" s="253"/>
      <c r="S165" s="253"/>
      <c r="T165" s="253"/>
      <c r="U165" s="253"/>
      <c r="V165" s="253"/>
      <c r="W165" s="253"/>
      <c r="X165" s="253"/>
      <c r="Y165" s="253"/>
      <c r="Z165" s="253"/>
      <c r="AA165" s="253"/>
      <c r="AB165" s="253"/>
      <c r="AC165" s="253"/>
      <c r="AD165" s="253"/>
      <c r="AE165" s="253"/>
      <c r="AF165" s="253"/>
      <c r="AG165" s="253"/>
      <c r="AH165" s="253"/>
      <c r="AI165" s="253"/>
      <c r="AJ165" s="253"/>
    </row>
    <row r="166" spans="1:37" ht="16.5" x14ac:dyDescent="0.25">
      <c r="A166" s="365">
        <v>16</v>
      </c>
      <c r="B166" s="372" t="s">
        <v>940</v>
      </c>
      <c r="C166" s="253"/>
      <c r="D166" s="253"/>
      <c r="E166" s="253"/>
      <c r="F166" s="253"/>
      <c r="G166" s="253"/>
      <c r="H166" s="253"/>
      <c r="I166" s="253"/>
      <c r="J166" s="253"/>
      <c r="K166" s="253"/>
      <c r="L166" s="253"/>
      <c r="M166" s="253"/>
      <c r="N166" s="253"/>
      <c r="O166" s="253"/>
      <c r="P166" s="253"/>
      <c r="Q166" s="253"/>
      <c r="R166" s="253"/>
      <c r="S166" s="253"/>
      <c r="T166" s="253"/>
      <c r="U166" s="253"/>
      <c r="V166" s="253"/>
      <c r="W166" s="253"/>
      <c r="X166" s="253"/>
      <c r="Y166" s="253"/>
      <c r="Z166" s="253"/>
      <c r="AA166" s="253"/>
      <c r="AB166" s="253"/>
      <c r="AC166" s="253"/>
      <c r="AD166" s="253"/>
      <c r="AE166" s="253"/>
      <c r="AF166" s="253"/>
      <c r="AG166" s="253"/>
      <c r="AH166" s="253"/>
      <c r="AI166" s="253"/>
      <c r="AJ166" s="253"/>
    </row>
    <row r="167" spans="1:37" ht="16.5" x14ac:dyDescent="0.25">
      <c r="A167" s="365">
        <v>17</v>
      </c>
      <c r="B167" s="372" t="s">
        <v>941</v>
      </c>
      <c r="C167" s="253"/>
      <c r="D167" s="253"/>
      <c r="E167" s="253"/>
      <c r="F167" s="253"/>
      <c r="G167" s="253"/>
      <c r="H167" s="253"/>
      <c r="I167" s="253"/>
      <c r="J167" s="253"/>
      <c r="K167" s="253"/>
      <c r="L167" s="253"/>
      <c r="M167" s="253"/>
      <c r="N167" s="253"/>
      <c r="O167" s="253"/>
      <c r="P167" s="253"/>
      <c r="Q167" s="253"/>
      <c r="R167" s="253"/>
      <c r="S167" s="253"/>
      <c r="T167" s="253"/>
      <c r="U167" s="253"/>
      <c r="V167" s="253"/>
      <c r="W167" s="253"/>
      <c r="X167" s="253"/>
      <c r="Y167" s="253"/>
      <c r="Z167" s="253"/>
      <c r="AA167" s="253"/>
      <c r="AB167" s="253"/>
      <c r="AC167" s="253"/>
      <c r="AD167" s="253"/>
      <c r="AE167" s="253"/>
      <c r="AF167" s="253"/>
      <c r="AG167" s="253"/>
      <c r="AH167" s="253"/>
      <c r="AI167" s="253"/>
      <c r="AJ167" s="253"/>
    </row>
    <row r="168" spans="1:37" ht="16.5" x14ac:dyDescent="0.25">
      <c r="A168" s="365">
        <v>18</v>
      </c>
      <c r="B168" s="372" t="s">
        <v>942</v>
      </c>
      <c r="C168" s="253"/>
      <c r="D168" s="253"/>
      <c r="E168" s="253"/>
      <c r="F168" s="253"/>
      <c r="G168" s="253"/>
      <c r="H168" s="253"/>
      <c r="I168" s="253"/>
      <c r="J168" s="253"/>
      <c r="K168" s="253"/>
      <c r="L168" s="253"/>
      <c r="M168" s="253"/>
      <c r="N168" s="253"/>
      <c r="O168" s="253"/>
      <c r="P168" s="253"/>
      <c r="Q168" s="253"/>
      <c r="R168" s="253"/>
      <c r="S168" s="253"/>
      <c r="T168" s="253"/>
      <c r="U168" s="253"/>
      <c r="V168" s="253"/>
      <c r="W168" s="253"/>
      <c r="X168" s="253"/>
      <c r="Y168" s="253"/>
      <c r="Z168" s="253"/>
      <c r="AA168" s="253"/>
      <c r="AB168" s="253"/>
      <c r="AC168" s="253"/>
      <c r="AD168" s="253"/>
      <c r="AE168" s="253"/>
      <c r="AF168" s="253"/>
      <c r="AG168" s="253"/>
      <c r="AH168" s="253"/>
      <c r="AI168" s="253"/>
      <c r="AJ168" s="253"/>
    </row>
    <row r="169" spans="1:37" ht="16.5" x14ac:dyDescent="0.25">
      <c r="A169" s="365">
        <v>19</v>
      </c>
      <c r="B169" s="372" t="s">
        <v>956</v>
      </c>
      <c r="C169" s="253"/>
      <c r="D169" s="253"/>
      <c r="E169" s="253"/>
      <c r="F169" s="253"/>
      <c r="G169" s="253"/>
      <c r="H169" s="253"/>
      <c r="I169" s="253"/>
      <c r="J169" s="253"/>
      <c r="K169" s="253"/>
      <c r="L169" s="253"/>
      <c r="M169" s="253"/>
      <c r="N169" s="253"/>
      <c r="O169" s="253"/>
      <c r="P169" s="253"/>
      <c r="Q169" s="253"/>
      <c r="R169" s="253"/>
      <c r="S169" s="253"/>
      <c r="T169" s="253"/>
      <c r="U169" s="253"/>
      <c r="V169" s="253"/>
      <c r="W169" s="253"/>
      <c r="X169" s="253"/>
      <c r="Y169" s="253"/>
      <c r="Z169" s="253"/>
      <c r="AA169" s="253"/>
      <c r="AB169" s="253"/>
      <c r="AC169" s="253"/>
      <c r="AD169" s="253"/>
      <c r="AE169" s="253"/>
      <c r="AF169" s="253"/>
      <c r="AG169" s="253"/>
      <c r="AH169" s="253"/>
      <c r="AI169" s="253"/>
      <c r="AJ169" s="253"/>
    </row>
    <row r="170" spans="1:37" ht="16.5" x14ac:dyDescent="0.25">
      <c r="A170" s="365">
        <v>20</v>
      </c>
      <c r="B170" s="372" t="s">
        <v>943</v>
      </c>
      <c r="C170" s="253"/>
      <c r="D170" s="253"/>
      <c r="E170" s="253"/>
      <c r="F170" s="253"/>
      <c r="G170" s="253"/>
      <c r="H170" s="253"/>
      <c r="I170" s="253"/>
      <c r="J170" s="253"/>
      <c r="K170" s="253"/>
      <c r="L170" s="253"/>
      <c r="M170" s="253"/>
      <c r="N170" s="253"/>
      <c r="O170" s="253"/>
      <c r="P170" s="253"/>
      <c r="Q170" s="253"/>
      <c r="R170" s="253"/>
      <c r="S170" s="253"/>
      <c r="T170" s="253"/>
      <c r="U170" s="253"/>
      <c r="V170" s="253"/>
      <c r="W170" s="253"/>
      <c r="X170" s="253"/>
      <c r="Y170" s="253"/>
      <c r="Z170" s="253"/>
      <c r="AA170" s="253"/>
      <c r="AB170" s="253"/>
      <c r="AC170" s="253"/>
      <c r="AD170" s="253"/>
      <c r="AE170" s="253"/>
      <c r="AF170" s="253"/>
      <c r="AG170" s="253"/>
      <c r="AH170" s="253"/>
      <c r="AI170" s="253"/>
      <c r="AJ170" s="253"/>
    </row>
    <row r="171" spans="1:37" ht="16.5" x14ac:dyDescent="0.25">
      <c r="A171" s="365">
        <v>21</v>
      </c>
      <c r="B171" s="372" t="s">
        <v>944</v>
      </c>
      <c r="C171" s="253"/>
      <c r="D171" s="253"/>
      <c r="E171" s="253"/>
      <c r="F171" s="253"/>
      <c r="G171" s="253"/>
      <c r="H171" s="253"/>
      <c r="I171" s="253"/>
      <c r="J171" s="253"/>
      <c r="K171" s="253"/>
      <c r="L171" s="253"/>
      <c r="M171" s="253"/>
      <c r="N171" s="253"/>
      <c r="O171" s="253"/>
      <c r="P171" s="253"/>
      <c r="Q171" s="253"/>
      <c r="R171" s="253"/>
      <c r="S171" s="253"/>
      <c r="T171" s="253"/>
      <c r="U171" s="253"/>
      <c r="V171" s="253"/>
      <c r="W171" s="253"/>
      <c r="X171" s="253"/>
      <c r="Y171" s="253"/>
      <c r="Z171" s="253"/>
      <c r="AA171" s="253"/>
      <c r="AB171" s="253"/>
      <c r="AC171" s="253"/>
      <c r="AD171" s="253"/>
      <c r="AE171" s="253"/>
      <c r="AF171" s="253"/>
      <c r="AG171" s="253"/>
      <c r="AH171" s="253"/>
      <c r="AI171" s="253"/>
      <c r="AJ171" s="253"/>
      <c r="AK171" s="369"/>
    </row>
    <row r="172" spans="1:37" ht="16.5" x14ac:dyDescent="0.25">
      <c r="A172" s="365">
        <v>22</v>
      </c>
      <c r="B172" s="372" t="s">
        <v>957</v>
      </c>
      <c r="C172" s="253"/>
      <c r="D172" s="253"/>
      <c r="E172" s="253"/>
      <c r="F172" s="253"/>
      <c r="G172" s="253"/>
      <c r="H172" s="253"/>
      <c r="I172" s="253"/>
      <c r="J172" s="253"/>
      <c r="K172" s="253"/>
      <c r="L172" s="253"/>
      <c r="M172" s="253"/>
      <c r="N172" s="253"/>
      <c r="O172" s="253"/>
      <c r="P172" s="253"/>
      <c r="Q172" s="253"/>
      <c r="R172" s="253"/>
      <c r="S172" s="253"/>
      <c r="T172" s="253"/>
      <c r="U172" s="253"/>
      <c r="V172" s="253"/>
      <c r="W172" s="253"/>
      <c r="X172" s="253"/>
      <c r="Y172" s="253"/>
      <c r="Z172" s="253"/>
      <c r="AA172" s="253"/>
      <c r="AB172" s="253"/>
      <c r="AC172" s="253"/>
      <c r="AD172" s="253"/>
      <c r="AE172" s="253"/>
      <c r="AF172" s="253"/>
      <c r="AG172" s="253"/>
      <c r="AH172" s="253"/>
      <c r="AI172" s="253"/>
      <c r="AJ172" s="253"/>
      <c r="AK172" s="369"/>
    </row>
    <row r="173" spans="1:37" ht="16.5" x14ac:dyDescent="0.25">
      <c r="A173" s="365">
        <v>23</v>
      </c>
      <c r="B173" s="372" t="s">
        <v>945</v>
      </c>
      <c r="C173" s="253"/>
      <c r="D173" s="253"/>
      <c r="E173" s="253"/>
      <c r="F173" s="253"/>
      <c r="G173" s="253"/>
      <c r="H173" s="253"/>
      <c r="I173" s="253"/>
      <c r="J173" s="253"/>
      <c r="K173" s="253"/>
      <c r="L173" s="253"/>
      <c r="M173" s="253"/>
      <c r="N173" s="253"/>
      <c r="O173" s="253"/>
      <c r="P173" s="253"/>
      <c r="Q173" s="253"/>
      <c r="R173" s="253"/>
      <c r="S173" s="253"/>
      <c r="T173" s="253"/>
      <c r="U173" s="253"/>
      <c r="V173" s="253"/>
      <c r="W173" s="253"/>
      <c r="X173" s="253"/>
      <c r="Y173" s="253"/>
      <c r="Z173" s="253"/>
      <c r="AA173" s="253"/>
      <c r="AB173" s="253"/>
      <c r="AC173" s="253"/>
      <c r="AD173" s="253"/>
      <c r="AE173" s="253"/>
      <c r="AF173" s="253"/>
      <c r="AG173" s="253"/>
      <c r="AH173" s="253"/>
      <c r="AI173" s="253"/>
      <c r="AJ173" s="253"/>
      <c r="AK173" s="369"/>
    </row>
    <row r="174" spans="1:37" ht="16.5" x14ac:dyDescent="0.25">
      <c r="A174" s="365">
        <v>24</v>
      </c>
      <c r="B174" s="372" t="s">
        <v>958</v>
      </c>
      <c r="C174" s="253"/>
      <c r="D174" s="253"/>
      <c r="E174" s="253"/>
      <c r="F174" s="253"/>
      <c r="G174" s="253"/>
      <c r="H174" s="253"/>
      <c r="I174" s="253"/>
      <c r="J174" s="253"/>
      <c r="K174" s="253"/>
      <c r="L174" s="253"/>
      <c r="M174" s="253"/>
      <c r="N174" s="253"/>
      <c r="O174" s="253"/>
      <c r="P174" s="253"/>
      <c r="Q174" s="253"/>
      <c r="R174" s="253"/>
      <c r="S174" s="253"/>
      <c r="T174" s="253"/>
      <c r="U174" s="253"/>
      <c r="V174" s="253"/>
      <c r="W174" s="253"/>
      <c r="X174" s="253"/>
      <c r="Y174" s="253"/>
      <c r="Z174" s="253"/>
      <c r="AA174" s="253"/>
      <c r="AB174" s="253"/>
      <c r="AC174" s="253"/>
      <c r="AD174" s="253"/>
      <c r="AE174" s="253"/>
      <c r="AF174" s="253"/>
      <c r="AG174" s="253"/>
      <c r="AH174" s="253"/>
      <c r="AI174" s="253"/>
      <c r="AJ174" s="253"/>
      <c r="AK174" s="369"/>
    </row>
    <row r="175" spans="1:37" ht="16.5" x14ac:dyDescent="0.25">
      <c r="A175" s="365">
        <v>25</v>
      </c>
      <c r="B175" s="372" t="s">
        <v>946</v>
      </c>
      <c r="C175" s="253"/>
      <c r="D175" s="253"/>
      <c r="E175" s="253"/>
      <c r="F175" s="253"/>
      <c r="G175" s="253"/>
      <c r="H175" s="253"/>
      <c r="I175" s="253"/>
      <c r="J175" s="253"/>
      <c r="K175" s="253"/>
      <c r="L175" s="253"/>
      <c r="M175" s="253"/>
      <c r="N175" s="253"/>
      <c r="O175" s="253"/>
      <c r="P175" s="253"/>
      <c r="Q175" s="253"/>
      <c r="R175" s="253"/>
      <c r="S175" s="253"/>
      <c r="T175" s="253"/>
      <c r="U175" s="253"/>
      <c r="V175" s="253"/>
      <c r="W175" s="253"/>
      <c r="X175" s="253"/>
      <c r="Y175" s="253"/>
      <c r="Z175" s="253"/>
      <c r="AA175" s="253"/>
      <c r="AB175" s="253"/>
      <c r="AC175" s="253"/>
      <c r="AD175" s="253"/>
      <c r="AE175" s="253"/>
      <c r="AF175" s="253"/>
      <c r="AG175" s="253"/>
      <c r="AH175" s="253"/>
      <c r="AI175" s="253"/>
      <c r="AJ175" s="253"/>
    </row>
    <row r="176" spans="1:37" ht="16.5" x14ac:dyDescent="0.25">
      <c r="A176" s="365">
        <v>26</v>
      </c>
      <c r="B176" s="372" t="s">
        <v>947</v>
      </c>
      <c r="C176" s="253"/>
      <c r="D176" s="253"/>
      <c r="E176" s="253"/>
      <c r="F176" s="253"/>
      <c r="G176" s="253"/>
      <c r="H176" s="253"/>
      <c r="I176" s="253"/>
      <c r="J176" s="253"/>
      <c r="K176" s="253"/>
      <c r="L176" s="253"/>
      <c r="M176" s="253"/>
      <c r="N176" s="253"/>
      <c r="O176" s="253"/>
      <c r="P176" s="253"/>
      <c r="Q176" s="253"/>
      <c r="R176" s="253"/>
      <c r="S176" s="253"/>
      <c r="T176" s="253"/>
      <c r="U176" s="253"/>
      <c r="V176" s="253"/>
      <c r="W176" s="253"/>
      <c r="X176" s="253"/>
      <c r="Y176" s="253"/>
      <c r="Z176" s="253"/>
      <c r="AA176" s="253"/>
      <c r="AB176" s="253"/>
      <c r="AC176" s="253"/>
      <c r="AD176" s="253"/>
      <c r="AE176" s="253"/>
      <c r="AF176" s="253"/>
      <c r="AG176" s="253"/>
      <c r="AH176" s="253"/>
      <c r="AI176" s="253"/>
      <c r="AJ176" s="253"/>
    </row>
    <row r="177" spans="1:36" ht="16.5" x14ac:dyDescent="0.25">
      <c r="A177" s="365">
        <v>27</v>
      </c>
      <c r="B177" s="372" t="s">
        <v>959</v>
      </c>
      <c r="C177" s="253"/>
      <c r="D177" s="253"/>
      <c r="E177" s="253"/>
      <c r="F177" s="253"/>
      <c r="G177" s="253"/>
      <c r="H177" s="253"/>
      <c r="I177" s="253"/>
      <c r="J177" s="253"/>
      <c r="K177" s="253"/>
      <c r="L177" s="253"/>
      <c r="M177" s="253"/>
      <c r="N177" s="253"/>
      <c r="O177" s="253"/>
      <c r="P177" s="253"/>
      <c r="Q177" s="253"/>
      <c r="R177" s="253"/>
      <c r="S177" s="253"/>
      <c r="T177" s="253"/>
      <c r="U177" s="253"/>
      <c r="V177" s="253"/>
      <c r="W177" s="253"/>
      <c r="X177" s="253"/>
      <c r="Y177" s="253"/>
      <c r="Z177" s="253"/>
      <c r="AA177" s="253"/>
      <c r="AB177" s="253"/>
      <c r="AC177" s="253"/>
      <c r="AD177" s="253"/>
      <c r="AE177" s="253"/>
      <c r="AF177" s="253"/>
      <c r="AG177" s="253"/>
      <c r="AH177" s="253"/>
      <c r="AI177" s="253"/>
      <c r="AJ177" s="253"/>
    </row>
    <row r="178" spans="1:36" ht="16.5" x14ac:dyDescent="0.25">
      <c r="A178" s="365">
        <v>28</v>
      </c>
      <c r="B178" s="372" t="s">
        <v>960</v>
      </c>
      <c r="C178" s="253"/>
      <c r="D178" s="253"/>
      <c r="E178" s="253"/>
      <c r="F178" s="253"/>
      <c r="G178" s="253"/>
      <c r="H178" s="253"/>
      <c r="I178" s="253"/>
      <c r="J178" s="253"/>
      <c r="K178" s="253"/>
      <c r="L178" s="253"/>
      <c r="M178" s="253"/>
      <c r="N178" s="253"/>
      <c r="O178" s="253"/>
      <c r="P178" s="253"/>
      <c r="Q178" s="253"/>
      <c r="R178" s="253"/>
      <c r="S178" s="253"/>
      <c r="T178" s="253"/>
      <c r="U178" s="253"/>
      <c r="V178" s="253"/>
      <c r="W178" s="253"/>
      <c r="X178" s="253"/>
      <c r="Y178" s="253"/>
      <c r="Z178" s="253"/>
      <c r="AA178" s="253"/>
      <c r="AB178" s="253"/>
      <c r="AC178" s="253"/>
      <c r="AD178" s="253"/>
      <c r="AE178" s="253"/>
      <c r="AF178" s="253"/>
      <c r="AG178" s="253"/>
      <c r="AH178" s="253"/>
      <c r="AI178" s="253"/>
      <c r="AJ178" s="253"/>
    </row>
    <row r="179" spans="1:36" ht="16.5" x14ac:dyDescent="0.25">
      <c r="A179" s="365">
        <v>29</v>
      </c>
      <c r="B179" s="372" t="s">
        <v>948</v>
      </c>
      <c r="C179" s="253"/>
      <c r="D179" s="253"/>
      <c r="E179" s="253"/>
      <c r="F179" s="253"/>
      <c r="G179" s="253"/>
      <c r="H179" s="253"/>
      <c r="I179" s="253"/>
      <c r="J179" s="253"/>
      <c r="K179" s="253"/>
      <c r="L179" s="253"/>
      <c r="M179" s="253"/>
      <c r="N179" s="253"/>
      <c r="O179" s="253"/>
      <c r="P179" s="253"/>
      <c r="Q179" s="253"/>
      <c r="R179" s="253"/>
      <c r="S179" s="253"/>
      <c r="T179" s="253"/>
      <c r="U179" s="253"/>
      <c r="V179" s="253"/>
      <c r="W179" s="253"/>
      <c r="X179" s="253"/>
      <c r="Y179" s="253"/>
      <c r="Z179" s="253"/>
      <c r="AA179" s="253"/>
      <c r="AB179" s="253"/>
      <c r="AC179" s="253"/>
      <c r="AD179" s="253"/>
      <c r="AE179" s="253"/>
      <c r="AF179" s="253"/>
      <c r="AG179" s="253"/>
      <c r="AH179" s="253"/>
      <c r="AI179" s="253"/>
      <c r="AJ179" s="253"/>
    </row>
    <row r="180" spans="1:36" ht="16.5" x14ac:dyDescent="0.25">
      <c r="A180" s="365">
        <v>30</v>
      </c>
      <c r="B180" s="372" t="s">
        <v>961</v>
      </c>
      <c r="C180" s="253"/>
      <c r="D180" s="253"/>
      <c r="E180" s="253"/>
      <c r="F180" s="253"/>
      <c r="G180" s="253"/>
      <c r="H180" s="253"/>
      <c r="I180" s="253"/>
      <c r="J180" s="253"/>
      <c r="K180" s="253"/>
      <c r="L180" s="253"/>
      <c r="M180" s="253"/>
      <c r="N180" s="253"/>
      <c r="O180" s="253"/>
      <c r="P180" s="253"/>
      <c r="Q180" s="253"/>
      <c r="R180" s="253"/>
      <c r="S180" s="253"/>
      <c r="T180" s="253"/>
      <c r="U180" s="253"/>
      <c r="V180" s="253"/>
      <c r="W180" s="253"/>
      <c r="X180" s="253"/>
      <c r="Y180" s="253"/>
      <c r="Z180" s="253"/>
      <c r="AA180" s="253"/>
      <c r="AB180" s="253"/>
      <c r="AC180" s="253"/>
      <c r="AD180" s="253"/>
      <c r="AE180" s="253"/>
      <c r="AF180" s="253"/>
      <c r="AG180" s="253"/>
      <c r="AH180" s="253"/>
      <c r="AI180" s="253"/>
      <c r="AJ180" s="253"/>
    </row>
    <row r="181" spans="1:36" ht="16.5" x14ac:dyDescent="0.25">
      <c r="A181" s="365">
        <v>31</v>
      </c>
      <c r="B181" s="372" t="s">
        <v>949</v>
      </c>
      <c r="C181" s="253"/>
      <c r="D181" s="253"/>
      <c r="E181" s="253"/>
      <c r="F181" s="253"/>
      <c r="G181" s="253"/>
      <c r="H181" s="253"/>
      <c r="I181" s="253"/>
      <c r="J181" s="253"/>
      <c r="K181" s="253"/>
      <c r="L181" s="253"/>
      <c r="M181" s="253"/>
      <c r="N181" s="253"/>
      <c r="O181" s="253"/>
      <c r="P181" s="253"/>
      <c r="Q181" s="253"/>
      <c r="R181" s="253"/>
      <c r="S181" s="253"/>
      <c r="T181" s="253"/>
      <c r="U181" s="253"/>
      <c r="V181" s="253"/>
      <c r="W181" s="253"/>
      <c r="X181" s="253"/>
      <c r="Y181" s="253"/>
      <c r="Z181" s="253"/>
      <c r="AA181" s="253"/>
      <c r="AB181" s="253"/>
      <c r="AC181" s="253"/>
      <c r="AD181" s="253"/>
      <c r="AE181" s="253"/>
      <c r="AF181" s="253"/>
      <c r="AG181" s="253"/>
      <c r="AH181" s="253"/>
      <c r="AI181" s="253"/>
      <c r="AJ181" s="253"/>
    </row>
    <row r="182" spans="1:36" ht="16.5" x14ac:dyDescent="0.25">
      <c r="A182" s="367">
        <v>32</v>
      </c>
      <c r="B182" s="372" t="s">
        <v>950</v>
      </c>
      <c r="C182" s="253"/>
      <c r="D182" s="253"/>
      <c r="E182" s="253"/>
      <c r="F182" s="253"/>
      <c r="G182" s="253"/>
      <c r="H182" s="253"/>
      <c r="I182" s="253"/>
      <c r="J182" s="253"/>
      <c r="K182" s="253"/>
      <c r="L182" s="253"/>
      <c r="M182" s="253"/>
      <c r="N182" s="253"/>
      <c r="O182" s="253"/>
      <c r="P182" s="253"/>
      <c r="Q182" s="253"/>
      <c r="R182" s="253"/>
      <c r="S182" s="253"/>
      <c r="T182" s="253"/>
      <c r="U182" s="253"/>
      <c r="V182" s="253"/>
      <c r="W182" s="253"/>
      <c r="X182" s="253"/>
      <c r="Y182" s="253"/>
      <c r="Z182" s="253"/>
      <c r="AA182" s="253"/>
      <c r="AB182" s="253"/>
      <c r="AC182" s="253"/>
      <c r="AD182" s="253"/>
      <c r="AE182" s="253"/>
      <c r="AF182" s="253"/>
      <c r="AG182" s="253"/>
      <c r="AH182" s="253"/>
      <c r="AI182" s="253"/>
      <c r="AJ182" s="253"/>
    </row>
    <row r="183" spans="1:36" ht="16.5" x14ac:dyDescent="0.25">
      <c r="A183" s="367">
        <v>33</v>
      </c>
      <c r="B183" s="372" t="s">
        <v>962</v>
      </c>
      <c r="C183" s="253"/>
      <c r="D183" s="253"/>
      <c r="E183" s="253"/>
      <c r="F183" s="253"/>
      <c r="G183" s="253"/>
      <c r="H183" s="253"/>
      <c r="I183" s="253"/>
      <c r="J183" s="253"/>
      <c r="K183" s="253"/>
      <c r="L183" s="253"/>
      <c r="M183" s="253"/>
      <c r="N183" s="253"/>
      <c r="O183" s="253"/>
      <c r="P183" s="253"/>
      <c r="Q183" s="253"/>
      <c r="R183" s="253"/>
      <c r="S183" s="253"/>
      <c r="T183" s="253"/>
      <c r="U183" s="253"/>
      <c r="V183" s="253"/>
      <c r="W183" s="253"/>
      <c r="X183" s="253"/>
      <c r="Y183" s="253"/>
      <c r="Z183" s="253"/>
      <c r="AA183" s="253"/>
      <c r="AB183" s="253"/>
      <c r="AC183" s="253"/>
      <c r="AD183" s="253"/>
      <c r="AE183" s="253"/>
      <c r="AF183" s="253"/>
      <c r="AG183" s="253"/>
      <c r="AH183" s="253"/>
      <c r="AI183" s="253"/>
      <c r="AJ183" s="253"/>
    </row>
    <row r="184" spans="1:36" ht="16.5" x14ac:dyDescent="0.25">
      <c r="A184" s="447">
        <v>34</v>
      </c>
      <c r="B184" s="372" t="s">
        <v>951</v>
      </c>
      <c r="C184" s="253"/>
      <c r="D184" s="253"/>
      <c r="E184" s="253"/>
      <c r="F184" s="253"/>
      <c r="G184" s="253"/>
      <c r="H184" s="253"/>
      <c r="I184" s="253"/>
      <c r="J184" s="253"/>
      <c r="K184" s="253"/>
      <c r="L184" s="253"/>
      <c r="M184" s="253"/>
      <c r="N184" s="253"/>
      <c r="O184" s="253"/>
      <c r="P184" s="253"/>
      <c r="Q184" s="253"/>
      <c r="R184" s="253"/>
      <c r="S184" s="253"/>
      <c r="T184" s="253"/>
      <c r="U184" s="253"/>
      <c r="V184" s="253"/>
      <c r="W184" s="253"/>
      <c r="X184" s="253"/>
      <c r="Y184" s="253"/>
      <c r="Z184" s="253"/>
      <c r="AA184" s="253"/>
      <c r="AB184" s="253"/>
      <c r="AC184" s="253"/>
      <c r="AD184" s="253"/>
      <c r="AE184" s="253"/>
      <c r="AF184" s="253"/>
      <c r="AG184" s="253"/>
      <c r="AH184" s="253"/>
      <c r="AI184" s="253"/>
      <c r="AJ184" s="253"/>
    </row>
    <row r="185" spans="1:36" ht="16.5" x14ac:dyDescent="0.25">
      <c r="A185" s="367">
        <v>35</v>
      </c>
      <c r="B185" s="372" t="s">
        <v>963</v>
      </c>
      <c r="C185" s="253"/>
      <c r="D185" s="253"/>
      <c r="E185" s="253"/>
      <c r="F185" s="253"/>
      <c r="G185" s="253"/>
      <c r="H185" s="253"/>
      <c r="I185" s="253"/>
      <c r="J185" s="253"/>
      <c r="K185" s="253"/>
      <c r="L185" s="253"/>
      <c r="M185" s="253"/>
      <c r="N185" s="253"/>
      <c r="O185" s="253"/>
      <c r="P185" s="253"/>
      <c r="Q185" s="253"/>
      <c r="R185" s="253"/>
      <c r="S185" s="253"/>
      <c r="T185" s="253"/>
      <c r="U185" s="253"/>
      <c r="V185" s="253"/>
      <c r="W185" s="253"/>
      <c r="X185" s="253"/>
      <c r="Y185" s="253"/>
      <c r="Z185" s="253"/>
      <c r="AA185" s="253"/>
      <c r="AB185" s="253"/>
      <c r="AC185" s="253"/>
      <c r="AD185" s="253"/>
      <c r="AE185" s="253"/>
      <c r="AF185" s="253"/>
      <c r="AG185" s="253"/>
      <c r="AH185" s="253"/>
      <c r="AI185" s="253"/>
      <c r="AJ185" s="253"/>
    </row>
    <row r="186" spans="1:36" ht="16.5" x14ac:dyDescent="0.25">
      <c r="A186" s="367">
        <v>36</v>
      </c>
      <c r="B186" s="372" t="s">
        <v>964</v>
      </c>
      <c r="C186" s="253"/>
      <c r="D186" s="253"/>
      <c r="E186" s="253"/>
      <c r="F186" s="253"/>
      <c r="G186" s="253"/>
      <c r="H186" s="253"/>
      <c r="I186" s="253"/>
      <c r="J186" s="253"/>
      <c r="K186" s="253"/>
      <c r="L186" s="253"/>
      <c r="M186" s="253"/>
      <c r="N186" s="253"/>
      <c r="O186" s="253"/>
      <c r="P186" s="253"/>
      <c r="Q186" s="253"/>
      <c r="R186" s="253"/>
      <c r="S186" s="253"/>
      <c r="T186" s="253"/>
      <c r="U186" s="253"/>
      <c r="V186" s="253"/>
      <c r="W186" s="253"/>
      <c r="X186" s="253"/>
      <c r="Y186" s="253"/>
      <c r="Z186" s="253"/>
      <c r="AA186" s="253"/>
      <c r="AB186" s="253"/>
      <c r="AC186" s="253"/>
      <c r="AD186" s="253"/>
      <c r="AE186" s="253"/>
      <c r="AF186" s="253"/>
      <c r="AG186" s="253"/>
      <c r="AH186" s="253"/>
      <c r="AI186" s="253"/>
      <c r="AJ186" s="253"/>
    </row>
    <row r="188" spans="1:36" ht="28.5" x14ac:dyDescent="0.45">
      <c r="L188">
        <v>3</v>
      </c>
      <c r="P188" s="371" t="s">
        <v>864</v>
      </c>
    </row>
    <row r="191" spans="1:36" x14ac:dyDescent="0.25">
      <c r="A191" s="444" t="s">
        <v>0</v>
      </c>
      <c r="B191" s="444" t="s">
        <v>27</v>
      </c>
      <c r="C191" s="362" t="s">
        <v>862</v>
      </c>
      <c r="D191" s="438"/>
      <c r="E191" s="438"/>
      <c r="F191" s="438"/>
      <c r="G191" s="438"/>
      <c r="H191" s="438"/>
      <c r="I191" s="438"/>
      <c r="J191" s="438"/>
      <c r="K191" s="438"/>
      <c r="L191" s="438"/>
      <c r="M191" s="438"/>
      <c r="N191" s="438"/>
      <c r="O191" s="438"/>
      <c r="P191" s="438"/>
      <c r="Q191" s="438"/>
      <c r="R191" s="438"/>
      <c r="S191" s="438"/>
      <c r="T191" s="438"/>
      <c r="U191" s="438"/>
      <c r="V191" s="438"/>
      <c r="W191" s="438"/>
      <c r="X191" s="438"/>
      <c r="Y191" s="438"/>
      <c r="Z191" s="438"/>
      <c r="AA191" s="438"/>
      <c r="AB191" s="438"/>
      <c r="AC191" s="438"/>
      <c r="AD191" s="438"/>
      <c r="AE191" s="438"/>
      <c r="AF191" s="438"/>
      <c r="AG191" s="438"/>
      <c r="AH191" s="438"/>
      <c r="AI191" s="438"/>
      <c r="AJ191" s="439"/>
    </row>
    <row r="192" spans="1:36" ht="30" x14ac:dyDescent="0.25">
      <c r="A192" s="446"/>
      <c r="B192" s="446"/>
      <c r="C192" s="363">
        <v>1</v>
      </c>
      <c r="D192" s="363">
        <v>2</v>
      </c>
      <c r="E192" s="363">
        <v>3</v>
      </c>
      <c r="F192" s="363">
        <v>4</v>
      </c>
      <c r="G192" s="363">
        <v>5</v>
      </c>
      <c r="H192" s="363">
        <v>6</v>
      </c>
      <c r="I192" s="363">
        <v>7</v>
      </c>
      <c r="J192" s="363">
        <v>8</v>
      </c>
      <c r="K192" s="363">
        <v>9</v>
      </c>
      <c r="L192" s="363">
        <v>10</v>
      </c>
      <c r="M192" s="363">
        <v>11</v>
      </c>
      <c r="N192" s="363">
        <v>12</v>
      </c>
      <c r="O192" s="363">
        <v>13</v>
      </c>
      <c r="P192" s="363">
        <v>14</v>
      </c>
      <c r="Q192" s="363">
        <v>15</v>
      </c>
      <c r="R192" s="363">
        <v>16</v>
      </c>
      <c r="S192" s="363">
        <v>17</v>
      </c>
      <c r="T192" s="363">
        <v>18</v>
      </c>
      <c r="U192" s="363">
        <v>19</v>
      </c>
      <c r="V192" s="363">
        <v>20</v>
      </c>
      <c r="W192" s="363">
        <v>21</v>
      </c>
      <c r="X192" s="363">
        <v>22</v>
      </c>
      <c r="Y192" s="363">
        <v>23</v>
      </c>
      <c r="Z192" s="363">
        <v>24</v>
      </c>
      <c r="AA192" s="363">
        <v>25</v>
      </c>
      <c r="AB192" s="363">
        <v>26</v>
      </c>
      <c r="AC192" s="363">
        <v>27</v>
      </c>
      <c r="AD192" s="363">
        <v>28</v>
      </c>
      <c r="AE192" s="363">
        <v>29</v>
      </c>
      <c r="AF192" s="363">
        <v>30</v>
      </c>
      <c r="AG192" s="370" t="s">
        <v>859</v>
      </c>
      <c r="AH192" s="363" t="s">
        <v>860</v>
      </c>
      <c r="AI192" s="362" t="s">
        <v>861</v>
      </c>
      <c r="AJ192" s="363" t="s">
        <v>863</v>
      </c>
    </row>
    <row r="193" spans="1:36" x14ac:dyDescent="0.25">
      <c r="A193" s="315">
        <v>1</v>
      </c>
      <c r="B193" s="421" t="s">
        <v>927</v>
      </c>
      <c r="C193" s="315"/>
      <c r="D193" s="315"/>
      <c r="E193" s="315"/>
      <c r="F193" s="315"/>
      <c r="G193" s="315"/>
      <c r="H193" s="315"/>
      <c r="I193" s="315"/>
      <c r="J193" s="315"/>
      <c r="K193" s="315"/>
      <c r="L193" s="315"/>
      <c r="M193" s="315"/>
      <c r="N193" s="315"/>
      <c r="O193" s="315"/>
      <c r="P193" s="315"/>
      <c r="Q193" s="315"/>
      <c r="R193" s="315"/>
      <c r="S193" s="315"/>
      <c r="T193" s="315"/>
      <c r="U193" s="315"/>
      <c r="V193" s="315"/>
      <c r="W193" s="315"/>
      <c r="X193" s="315"/>
      <c r="Y193" s="315"/>
      <c r="Z193" s="315"/>
      <c r="AA193" s="315"/>
      <c r="AB193" s="315"/>
      <c r="AC193" s="315"/>
      <c r="AD193" s="315"/>
      <c r="AE193" s="315"/>
      <c r="AF193" s="315"/>
      <c r="AG193" s="315"/>
      <c r="AH193" s="315"/>
      <c r="AI193" s="315"/>
      <c r="AJ193" s="315"/>
    </row>
    <row r="194" spans="1:36" ht="16.5" x14ac:dyDescent="0.25">
      <c r="A194" s="315">
        <v>2</v>
      </c>
      <c r="B194" s="372" t="s">
        <v>928</v>
      </c>
      <c r="C194" s="253"/>
      <c r="D194" s="253"/>
      <c r="E194" s="253"/>
      <c r="F194" s="253"/>
      <c r="G194" s="253"/>
      <c r="H194" s="253"/>
      <c r="I194" s="253"/>
      <c r="J194" s="253"/>
      <c r="K194" s="253"/>
      <c r="L194" s="253"/>
      <c r="M194" s="253"/>
      <c r="N194" s="253"/>
      <c r="O194" s="253"/>
      <c r="P194" s="253"/>
      <c r="Q194" s="253"/>
      <c r="R194" s="253"/>
      <c r="S194" s="253"/>
      <c r="T194" s="253"/>
      <c r="U194" s="253"/>
      <c r="V194" s="253"/>
      <c r="W194" s="253"/>
      <c r="X194" s="253"/>
      <c r="Y194" s="253"/>
      <c r="Z194" s="253"/>
      <c r="AA194" s="253"/>
      <c r="AB194" s="253"/>
      <c r="AC194" s="253"/>
      <c r="AD194" s="253"/>
      <c r="AE194" s="253"/>
      <c r="AF194" s="253"/>
      <c r="AG194" s="253"/>
      <c r="AH194" s="253"/>
      <c r="AI194" s="442"/>
      <c r="AJ194" s="253"/>
    </row>
    <row r="195" spans="1:36" ht="16.5" x14ac:dyDescent="0.25">
      <c r="A195" s="315">
        <v>3</v>
      </c>
      <c r="B195" s="374" t="s">
        <v>929</v>
      </c>
      <c r="C195" s="253"/>
      <c r="D195" s="253"/>
      <c r="E195" s="253"/>
      <c r="F195" s="253"/>
      <c r="G195" s="253"/>
      <c r="H195" s="253"/>
      <c r="I195" s="253"/>
      <c r="J195" s="253"/>
      <c r="K195" s="253"/>
      <c r="L195" s="253"/>
      <c r="M195" s="253"/>
      <c r="N195" s="253"/>
      <c r="O195" s="253"/>
      <c r="P195" s="253"/>
      <c r="Q195" s="253"/>
      <c r="R195" s="253"/>
      <c r="S195" s="253"/>
      <c r="T195" s="253"/>
      <c r="U195" s="253"/>
      <c r="V195" s="253"/>
      <c r="W195" s="253"/>
      <c r="X195" s="253"/>
      <c r="Y195" s="253"/>
      <c r="Z195" s="253"/>
      <c r="AA195" s="253"/>
      <c r="AB195" s="253"/>
      <c r="AC195" s="253"/>
      <c r="AD195" s="253"/>
      <c r="AE195" s="253"/>
      <c r="AF195" s="253"/>
      <c r="AG195" s="253"/>
      <c r="AH195" s="253"/>
      <c r="AI195" s="442"/>
      <c r="AJ195" s="253"/>
    </row>
    <row r="196" spans="1:36" ht="16.5" x14ac:dyDescent="0.25">
      <c r="A196" s="315">
        <v>4</v>
      </c>
      <c r="B196" s="374" t="s">
        <v>953</v>
      </c>
      <c r="C196" s="253"/>
      <c r="D196" s="253"/>
      <c r="E196" s="253"/>
      <c r="F196" s="253"/>
      <c r="G196" s="253"/>
      <c r="H196" s="253"/>
      <c r="I196" s="253"/>
      <c r="J196" s="253"/>
      <c r="K196" s="253"/>
      <c r="L196" s="253"/>
      <c r="M196" s="253"/>
      <c r="N196" s="253"/>
      <c r="O196" s="253"/>
      <c r="P196" s="253"/>
      <c r="Q196" s="253"/>
      <c r="R196" s="253"/>
      <c r="S196" s="253"/>
      <c r="T196" s="253"/>
      <c r="U196" s="253"/>
      <c r="V196" s="253"/>
      <c r="W196" s="253"/>
      <c r="X196" s="253"/>
      <c r="Y196" s="253"/>
      <c r="Z196" s="253"/>
      <c r="AA196" s="253"/>
      <c r="AB196" s="253"/>
      <c r="AC196" s="253"/>
      <c r="AD196" s="253"/>
      <c r="AE196" s="253"/>
      <c r="AF196" s="253"/>
      <c r="AG196" s="253"/>
      <c r="AH196" s="253"/>
      <c r="AI196" s="442"/>
      <c r="AJ196" s="253"/>
    </row>
    <row r="197" spans="1:36" ht="16.5" x14ac:dyDescent="0.25">
      <c r="A197" s="315">
        <v>5</v>
      </c>
      <c r="B197" s="372" t="s">
        <v>954</v>
      </c>
      <c r="C197" s="253"/>
      <c r="D197" s="253"/>
      <c r="E197" s="253"/>
      <c r="F197" s="253"/>
      <c r="G197" s="253"/>
      <c r="H197" s="253"/>
      <c r="I197" s="253"/>
      <c r="J197" s="253"/>
      <c r="K197" s="253"/>
      <c r="L197" s="253"/>
      <c r="M197" s="253"/>
      <c r="N197" s="253"/>
      <c r="O197" s="253"/>
      <c r="P197" s="253"/>
      <c r="Q197" s="253"/>
      <c r="R197" s="253"/>
      <c r="S197" s="253"/>
      <c r="T197" s="253"/>
      <c r="U197" s="253"/>
      <c r="V197" s="253"/>
      <c r="W197" s="253"/>
      <c r="X197" s="253"/>
      <c r="Y197" s="253"/>
      <c r="Z197" s="253"/>
      <c r="AA197" s="253"/>
      <c r="AB197" s="253"/>
      <c r="AC197" s="253"/>
      <c r="AD197" s="253"/>
      <c r="AE197" s="253"/>
      <c r="AF197" s="253"/>
      <c r="AG197" s="253"/>
      <c r="AH197" s="253"/>
      <c r="AI197" s="442"/>
      <c r="AJ197" s="443"/>
    </row>
    <row r="198" spans="1:36" ht="16.5" x14ac:dyDescent="0.25">
      <c r="A198" s="315">
        <v>6</v>
      </c>
      <c r="B198" s="372" t="s">
        <v>930</v>
      </c>
      <c r="C198" s="253"/>
      <c r="D198" s="253"/>
      <c r="E198" s="253"/>
      <c r="F198" s="253"/>
      <c r="G198" s="253"/>
      <c r="H198" s="253"/>
      <c r="I198" s="253"/>
      <c r="J198" s="253"/>
      <c r="K198" s="253"/>
      <c r="L198" s="253"/>
      <c r="M198" s="253"/>
      <c r="N198" s="253"/>
      <c r="O198" s="253"/>
      <c r="P198" s="253"/>
      <c r="Q198" s="253"/>
      <c r="R198" s="253"/>
      <c r="S198" s="253"/>
      <c r="T198" s="253"/>
      <c r="U198" s="253"/>
      <c r="V198" s="253"/>
      <c r="W198" s="253"/>
      <c r="X198" s="253"/>
      <c r="Y198" s="253"/>
      <c r="Z198" s="253"/>
      <c r="AA198" s="253"/>
      <c r="AB198" s="253"/>
      <c r="AC198" s="253"/>
      <c r="AD198" s="253"/>
      <c r="AE198" s="253"/>
      <c r="AF198" s="253"/>
      <c r="AG198" s="253"/>
      <c r="AH198" s="253"/>
      <c r="AI198" s="253"/>
      <c r="AJ198" s="443"/>
    </row>
    <row r="199" spans="1:36" ht="16.5" x14ac:dyDescent="0.25">
      <c r="A199" s="315">
        <v>7</v>
      </c>
      <c r="B199" s="372" t="s">
        <v>931</v>
      </c>
      <c r="C199" s="253"/>
      <c r="D199" s="253"/>
      <c r="E199" s="253"/>
      <c r="F199" s="253"/>
      <c r="G199" s="253"/>
      <c r="H199" s="253"/>
      <c r="I199" s="253"/>
      <c r="J199" s="253"/>
      <c r="K199" s="253"/>
      <c r="L199" s="253"/>
      <c r="M199" s="253"/>
      <c r="N199" s="253"/>
      <c r="O199" s="253"/>
      <c r="P199" s="253"/>
      <c r="Q199" s="253"/>
      <c r="R199" s="253"/>
      <c r="S199" s="253"/>
      <c r="T199" s="253"/>
      <c r="U199" s="253"/>
      <c r="V199" s="253"/>
      <c r="W199" s="253"/>
      <c r="X199" s="253"/>
      <c r="Y199" s="253"/>
      <c r="Z199" s="253"/>
      <c r="AA199" s="253"/>
      <c r="AB199" s="253"/>
      <c r="AC199" s="253"/>
      <c r="AD199" s="253"/>
      <c r="AE199" s="253"/>
      <c r="AF199" s="253"/>
      <c r="AG199" s="253"/>
      <c r="AH199" s="253"/>
      <c r="AI199" s="442"/>
      <c r="AJ199" s="253"/>
    </row>
    <row r="200" spans="1:36" ht="16.5" x14ac:dyDescent="0.25">
      <c r="A200" s="315">
        <v>8</v>
      </c>
      <c r="B200" s="372" t="s">
        <v>932</v>
      </c>
      <c r="C200" s="253"/>
      <c r="D200" s="253"/>
      <c r="E200" s="253"/>
      <c r="F200" s="253"/>
      <c r="G200" s="253"/>
      <c r="H200" s="253"/>
      <c r="I200" s="253"/>
      <c r="J200" s="253"/>
      <c r="K200" s="253"/>
      <c r="L200" s="253"/>
      <c r="M200" s="253"/>
      <c r="N200" s="253"/>
      <c r="O200" s="253"/>
      <c r="P200" s="253"/>
      <c r="Q200" s="253"/>
      <c r="R200" s="253"/>
      <c r="S200" s="253"/>
      <c r="T200" s="253"/>
      <c r="U200" s="253"/>
      <c r="V200" s="253"/>
      <c r="W200" s="253"/>
      <c r="X200" s="253"/>
      <c r="Y200" s="253"/>
      <c r="Z200" s="253"/>
      <c r="AA200" s="253"/>
      <c r="AB200" s="253"/>
      <c r="AC200" s="253"/>
      <c r="AD200" s="253"/>
      <c r="AE200" s="253"/>
      <c r="AF200" s="253"/>
      <c r="AG200" s="253"/>
      <c r="AH200" s="253"/>
      <c r="AI200" s="442"/>
      <c r="AJ200" s="253"/>
    </row>
    <row r="201" spans="1:36" ht="16.5" x14ac:dyDescent="0.25">
      <c r="A201" s="315">
        <v>9</v>
      </c>
      <c r="B201" s="372" t="s">
        <v>933</v>
      </c>
      <c r="C201" s="253"/>
      <c r="D201" s="253"/>
      <c r="E201" s="253"/>
      <c r="F201" s="253"/>
      <c r="G201" s="253"/>
      <c r="H201" s="253"/>
      <c r="I201" s="253"/>
      <c r="J201" s="253"/>
      <c r="K201" s="253"/>
      <c r="L201" s="253"/>
      <c r="M201" s="253"/>
      <c r="N201" s="253"/>
      <c r="O201" s="253"/>
      <c r="P201" s="253"/>
      <c r="Q201" s="253"/>
      <c r="R201" s="253"/>
      <c r="S201" s="253"/>
      <c r="T201" s="253"/>
      <c r="U201" s="253"/>
      <c r="V201" s="253"/>
      <c r="W201" s="253"/>
      <c r="X201" s="253"/>
      <c r="Y201" s="253"/>
      <c r="Z201" s="253"/>
      <c r="AA201" s="253"/>
      <c r="AB201" s="253"/>
      <c r="AC201" s="253"/>
      <c r="AD201" s="253"/>
      <c r="AE201" s="253"/>
      <c r="AF201" s="253"/>
      <c r="AG201" s="253"/>
      <c r="AH201" s="253"/>
      <c r="AI201" s="442"/>
      <c r="AJ201" s="253"/>
    </row>
    <row r="202" spans="1:36" ht="16.5" x14ac:dyDescent="0.25">
      <c r="A202" s="315">
        <v>10</v>
      </c>
      <c r="B202" s="372" t="s">
        <v>934</v>
      </c>
      <c r="C202" s="253"/>
      <c r="D202" s="253"/>
      <c r="E202" s="253"/>
      <c r="F202" s="253"/>
      <c r="G202" s="253"/>
      <c r="H202" s="253"/>
      <c r="I202" s="253"/>
      <c r="J202" s="253"/>
      <c r="K202" s="253"/>
      <c r="L202" s="253"/>
      <c r="M202" s="253"/>
      <c r="N202" s="253"/>
      <c r="O202" s="253"/>
      <c r="P202" s="253"/>
      <c r="Q202" s="253"/>
      <c r="R202" s="253"/>
      <c r="S202" s="253"/>
      <c r="T202" s="253"/>
      <c r="U202" s="253"/>
      <c r="V202" s="253"/>
      <c r="W202" s="253"/>
      <c r="X202" s="253"/>
      <c r="Y202" s="253"/>
      <c r="Z202" s="253"/>
      <c r="AA202" s="253"/>
      <c r="AB202" s="253"/>
      <c r="AC202" s="253"/>
      <c r="AD202" s="253"/>
      <c r="AE202" s="253"/>
      <c r="AF202" s="253"/>
      <c r="AG202" s="253"/>
      <c r="AH202" s="442"/>
      <c r="AI202" s="442"/>
      <c r="AJ202" s="253"/>
    </row>
    <row r="203" spans="1:36" ht="16.5" x14ac:dyDescent="0.25">
      <c r="A203" s="315">
        <v>11</v>
      </c>
      <c r="B203" s="372" t="s">
        <v>935</v>
      </c>
      <c r="C203" s="253"/>
      <c r="D203" s="253"/>
      <c r="E203" s="253"/>
      <c r="F203" s="253"/>
      <c r="G203" s="253"/>
      <c r="H203" s="253"/>
      <c r="I203" s="253"/>
      <c r="J203" s="253"/>
      <c r="K203" s="253"/>
      <c r="L203" s="253"/>
      <c r="M203" s="253"/>
      <c r="N203" s="253"/>
      <c r="O203" s="253"/>
      <c r="P203" s="253"/>
      <c r="Q203" s="253"/>
      <c r="R203" s="253"/>
      <c r="S203" s="253"/>
      <c r="T203" s="253"/>
      <c r="U203" s="253"/>
      <c r="V203" s="253"/>
      <c r="W203" s="253"/>
      <c r="X203" s="253"/>
      <c r="Y203" s="253"/>
      <c r="Z203" s="253"/>
      <c r="AA203" s="253"/>
      <c r="AB203" s="253"/>
      <c r="AC203" s="253"/>
      <c r="AD203" s="253"/>
      <c r="AE203" s="253"/>
      <c r="AF203" s="253"/>
      <c r="AG203" s="253"/>
      <c r="AH203" s="253"/>
      <c r="AI203" s="442"/>
      <c r="AJ203" s="253"/>
    </row>
    <row r="204" spans="1:36" ht="16.5" x14ac:dyDescent="0.25">
      <c r="A204" s="315">
        <v>12</v>
      </c>
      <c r="B204" s="372" t="s">
        <v>936</v>
      </c>
      <c r="C204" s="253"/>
      <c r="D204" s="253"/>
      <c r="E204" s="253"/>
      <c r="F204" s="253"/>
      <c r="G204" s="253"/>
      <c r="H204" s="253"/>
      <c r="I204" s="253"/>
      <c r="J204" s="253"/>
      <c r="K204" s="253"/>
      <c r="L204" s="253"/>
      <c r="M204" s="253"/>
      <c r="N204" s="253"/>
      <c r="O204" s="253"/>
      <c r="P204" s="253"/>
      <c r="Q204" s="253"/>
      <c r="R204" s="253"/>
      <c r="S204" s="253"/>
      <c r="T204" s="253"/>
      <c r="U204" s="253"/>
      <c r="V204" s="253"/>
      <c r="W204" s="253"/>
      <c r="X204" s="253"/>
      <c r="Y204" s="253"/>
      <c r="Z204" s="253"/>
      <c r="AA204" s="253"/>
      <c r="AB204" s="253"/>
      <c r="AC204" s="253"/>
      <c r="AD204" s="253"/>
      <c r="AE204" s="253"/>
      <c r="AF204" s="253"/>
      <c r="AG204" s="253"/>
      <c r="AH204" s="253"/>
      <c r="AI204" s="442"/>
      <c r="AJ204" s="253"/>
    </row>
    <row r="205" spans="1:36" ht="16.5" x14ac:dyDescent="0.25">
      <c r="A205" s="315">
        <v>13</v>
      </c>
      <c r="B205" s="372" t="s">
        <v>937</v>
      </c>
      <c r="C205" s="253"/>
      <c r="D205" s="253"/>
      <c r="E205" s="253"/>
      <c r="F205" s="253"/>
      <c r="G205" s="253"/>
      <c r="H205" s="253"/>
      <c r="I205" s="253"/>
      <c r="J205" s="253"/>
      <c r="K205" s="253"/>
      <c r="L205" s="253"/>
      <c r="M205" s="253"/>
      <c r="N205" s="253"/>
      <c r="O205" s="253"/>
      <c r="P205" s="253"/>
      <c r="Q205" s="253"/>
      <c r="R205" s="253"/>
      <c r="S205" s="253"/>
      <c r="T205" s="253"/>
      <c r="U205" s="253"/>
      <c r="V205" s="253"/>
      <c r="W205" s="253"/>
      <c r="X205" s="253"/>
      <c r="Y205" s="253"/>
      <c r="Z205" s="253"/>
      <c r="AA205" s="253"/>
      <c r="AB205" s="253"/>
      <c r="AC205" s="253"/>
      <c r="AD205" s="253"/>
      <c r="AE205" s="253"/>
      <c r="AF205" s="253"/>
      <c r="AG205" s="253"/>
      <c r="AH205" s="253"/>
      <c r="AI205" s="442"/>
      <c r="AJ205" s="253"/>
    </row>
    <row r="206" spans="1:36" ht="16.5" x14ac:dyDescent="0.25">
      <c r="A206" s="315">
        <v>14</v>
      </c>
      <c r="B206" s="372" t="s">
        <v>938</v>
      </c>
      <c r="C206" s="253"/>
      <c r="D206" s="253"/>
      <c r="E206" s="253"/>
      <c r="F206" s="253"/>
      <c r="G206" s="253"/>
      <c r="H206" s="253"/>
      <c r="I206" s="253"/>
      <c r="J206" s="253"/>
      <c r="K206" s="253"/>
      <c r="L206" s="253"/>
      <c r="M206" s="253"/>
      <c r="N206" s="253"/>
      <c r="O206" s="253"/>
      <c r="P206" s="253"/>
      <c r="Q206" s="253"/>
      <c r="R206" s="253"/>
      <c r="S206" s="253"/>
      <c r="T206" s="253"/>
      <c r="U206" s="253"/>
      <c r="V206" s="253"/>
      <c r="W206" s="253"/>
      <c r="X206" s="253"/>
      <c r="Y206" s="253"/>
      <c r="Z206" s="253"/>
      <c r="AA206" s="253"/>
      <c r="AB206" s="253"/>
      <c r="AC206" s="253"/>
      <c r="AD206" s="253"/>
      <c r="AE206" s="253"/>
      <c r="AF206" s="253"/>
      <c r="AG206" s="253"/>
      <c r="AH206" s="253"/>
      <c r="AI206" s="442"/>
      <c r="AJ206" s="253"/>
    </row>
    <row r="207" spans="1:36" ht="16.5" x14ac:dyDescent="0.25">
      <c r="A207" s="315">
        <v>15</v>
      </c>
      <c r="B207" s="372" t="s">
        <v>939</v>
      </c>
      <c r="C207" s="253"/>
      <c r="D207" s="253"/>
      <c r="E207" s="253"/>
      <c r="F207" s="253"/>
      <c r="G207" s="253"/>
      <c r="H207" s="253"/>
      <c r="I207" s="253"/>
      <c r="J207" s="253"/>
      <c r="K207" s="253"/>
      <c r="L207" s="253"/>
      <c r="M207" s="253"/>
      <c r="N207" s="253"/>
      <c r="O207" s="253"/>
      <c r="P207" s="253"/>
      <c r="Q207" s="253"/>
      <c r="R207" s="253"/>
      <c r="S207" s="253"/>
      <c r="T207" s="253"/>
      <c r="U207" s="253"/>
      <c r="V207" s="253"/>
      <c r="W207" s="253"/>
      <c r="X207" s="253"/>
      <c r="Y207" s="253"/>
      <c r="Z207" s="253"/>
      <c r="AA207" s="253"/>
      <c r="AB207" s="253"/>
      <c r="AC207" s="253"/>
      <c r="AD207" s="253"/>
      <c r="AE207" s="253"/>
      <c r="AF207" s="253"/>
      <c r="AG207" s="253"/>
      <c r="AH207" s="253"/>
      <c r="AI207" s="442"/>
      <c r="AJ207" s="253"/>
    </row>
    <row r="208" spans="1:36" ht="16.5" x14ac:dyDescent="0.25">
      <c r="A208" s="315">
        <v>16</v>
      </c>
      <c r="B208" s="372" t="s">
        <v>940</v>
      </c>
      <c r="C208" s="253"/>
      <c r="D208" s="253"/>
      <c r="E208" s="253"/>
      <c r="F208" s="253"/>
      <c r="G208" s="253"/>
      <c r="H208" s="253"/>
      <c r="I208" s="253"/>
      <c r="J208" s="253"/>
      <c r="K208" s="253"/>
      <c r="L208" s="253"/>
      <c r="M208" s="253"/>
      <c r="N208" s="253"/>
      <c r="O208" s="253"/>
      <c r="P208" s="253"/>
      <c r="Q208" s="253"/>
      <c r="R208" s="253"/>
      <c r="S208" s="253"/>
      <c r="T208" s="253"/>
      <c r="U208" s="253"/>
      <c r="V208" s="253"/>
      <c r="W208" s="253"/>
      <c r="X208" s="253"/>
      <c r="Y208" s="253"/>
      <c r="Z208" s="253"/>
      <c r="AA208" s="253"/>
      <c r="AB208" s="253"/>
      <c r="AC208" s="253"/>
      <c r="AD208" s="253"/>
      <c r="AE208" s="253"/>
      <c r="AF208" s="253"/>
      <c r="AG208" s="253"/>
      <c r="AH208" s="442"/>
      <c r="AI208" s="442"/>
      <c r="AJ208" s="253"/>
    </row>
    <row r="209" spans="1:36" ht="16.5" x14ac:dyDescent="0.25">
      <c r="A209" s="315">
        <v>17</v>
      </c>
      <c r="B209" s="372" t="s">
        <v>941</v>
      </c>
      <c r="C209" s="253"/>
      <c r="D209" s="253"/>
      <c r="E209" s="253"/>
      <c r="F209" s="253"/>
      <c r="G209" s="253"/>
      <c r="H209" s="253"/>
      <c r="I209" s="253"/>
      <c r="J209" s="253"/>
      <c r="K209" s="253"/>
      <c r="L209" s="253"/>
      <c r="M209" s="253"/>
      <c r="N209" s="253"/>
      <c r="O209" s="253"/>
      <c r="P209" s="253"/>
      <c r="Q209" s="253"/>
      <c r="R209" s="253"/>
      <c r="S209" s="253"/>
      <c r="T209" s="253"/>
      <c r="U209" s="253"/>
      <c r="V209" s="253"/>
      <c r="W209" s="253"/>
      <c r="X209" s="253"/>
      <c r="Y209" s="253"/>
      <c r="Z209" s="253"/>
      <c r="AA209" s="253"/>
      <c r="AB209" s="253"/>
      <c r="AC209" s="253"/>
      <c r="AD209" s="253"/>
      <c r="AE209" s="253"/>
      <c r="AF209" s="253"/>
      <c r="AG209" s="253"/>
      <c r="AH209" s="253"/>
      <c r="AI209" s="442"/>
      <c r="AJ209" s="253"/>
    </row>
    <row r="210" spans="1:36" ht="16.5" x14ac:dyDescent="0.25">
      <c r="A210" s="315">
        <v>18</v>
      </c>
      <c r="B210" s="372" t="s">
        <v>942</v>
      </c>
      <c r="C210" s="253"/>
      <c r="D210" s="253"/>
      <c r="E210" s="253"/>
      <c r="F210" s="253"/>
      <c r="G210" s="253"/>
      <c r="H210" s="253"/>
      <c r="I210" s="253"/>
      <c r="J210" s="253"/>
      <c r="K210" s="253"/>
      <c r="L210" s="253"/>
      <c r="M210" s="253"/>
      <c r="N210" s="253"/>
      <c r="O210" s="253"/>
      <c r="P210" s="253"/>
      <c r="Q210" s="253"/>
      <c r="R210" s="253"/>
      <c r="S210" s="253"/>
      <c r="T210" s="253"/>
      <c r="U210" s="253"/>
      <c r="V210" s="253"/>
      <c r="W210" s="253"/>
      <c r="X210" s="253"/>
      <c r="Y210" s="253"/>
      <c r="Z210" s="253"/>
      <c r="AA210" s="253"/>
      <c r="AB210" s="253"/>
      <c r="AC210" s="253"/>
      <c r="AD210" s="253"/>
      <c r="AE210" s="253"/>
      <c r="AF210" s="253"/>
      <c r="AG210" s="253"/>
      <c r="AH210" s="253"/>
      <c r="AI210" s="442"/>
      <c r="AJ210" s="253"/>
    </row>
    <row r="211" spans="1:36" ht="16.5" x14ac:dyDescent="0.25">
      <c r="A211" s="315">
        <v>19</v>
      </c>
      <c r="B211" s="372" t="s">
        <v>956</v>
      </c>
      <c r="C211" s="253"/>
      <c r="D211" s="253"/>
      <c r="E211" s="253"/>
      <c r="F211" s="253"/>
      <c r="G211" s="253"/>
      <c r="H211" s="253"/>
      <c r="I211" s="253"/>
      <c r="J211" s="253"/>
      <c r="K211" s="253"/>
      <c r="L211" s="253"/>
      <c r="M211" s="253"/>
      <c r="N211" s="253"/>
      <c r="O211" s="253"/>
      <c r="P211" s="253"/>
      <c r="Q211" s="253"/>
      <c r="R211" s="253"/>
      <c r="S211" s="253"/>
      <c r="T211" s="253"/>
      <c r="U211" s="253"/>
      <c r="V211" s="253"/>
      <c r="W211" s="253"/>
      <c r="X211" s="253"/>
      <c r="Y211" s="253"/>
      <c r="Z211" s="253"/>
      <c r="AA211" s="253"/>
      <c r="AB211" s="253"/>
      <c r="AC211" s="253"/>
      <c r="AD211" s="253"/>
      <c r="AE211" s="253"/>
      <c r="AF211" s="253"/>
      <c r="AG211" s="253"/>
      <c r="AH211" s="253"/>
      <c r="AI211" s="442"/>
      <c r="AJ211" s="253"/>
    </row>
    <row r="212" spans="1:36" ht="16.5" x14ac:dyDescent="0.25">
      <c r="A212" s="315">
        <v>20</v>
      </c>
      <c r="B212" s="372" t="s">
        <v>943</v>
      </c>
      <c r="C212" s="253"/>
      <c r="D212" s="253"/>
      <c r="E212" s="253"/>
      <c r="F212" s="253"/>
      <c r="G212" s="253"/>
      <c r="H212" s="253"/>
      <c r="I212" s="253"/>
      <c r="J212" s="253"/>
      <c r="K212" s="253"/>
      <c r="L212" s="253"/>
      <c r="M212" s="253"/>
      <c r="N212" s="253"/>
      <c r="O212" s="253"/>
      <c r="P212" s="253"/>
      <c r="Q212" s="253"/>
      <c r="R212" s="253"/>
      <c r="S212" s="253"/>
      <c r="T212" s="253"/>
      <c r="U212" s="253"/>
      <c r="V212" s="253"/>
      <c r="W212" s="253"/>
      <c r="X212" s="253"/>
      <c r="Y212" s="253"/>
      <c r="Z212" s="253"/>
      <c r="AA212" s="253"/>
      <c r="AB212" s="253"/>
      <c r="AC212" s="253"/>
      <c r="AD212" s="253"/>
      <c r="AE212" s="253"/>
      <c r="AF212" s="253"/>
      <c r="AG212" s="253"/>
      <c r="AH212" s="253"/>
      <c r="AI212" s="442"/>
      <c r="AJ212" s="253"/>
    </row>
    <row r="213" spans="1:36" ht="16.5" x14ac:dyDescent="0.25">
      <c r="A213" s="315">
        <v>21</v>
      </c>
      <c r="B213" s="372" t="s">
        <v>944</v>
      </c>
      <c r="C213" s="253"/>
      <c r="D213" s="253"/>
      <c r="E213" s="253"/>
      <c r="F213" s="253"/>
      <c r="G213" s="253"/>
      <c r="H213" s="253"/>
      <c r="I213" s="253"/>
      <c r="J213" s="253"/>
      <c r="K213" s="253"/>
      <c r="L213" s="253"/>
      <c r="M213" s="253"/>
      <c r="N213" s="253"/>
      <c r="O213" s="253"/>
      <c r="P213" s="253"/>
      <c r="Q213" s="253"/>
      <c r="R213" s="253"/>
      <c r="S213" s="253"/>
      <c r="T213" s="253"/>
      <c r="U213" s="253"/>
      <c r="V213" s="253"/>
      <c r="W213" s="253"/>
      <c r="X213" s="253"/>
      <c r="Y213" s="253"/>
      <c r="Z213" s="253"/>
      <c r="AA213" s="253"/>
      <c r="AB213" s="253"/>
      <c r="AC213" s="253"/>
      <c r="AD213" s="253"/>
      <c r="AE213" s="253"/>
      <c r="AF213" s="253"/>
      <c r="AG213" s="253"/>
      <c r="AH213" s="253"/>
      <c r="AI213" s="442"/>
      <c r="AJ213" s="253"/>
    </row>
    <row r="214" spans="1:36" ht="16.5" x14ac:dyDescent="0.25">
      <c r="A214" s="315">
        <v>22</v>
      </c>
      <c r="B214" s="372" t="s">
        <v>957</v>
      </c>
      <c r="C214" s="253"/>
      <c r="D214" s="253"/>
      <c r="E214" s="253"/>
      <c r="F214" s="253"/>
      <c r="G214" s="253"/>
      <c r="H214" s="253"/>
      <c r="I214" s="253"/>
      <c r="J214" s="253"/>
      <c r="K214" s="253"/>
      <c r="L214" s="253"/>
      <c r="M214" s="253"/>
      <c r="N214" s="253"/>
      <c r="O214" s="253"/>
      <c r="P214" s="253"/>
      <c r="Q214" s="253"/>
      <c r="R214" s="253"/>
      <c r="S214" s="253"/>
      <c r="T214" s="253"/>
      <c r="U214" s="253"/>
      <c r="V214" s="253"/>
      <c r="W214" s="253"/>
      <c r="X214" s="253"/>
      <c r="Y214" s="253"/>
      <c r="Z214" s="253"/>
      <c r="AA214" s="253"/>
      <c r="AB214" s="253"/>
      <c r="AC214" s="253"/>
      <c r="AD214" s="253"/>
      <c r="AE214" s="253"/>
      <c r="AF214" s="253"/>
      <c r="AG214" s="253"/>
      <c r="AH214" s="253"/>
      <c r="AI214" s="442"/>
      <c r="AJ214" s="253"/>
    </row>
    <row r="215" spans="1:36" ht="16.5" x14ac:dyDescent="0.25">
      <c r="A215" s="315">
        <v>23</v>
      </c>
      <c r="B215" s="372" t="s">
        <v>945</v>
      </c>
      <c r="C215" s="253"/>
      <c r="D215" s="253"/>
      <c r="E215" s="253"/>
      <c r="F215" s="253"/>
      <c r="G215" s="253"/>
      <c r="H215" s="253"/>
      <c r="I215" s="253"/>
      <c r="J215" s="253"/>
      <c r="K215" s="253"/>
      <c r="L215" s="253"/>
      <c r="M215" s="253"/>
      <c r="N215" s="253"/>
      <c r="O215" s="253"/>
      <c r="P215" s="253"/>
      <c r="Q215" s="253"/>
      <c r="R215" s="253"/>
      <c r="S215" s="253"/>
      <c r="T215" s="253"/>
      <c r="U215" s="253"/>
      <c r="V215" s="253"/>
      <c r="W215" s="253"/>
      <c r="X215" s="253"/>
      <c r="Y215" s="253"/>
      <c r="Z215" s="253"/>
      <c r="AA215" s="253"/>
      <c r="AB215" s="253"/>
      <c r="AC215" s="253"/>
      <c r="AD215" s="253"/>
      <c r="AE215" s="253"/>
      <c r="AF215" s="253"/>
      <c r="AG215" s="253"/>
      <c r="AH215" s="253"/>
      <c r="AI215" s="442"/>
      <c r="AJ215" s="253"/>
    </row>
    <row r="216" spans="1:36" ht="16.5" x14ac:dyDescent="0.25">
      <c r="A216" s="315">
        <v>24</v>
      </c>
      <c r="B216" s="372" t="s">
        <v>958</v>
      </c>
      <c r="C216" s="253"/>
      <c r="D216" s="253"/>
      <c r="E216" s="253"/>
      <c r="F216" s="253"/>
      <c r="G216" s="253"/>
      <c r="H216" s="253"/>
      <c r="I216" s="253"/>
      <c r="J216" s="253"/>
      <c r="K216" s="253"/>
      <c r="L216" s="253"/>
      <c r="M216" s="253"/>
      <c r="N216" s="253"/>
      <c r="O216" s="253"/>
      <c r="P216" s="253"/>
      <c r="Q216" s="253"/>
      <c r="R216" s="253"/>
      <c r="S216" s="253"/>
      <c r="T216" s="253"/>
      <c r="U216" s="253"/>
      <c r="V216" s="253"/>
      <c r="W216" s="253"/>
      <c r="X216" s="253"/>
      <c r="Y216" s="253"/>
      <c r="Z216" s="253"/>
      <c r="AA216" s="253"/>
      <c r="AB216" s="253"/>
      <c r="AC216" s="253"/>
      <c r="AD216" s="253"/>
      <c r="AE216" s="253"/>
      <c r="AF216" s="253"/>
      <c r="AG216" s="253"/>
      <c r="AH216" s="253"/>
      <c r="AI216" s="442"/>
      <c r="AJ216" s="253"/>
    </row>
    <row r="217" spans="1:36" ht="16.5" x14ac:dyDescent="0.25">
      <c r="A217" s="315">
        <v>25</v>
      </c>
      <c r="B217" s="372" t="s">
        <v>946</v>
      </c>
      <c r="C217" s="253"/>
      <c r="D217" s="253"/>
      <c r="E217" s="253"/>
      <c r="F217" s="253"/>
      <c r="G217" s="253"/>
      <c r="H217" s="253"/>
      <c r="I217" s="253"/>
      <c r="J217" s="253"/>
      <c r="K217" s="253"/>
      <c r="L217" s="253"/>
      <c r="M217" s="253"/>
      <c r="N217" s="253"/>
      <c r="O217" s="253"/>
      <c r="P217" s="253"/>
      <c r="Q217" s="253"/>
      <c r="R217" s="253"/>
      <c r="S217" s="253"/>
      <c r="T217" s="253"/>
      <c r="U217" s="253"/>
      <c r="V217" s="253"/>
      <c r="W217" s="253"/>
      <c r="X217" s="253"/>
      <c r="Y217" s="253"/>
      <c r="Z217" s="253"/>
      <c r="AA217" s="253"/>
      <c r="AB217" s="253"/>
      <c r="AC217" s="253"/>
      <c r="AD217" s="253"/>
      <c r="AE217" s="253"/>
      <c r="AF217" s="253"/>
      <c r="AG217" s="253"/>
      <c r="AH217" s="253"/>
      <c r="AI217" s="442"/>
      <c r="AJ217" s="253"/>
    </row>
    <row r="218" spans="1:36" ht="16.5" x14ac:dyDescent="0.25">
      <c r="A218" s="315">
        <v>26</v>
      </c>
      <c r="B218" s="372" t="s">
        <v>947</v>
      </c>
      <c r="C218" s="253"/>
      <c r="D218" s="253"/>
      <c r="E218" s="253"/>
      <c r="F218" s="253"/>
      <c r="G218" s="253"/>
      <c r="H218" s="253"/>
      <c r="I218" s="253"/>
      <c r="J218" s="253"/>
      <c r="K218" s="253"/>
      <c r="L218" s="253"/>
      <c r="M218" s="253"/>
      <c r="N218" s="253"/>
      <c r="O218" s="253"/>
      <c r="P218" s="253"/>
      <c r="Q218" s="253"/>
      <c r="R218" s="253"/>
      <c r="S218" s="253"/>
      <c r="T218" s="253"/>
      <c r="U218" s="253"/>
      <c r="V218" s="253"/>
      <c r="W218" s="253"/>
      <c r="X218" s="253"/>
      <c r="Y218" s="253"/>
      <c r="Z218" s="253"/>
      <c r="AA218" s="253"/>
      <c r="AB218" s="253"/>
      <c r="AC218" s="253"/>
      <c r="AD218" s="253"/>
      <c r="AE218" s="253"/>
      <c r="AF218" s="253"/>
      <c r="AG218" s="253"/>
      <c r="AH218" s="253"/>
      <c r="AI218" s="442"/>
      <c r="AJ218" s="253"/>
    </row>
    <row r="219" spans="1:36" ht="16.5" x14ac:dyDescent="0.25">
      <c r="A219" s="315">
        <v>27</v>
      </c>
      <c r="B219" s="372" t="s">
        <v>959</v>
      </c>
      <c r="C219" s="253"/>
      <c r="D219" s="253"/>
      <c r="E219" s="253"/>
      <c r="F219" s="253"/>
      <c r="G219" s="253"/>
      <c r="H219" s="253"/>
      <c r="I219" s="253"/>
      <c r="J219" s="253"/>
      <c r="K219" s="253"/>
      <c r="L219" s="253"/>
      <c r="M219" s="253"/>
      <c r="N219" s="253"/>
      <c r="O219" s="253"/>
      <c r="P219" s="253"/>
      <c r="Q219" s="253"/>
      <c r="R219" s="253"/>
      <c r="S219" s="253"/>
      <c r="T219" s="253"/>
      <c r="U219" s="253"/>
      <c r="V219" s="253"/>
      <c r="W219" s="253"/>
      <c r="X219" s="253"/>
      <c r="Y219" s="253"/>
      <c r="Z219" s="253"/>
      <c r="AA219" s="253"/>
      <c r="AB219" s="253"/>
      <c r="AC219" s="253"/>
      <c r="AD219" s="253"/>
      <c r="AE219" s="253"/>
      <c r="AF219" s="253"/>
      <c r="AG219" s="253"/>
      <c r="AH219" s="253"/>
      <c r="AI219" s="442"/>
      <c r="AJ219" s="253"/>
    </row>
    <row r="220" spans="1:36" ht="16.5" x14ac:dyDescent="0.25">
      <c r="A220" s="315">
        <v>28</v>
      </c>
      <c r="B220" s="372" t="s">
        <v>960</v>
      </c>
      <c r="C220" s="253"/>
      <c r="D220" s="253"/>
      <c r="E220" s="253"/>
      <c r="F220" s="253"/>
      <c r="G220" s="253"/>
      <c r="H220" s="253"/>
      <c r="I220" s="253"/>
      <c r="J220" s="253"/>
      <c r="K220" s="253"/>
      <c r="L220" s="253"/>
      <c r="M220" s="253"/>
      <c r="N220" s="253"/>
      <c r="O220" s="253"/>
      <c r="P220" s="253"/>
      <c r="Q220" s="253"/>
      <c r="R220" s="253"/>
      <c r="S220" s="253"/>
      <c r="T220" s="253"/>
      <c r="U220" s="253"/>
      <c r="V220" s="253"/>
      <c r="W220" s="253"/>
      <c r="X220" s="253"/>
      <c r="Y220" s="253"/>
      <c r="Z220" s="253"/>
      <c r="AA220" s="253"/>
      <c r="AB220" s="253"/>
      <c r="AC220" s="253"/>
      <c r="AD220" s="253"/>
      <c r="AE220" s="253"/>
      <c r="AF220" s="253"/>
      <c r="AG220" s="253"/>
      <c r="AH220" s="253"/>
      <c r="AI220" s="442"/>
      <c r="AJ220" s="253"/>
    </row>
    <row r="221" spans="1:36" ht="16.5" x14ac:dyDescent="0.25">
      <c r="A221" s="315">
        <v>29</v>
      </c>
      <c r="B221" s="372" t="s">
        <v>948</v>
      </c>
      <c r="C221" s="253"/>
      <c r="D221" s="253"/>
      <c r="E221" s="253"/>
      <c r="F221" s="253"/>
      <c r="G221" s="253"/>
      <c r="H221" s="253"/>
      <c r="I221" s="253"/>
      <c r="J221" s="253"/>
      <c r="K221" s="253"/>
      <c r="L221" s="253"/>
      <c r="M221" s="253"/>
      <c r="N221" s="253"/>
      <c r="O221" s="253"/>
      <c r="P221" s="253"/>
      <c r="Q221" s="253"/>
      <c r="R221" s="253"/>
      <c r="S221" s="253"/>
      <c r="T221" s="253"/>
      <c r="U221" s="253"/>
      <c r="V221" s="253"/>
      <c r="W221" s="253"/>
      <c r="X221" s="253"/>
      <c r="Y221" s="253"/>
      <c r="Z221" s="253"/>
      <c r="AA221" s="253"/>
      <c r="AB221" s="253"/>
      <c r="AC221" s="253"/>
      <c r="AD221" s="253"/>
      <c r="AE221" s="253"/>
      <c r="AF221" s="253"/>
      <c r="AG221" s="253"/>
      <c r="AH221" s="253"/>
      <c r="AI221" s="442"/>
      <c r="AJ221" s="253"/>
    </row>
    <row r="222" spans="1:36" ht="16.5" x14ac:dyDescent="0.25">
      <c r="A222" s="315">
        <v>30</v>
      </c>
      <c r="B222" s="372" t="s">
        <v>961</v>
      </c>
      <c r="C222" s="253"/>
      <c r="D222" s="253"/>
      <c r="E222" s="253"/>
      <c r="F222" s="253"/>
      <c r="G222" s="253"/>
      <c r="H222" s="253"/>
      <c r="I222" s="253"/>
      <c r="J222" s="253"/>
      <c r="K222" s="253"/>
      <c r="L222" s="253"/>
      <c r="M222" s="253"/>
      <c r="N222" s="253"/>
      <c r="O222" s="253"/>
      <c r="P222" s="253"/>
      <c r="Q222" s="253"/>
      <c r="R222" s="253"/>
      <c r="S222" s="253"/>
      <c r="T222" s="253"/>
      <c r="U222" s="253"/>
      <c r="V222" s="253"/>
      <c r="W222" s="253"/>
      <c r="X222" s="253"/>
      <c r="Y222" s="253"/>
      <c r="Z222" s="253"/>
      <c r="AA222" s="253"/>
      <c r="AB222" s="253"/>
      <c r="AC222" s="253"/>
      <c r="AD222" s="253"/>
      <c r="AE222" s="253"/>
      <c r="AF222" s="253"/>
      <c r="AG222" s="253"/>
      <c r="AH222" s="253"/>
      <c r="AI222" s="442"/>
      <c r="AJ222" s="253"/>
    </row>
    <row r="223" spans="1:36" ht="16.5" x14ac:dyDescent="0.25">
      <c r="A223" s="315">
        <v>31</v>
      </c>
      <c r="B223" s="372" t="s">
        <v>949</v>
      </c>
      <c r="C223" s="253"/>
      <c r="D223" s="253"/>
      <c r="E223" s="253"/>
      <c r="F223" s="253"/>
      <c r="G223" s="253"/>
      <c r="H223" s="253"/>
      <c r="I223" s="253"/>
      <c r="J223" s="253"/>
      <c r="K223" s="253"/>
      <c r="L223" s="253"/>
      <c r="M223" s="253"/>
      <c r="N223" s="253"/>
      <c r="O223" s="253"/>
      <c r="P223" s="253"/>
      <c r="Q223" s="253"/>
      <c r="R223" s="253"/>
      <c r="S223" s="253"/>
      <c r="T223" s="253"/>
      <c r="U223" s="253"/>
      <c r="V223" s="253"/>
      <c r="W223" s="253"/>
      <c r="X223" s="253"/>
      <c r="Y223" s="253"/>
      <c r="Z223" s="253"/>
      <c r="AA223" s="253"/>
      <c r="AB223" s="253"/>
      <c r="AC223" s="253"/>
      <c r="AD223" s="253"/>
      <c r="AE223" s="253"/>
      <c r="AF223" s="253"/>
      <c r="AG223" s="253"/>
      <c r="AH223" s="253"/>
      <c r="AI223" s="442"/>
      <c r="AJ223" s="253"/>
    </row>
    <row r="224" spans="1:36" ht="16.5" x14ac:dyDescent="0.25">
      <c r="A224" s="316">
        <v>32</v>
      </c>
      <c r="B224" s="372" t="s">
        <v>950</v>
      </c>
      <c r="C224" s="253"/>
      <c r="D224" s="253"/>
      <c r="E224" s="253"/>
      <c r="F224" s="253"/>
      <c r="G224" s="253"/>
      <c r="H224" s="253"/>
      <c r="I224" s="253"/>
      <c r="J224" s="253"/>
      <c r="K224" s="253"/>
      <c r="L224" s="253"/>
      <c r="M224" s="253"/>
      <c r="N224" s="253"/>
      <c r="O224" s="253"/>
      <c r="P224" s="253"/>
      <c r="Q224" s="253"/>
      <c r="R224" s="253"/>
      <c r="S224" s="253"/>
      <c r="T224" s="253"/>
      <c r="U224" s="253"/>
      <c r="V224" s="253"/>
      <c r="W224" s="253"/>
      <c r="X224" s="253"/>
      <c r="Y224" s="253"/>
      <c r="Z224" s="253"/>
      <c r="AA224" s="253"/>
      <c r="AB224" s="253"/>
      <c r="AC224" s="253"/>
      <c r="AD224" s="253"/>
      <c r="AE224" s="253"/>
      <c r="AF224" s="253"/>
      <c r="AG224" s="253"/>
      <c r="AH224" s="253"/>
      <c r="AI224" s="442"/>
      <c r="AJ224" s="253"/>
    </row>
    <row r="225" spans="1:36" ht="14.45" customHeight="1" x14ac:dyDescent="0.25">
      <c r="A225" s="316">
        <v>33</v>
      </c>
      <c r="B225" s="372" t="s">
        <v>962</v>
      </c>
      <c r="C225" s="253"/>
      <c r="D225" s="253"/>
      <c r="E225" s="253"/>
      <c r="F225" s="253"/>
      <c r="G225" s="253"/>
      <c r="H225" s="253"/>
      <c r="I225" s="253"/>
      <c r="J225" s="253"/>
      <c r="K225" s="253"/>
      <c r="L225" s="253"/>
      <c r="M225" s="253"/>
      <c r="N225" s="253"/>
      <c r="O225" s="253"/>
      <c r="P225" s="253"/>
      <c r="Q225" s="253"/>
      <c r="R225" s="253"/>
      <c r="S225" s="253"/>
      <c r="T225" s="253"/>
      <c r="U225" s="253"/>
      <c r="V225" s="253"/>
      <c r="W225" s="253"/>
      <c r="X225" s="253"/>
      <c r="Y225" s="253"/>
      <c r="Z225" s="253"/>
      <c r="AA225" s="253"/>
      <c r="AB225" s="253"/>
      <c r="AC225" s="253"/>
      <c r="AD225" s="253"/>
      <c r="AE225" s="253"/>
      <c r="AF225" s="253"/>
      <c r="AG225" s="253"/>
      <c r="AH225" s="253"/>
      <c r="AI225" s="442"/>
      <c r="AJ225" s="253"/>
    </row>
    <row r="226" spans="1:36" ht="16.5" x14ac:dyDescent="0.25">
      <c r="A226" s="316">
        <v>34</v>
      </c>
      <c r="B226" s="372" t="s">
        <v>951</v>
      </c>
      <c r="C226" s="253"/>
      <c r="D226" s="253"/>
      <c r="E226" s="253"/>
      <c r="F226" s="253"/>
      <c r="G226" s="253"/>
      <c r="H226" s="253"/>
      <c r="I226" s="253"/>
      <c r="J226" s="253"/>
      <c r="K226" s="253"/>
      <c r="L226" s="253"/>
      <c r="M226" s="253"/>
      <c r="N226" s="253"/>
      <c r="O226" s="253"/>
      <c r="P226" s="253"/>
      <c r="Q226" s="253"/>
      <c r="R226" s="253"/>
      <c r="S226" s="253"/>
      <c r="T226" s="253"/>
      <c r="U226" s="253"/>
      <c r="V226" s="253"/>
      <c r="W226" s="253"/>
      <c r="X226" s="253"/>
      <c r="Y226" s="253"/>
      <c r="Z226" s="253"/>
      <c r="AA226" s="253"/>
      <c r="AB226" s="253"/>
      <c r="AC226" s="253"/>
      <c r="AD226" s="253"/>
      <c r="AE226" s="253"/>
      <c r="AF226" s="253"/>
      <c r="AG226" s="253"/>
      <c r="AH226" s="253"/>
      <c r="AI226" s="442"/>
      <c r="AJ226" s="253"/>
    </row>
    <row r="227" spans="1:36" ht="16.5" x14ac:dyDescent="0.25">
      <c r="A227" s="316">
        <v>35</v>
      </c>
      <c r="B227" s="372" t="s">
        <v>963</v>
      </c>
      <c r="C227" s="253"/>
      <c r="D227" s="253"/>
      <c r="E227" s="253"/>
      <c r="F227" s="253"/>
      <c r="G227" s="253"/>
      <c r="H227" s="253"/>
      <c r="I227" s="253"/>
      <c r="J227" s="253"/>
      <c r="K227" s="253"/>
      <c r="L227" s="253"/>
      <c r="M227" s="253"/>
      <c r="N227" s="253"/>
      <c r="O227" s="253"/>
      <c r="P227" s="253"/>
      <c r="Q227" s="253"/>
      <c r="R227" s="253"/>
      <c r="S227" s="253"/>
      <c r="T227" s="253"/>
      <c r="U227" s="253"/>
      <c r="V227" s="253"/>
      <c r="W227" s="253"/>
      <c r="X227" s="253"/>
      <c r="Y227" s="253"/>
      <c r="Z227" s="253"/>
      <c r="AA227" s="253"/>
      <c r="AB227" s="253"/>
      <c r="AC227" s="253"/>
      <c r="AD227" s="253"/>
      <c r="AE227" s="253"/>
      <c r="AF227" s="253"/>
      <c r="AG227" s="253"/>
      <c r="AH227" s="253"/>
      <c r="AI227" s="442"/>
      <c r="AJ227" s="253"/>
    </row>
    <row r="228" spans="1:36" ht="16.5" x14ac:dyDescent="0.25">
      <c r="A228" s="316">
        <v>36</v>
      </c>
      <c r="B228" s="372" t="s">
        <v>964</v>
      </c>
      <c r="C228" s="253"/>
      <c r="D228" s="253"/>
      <c r="E228" s="253"/>
      <c r="F228" s="253"/>
      <c r="G228" s="253"/>
      <c r="H228" s="253"/>
      <c r="I228" s="253"/>
      <c r="J228" s="253"/>
      <c r="K228" s="253"/>
      <c r="L228" s="253"/>
      <c r="M228" s="253"/>
      <c r="N228" s="253"/>
      <c r="O228" s="253"/>
      <c r="P228" s="253"/>
      <c r="Q228" s="253"/>
      <c r="R228" s="253"/>
      <c r="S228" s="253"/>
      <c r="T228" s="253"/>
      <c r="U228" s="253"/>
      <c r="V228" s="253"/>
      <c r="W228" s="253"/>
      <c r="X228" s="253"/>
      <c r="Y228" s="253"/>
      <c r="Z228" s="253"/>
      <c r="AA228" s="253"/>
      <c r="AB228" s="253"/>
      <c r="AC228" s="253"/>
      <c r="AD228" s="253"/>
      <c r="AE228" s="253"/>
      <c r="AF228" s="253"/>
      <c r="AG228" s="253"/>
      <c r="AH228" s="253"/>
      <c r="AI228" s="442"/>
      <c r="AJ228" s="253"/>
    </row>
    <row r="231" spans="1:36" x14ac:dyDescent="0.25">
      <c r="S231" t="s">
        <v>865</v>
      </c>
    </row>
    <row r="234" spans="1:36" ht="30" x14ac:dyDescent="0.25">
      <c r="A234" s="444" t="s">
        <v>0</v>
      </c>
      <c r="B234" s="444" t="s">
        <v>27</v>
      </c>
      <c r="C234" s="362" t="s">
        <v>389</v>
      </c>
      <c r="D234" s="438"/>
      <c r="E234" s="438"/>
      <c r="F234" s="438"/>
      <c r="G234" s="438"/>
      <c r="H234" s="438"/>
      <c r="I234" s="438"/>
      <c r="J234" s="438"/>
      <c r="K234" s="438"/>
      <c r="L234" s="438"/>
      <c r="M234" s="438"/>
      <c r="N234" s="438"/>
      <c r="O234" s="438"/>
      <c r="P234" s="438"/>
      <c r="Q234" s="438"/>
      <c r="R234" s="438"/>
      <c r="S234" s="438"/>
      <c r="T234" s="438"/>
      <c r="U234" s="438"/>
      <c r="V234" s="438"/>
      <c r="W234" s="438"/>
      <c r="X234" s="438"/>
      <c r="Y234" s="438"/>
      <c r="Z234" s="438"/>
      <c r="AA234" s="438"/>
      <c r="AB234" s="438"/>
      <c r="AC234" s="438"/>
      <c r="AD234" s="438"/>
      <c r="AE234" s="438"/>
      <c r="AF234" s="439"/>
      <c r="AG234" s="440" t="s">
        <v>859</v>
      </c>
      <c r="AH234" s="436" t="s">
        <v>860</v>
      </c>
      <c r="AI234" s="436" t="s">
        <v>861</v>
      </c>
      <c r="AJ234" s="436" t="s">
        <v>49</v>
      </c>
    </row>
    <row r="235" spans="1:36" x14ac:dyDescent="0.25">
      <c r="A235" s="445"/>
      <c r="B235" s="445"/>
      <c r="C235" s="363">
        <v>1</v>
      </c>
      <c r="D235" s="363">
        <v>2</v>
      </c>
      <c r="E235" s="363">
        <v>3</v>
      </c>
      <c r="F235" s="363">
        <v>4</v>
      </c>
      <c r="G235" s="363">
        <v>5</v>
      </c>
      <c r="H235" s="363">
        <v>6</v>
      </c>
      <c r="I235" s="363">
        <v>7</v>
      </c>
      <c r="J235" s="363">
        <v>8</v>
      </c>
      <c r="K235" s="363">
        <v>9</v>
      </c>
      <c r="L235" s="363">
        <v>10</v>
      </c>
      <c r="M235" s="363">
        <v>11</v>
      </c>
      <c r="N235" s="363">
        <v>12</v>
      </c>
      <c r="O235" s="363">
        <v>13</v>
      </c>
      <c r="P235" s="363">
        <v>14</v>
      </c>
      <c r="Q235" s="363">
        <v>15</v>
      </c>
      <c r="R235" s="363">
        <v>16</v>
      </c>
      <c r="S235" s="363">
        <v>17</v>
      </c>
      <c r="T235" s="363">
        <v>18</v>
      </c>
      <c r="U235" s="363">
        <v>19</v>
      </c>
      <c r="V235" s="363">
        <v>20</v>
      </c>
      <c r="W235" s="363">
        <v>21</v>
      </c>
      <c r="X235" s="363">
        <v>22</v>
      </c>
      <c r="Y235" s="363">
        <v>23</v>
      </c>
      <c r="Z235" s="363">
        <v>24</v>
      </c>
      <c r="AA235" s="363">
        <v>25</v>
      </c>
      <c r="AB235" s="363">
        <v>26</v>
      </c>
      <c r="AC235" s="363">
        <v>27</v>
      </c>
      <c r="AD235" s="363">
        <v>28</v>
      </c>
      <c r="AE235" s="363">
        <v>29</v>
      </c>
      <c r="AF235" s="363">
        <v>30</v>
      </c>
      <c r="AG235" s="370"/>
      <c r="AH235" s="364"/>
      <c r="AI235" s="364"/>
      <c r="AJ235" s="364"/>
    </row>
    <row r="236" spans="1:36" x14ac:dyDescent="0.25">
      <c r="A236" s="446"/>
      <c r="B236" s="446"/>
      <c r="C236" s="363"/>
      <c r="D236" s="363"/>
      <c r="E236" s="363"/>
      <c r="F236" s="363"/>
      <c r="G236" s="363"/>
      <c r="H236" s="363"/>
      <c r="I236" s="363"/>
      <c r="J236" s="363"/>
      <c r="K236" s="363"/>
      <c r="L236" s="363"/>
      <c r="M236" s="363"/>
      <c r="N236" s="363"/>
      <c r="O236" s="363"/>
      <c r="P236" s="363"/>
      <c r="Q236" s="363"/>
      <c r="R236" s="363"/>
      <c r="S236" s="363"/>
      <c r="T236" s="363"/>
      <c r="U236" s="363"/>
      <c r="V236" s="363"/>
      <c r="W236" s="363"/>
      <c r="X236" s="363"/>
      <c r="Y236" s="363"/>
      <c r="Z236" s="363"/>
      <c r="AA236" s="363"/>
      <c r="AB236" s="363"/>
      <c r="AC236" s="363"/>
      <c r="AD236" s="363"/>
      <c r="AE236" s="363"/>
      <c r="AF236" s="363"/>
      <c r="AG236" s="441"/>
      <c r="AH236" s="437"/>
      <c r="AI236" s="437"/>
      <c r="AJ236" s="437"/>
    </row>
    <row r="237" spans="1:36" x14ac:dyDescent="0.25">
      <c r="A237" s="365">
        <v>1</v>
      </c>
      <c r="B237" s="421" t="s">
        <v>927</v>
      </c>
      <c r="C237" s="363"/>
      <c r="D237" s="363"/>
      <c r="E237" s="363"/>
      <c r="F237" s="363"/>
      <c r="G237" s="363"/>
      <c r="H237" s="363"/>
      <c r="I237" s="363"/>
      <c r="J237" s="363"/>
      <c r="K237" s="363"/>
      <c r="L237" s="363"/>
      <c r="M237" s="363"/>
      <c r="N237" s="363"/>
      <c r="O237" s="363"/>
      <c r="P237" s="363"/>
      <c r="Q237" s="363"/>
      <c r="R237" s="363"/>
      <c r="S237" s="363"/>
      <c r="T237" s="363"/>
      <c r="U237" s="363"/>
      <c r="V237" s="363"/>
      <c r="W237" s="363"/>
      <c r="X237" s="363"/>
      <c r="Y237" s="363"/>
      <c r="Z237" s="363"/>
      <c r="AA237" s="363"/>
      <c r="AB237" s="363"/>
      <c r="AC237" s="363"/>
      <c r="AD237" s="363"/>
      <c r="AE237" s="363"/>
      <c r="AF237" s="363"/>
      <c r="AG237" s="363"/>
      <c r="AH237" s="363"/>
      <c r="AI237" s="366"/>
      <c r="AJ237" s="363"/>
    </row>
    <row r="238" spans="1:36" ht="16.5" x14ac:dyDescent="0.25">
      <c r="A238" s="365">
        <v>2</v>
      </c>
      <c r="B238" s="372" t="s">
        <v>928</v>
      </c>
      <c r="C238" s="363"/>
      <c r="D238" s="363"/>
      <c r="E238" s="363"/>
      <c r="F238" s="363"/>
      <c r="G238" s="363"/>
      <c r="H238" s="363"/>
      <c r="I238" s="363"/>
      <c r="J238" s="363"/>
      <c r="K238" s="363"/>
      <c r="L238" s="363"/>
      <c r="M238" s="363"/>
      <c r="N238" s="363"/>
      <c r="O238" s="363"/>
      <c r="P238" s="363"/>
      <c r="Q238" s="363"/>
      <c r="R238" s="363"/>
      <c r="S238" s="363"/>
      <c r="T238" s="363"/>
      <c r="U238" s="363"/>
      <c r="V238" s="363"/>
      <c r="W238" s="363"/>
      <c r="X238" s="363"/>
      <c r="Y238" s="363"/>
      <c r="Z238" s="363"/>
      <c r="AA238" s="363"/>
      <c r="AB238" s="363"/>
      <c r="AC238" s="363"/>
      <c r="AD238" s="363"/>
      <c r="AE238" s="363"/>
      <c r="AF238" s="363"/>
      <c r="AG238" s="363"/>
      <c r="AH238" s="363"/>
      <c r="AI238" s="366"/>
      <c r="AJ238" s="363"/>
    </row>
    <row r="239" spans="1:36" ht="16.5" x14ac:dyDescent="0.25">
      <c r="A239" s="365">
        <v>3</v>
      </c>
      <c r="B239" s="374" t="s">
        <v>929</v>
      </c>
      <c r="C239" s="363"/>
      <c r="D239" s="363"/>
      <c r="E239" s="363"/>
      <c r="F239" s="363"/>
      <c r="G239" s="363"/>
      <c r="H239" s="363"/>
      <c r="I239" s="363"/>
      <c r="J239" s="363"/>
      <c r="K239" s="363"/>
      <c r="L239" s="363"/>
      <c r="M239" s="363"/>
      <c r="N239" s="363"/>
      <c r="O239" s="363"/>
      <c r="P239" s="363"/>
      <c r="Q239" s="363"/>
      <c r="R239" s="363"/>
      <c r="S239" s="363"/>
      <c r="T239" s="363"/>
      <c r="U239" s="363"/>
      <c r="V239" s="363"/>
      <c r="W239" s="363"/>
      <c r="X239" s="363"/>
      <c r="Y239" s="363"/>
      <c r="Z239" s="363"/>
      <c r="AA239" s="363"/>
      <c r="AB239" s="363"/>
      <c r="AC239" s="363"/>
      <c r="AD239" s="363"/>
      <c r="AE239" s="363"/>
      <c r="AF239" s="363"/>
      <c r="AG239" s="363"/>
      <c r="AH239" s="363"/>
      <c r="AI239" s="366"/>
      <c r="AJ239" s="363"/>
    </row>
    <row r="240" spans="1:36" ht="16.5" x14ac:dyDescent="0.25">
      <c r="A240" s="365">
        <v>4</v>
      </c>
      <c r="B240" s="374" t="s">
        <v>953</v>
      </c>
      <c r="C240" s="363"/>
      <c r="D240" s="363"/>
      <c r="E240" s="363"/>
      <c r="F240" s="363"/>
      <c r="G240" s="363"/>
      <c r="H240" s="363"/>
      <c r="I240" s="363"/>
      <c r="J240" s="363"/>
      <c r="K240" s="363"/>
      <c r="L240" s="363"/>
      <c r="M240" s="363"/>
      <c r="N240" s="363"/>
      <c r="O240" s="363"/>
      <c r="P240" s="363"/>
      <c r="Q240" s="363"/>
      <c r="R240" s="363"/>
      <c r="S240" s="363"/>
      <c r="T240" s="363"/>
      <c r="U240" s="363"/>
      <c r="V240" s="363"/>
      <c r="W240" s="363"/>
      <c r="X240" s="363"/>
      <c r="Y240" s="363"/>
      <c r="Z240" s="363"/>
      <c r="AA240" s="363"/>
      <c r="AB240" s="363"/>
      <c r="AC240" s="363"/>
      <c r="AD240" s="363"/>
      <c r="AE240" s="363"/>
      <c r="AF240" s="363"/>
      <c r="AG240" s="363"/>
      <c r="AH240" s="363"/>
      <c r="AI240" s="366"/>
      <c r="AJ240" s="363"/>
    </row>
    <row r="241" spans="1:36" ht="16.5" x14ac:dyDescent="0.25">
      <c r="A241" s="365">
        <v>5</v>
      </c>
      <c r="B241" s="372" t="s">
        <v>954</v>
      </c>
      <c r="C241" s="363"/>
      <c r="D241" s="363"/>
      <c r="E241" s="363"/>
      <c r="F241" s="363"/>
      <c r="G241" s="363"/>
      <c r="H241" s="363"/>
      <c r="I241" s="363"/>
      <c r="J241" s="363"/>
      <c r="K241" s="363"/>
      <c r="L241" s="363"/>
      <c r="M241" s="363"/>
      <c r="N241" s="363"/>
      <c r="O241" s="363"/>
      <c r="P241" s="363"/>
      <c r="Q241" s="363"/>
      <c r="R241" s="363"/>
      <c r="S241" s="363"/>
      <c r="T241" s="363"/>
      <c r="U241" s="363"/>
      <c r="V241" s="363"/>
      <c r="W241" s="363"/>
      <c r="X241" s="363"/>
      <c r="Y241" s="363"/>
      <c r="Z241" s="363"/>
      <c r="AA241" s="363"/>
      <c r="AB241" s="363"/>
      <c r="AC241" s="363"/>
      <c r="AD241" s="363"/>
      <c r="AE241" s="363"/>
      <c r="AF241" s="363"/>
      <c r="AG241" s="363"/>
      <c r="AH241" s="363"/>
      <c r="AI241" s="366"/>
      <c r="AJ241" s="363"/>
    </row>
    <row r="242" spans="1:36" ht="16.5" x14ac:dyDescent="0.25">
      <c r="A242" s="365">
        <v>6</v>
      </c>
      <c r="B242" s="372" t="s">
        <v>930</v>
      </c>
      <c r="C242" s="363"/>
      <c r="D242" s="363"/>
      <c r="E242" s="363"/>
      <c r="F242" s="363"/>
      <c r="G242" s="363"/>
      <c r="H242" s="363"/>
      <c r="I242" s="363"/>
      <c r="J242" s="363"/>
      <c r="K242" s="363"/>
      <c r="L242" s="363"/>
      <c r="M242" s="363"/>
      <c r="N242" s="363"/>
      <c r="O242" s="363"/>
      <c r="P242" s="363"/>
      <c r="Q242" s="363"/>
      <c r="R242" s="363"/>
      <c r="S242" s="363"/>
      <c r="T242" s="363"/>
      <c r="U242" s="363"/>
      <c r="V242" s="363"/>
      <c r="W242" s="363"/>
      <c r="X242" s="363"/>
      <c r="Y242" s="363"/>
      <c r="Z242" s="363"/>
      <c r="AA242" s="363"/>
      <c r="AB242" s="363"/>
      <c r="AC242" s="363"/>
      <c r="AD242" s="363"/>
      <c r="AE242" s="363"/>
      <c r="AF242" s="363"/>
      <c r="AG242" s="363"/>
      <c r="AH242" s="363"/>
      <c r="AI242" s="366"/>
      <c r="AJ242" s="363"/>
    </row>
    <row r="243" spans="1:36" ht="16.5" x14ac:dyDescent="0.25">
      <c r="A243" s="365">
        <v>7</v>
      </c>
      <c r="B243" s="372" t="s">
        <v>931</v>
      </c>
      <c r="C243" s="363"/>
      <c r="D243" s="363"/>
      <c r="E243" s="363"/>
      <c r="F243" s="363"/>
      <c r="G243" s="363"/>
      <c r="H243" s="363"/>
      <c r="I243" s="363"/>
      <c r="J243" s="363"/>
      <c r="K243" s="363"/>
      <c r="L243" s="363"/>
      <c r="M243" s="363"/>
      <c r="N243" s="363"/>
      <c r="O243" s="363"/>
      <c r="P243" s="363"/>
      <c r="Q243" s="363"/>
      <c r="R243" s="363"/>
      <c r="S243" s="363"/>
      <c r="T243" s="363"/>
      <c r="U243" s="363"/>
      <c r="V243" s="363"/>
      <c r="W243" s="363"/>
      <c r="X243" s="363"/>
      <c r="Y243" s="363"/>
      <c r="Z243" s="363"/>
      <c r="AA243" s="363"/>
      <c r="AB243" s="363"/>
      <c r="AC243" s="363"/>
      <c r="AD243" s="363"/>
      <c r="AE243" s="363"/>
      <c r="AF243" s="363"/>
      <c r="AG243" s="363"/>
      <c r="AH243" s="363"/>
      <c r="AI243" s="366"/>
      <c r="AJ243" s="363"/>
    </row>
    <row r="244" spans="1:36" ht="16.5" x14ac:dyDescent="0.25">
      <c r="A244" s="365">
        <v>8</v>
      </c>
      <c r="B244" s="372" t="s">
        <v>932</v>
      </c>
      <c r="C244" s="363"/>
      <c r="D244" s="363"/>
      <c r="E244" s="363"/>
      <c r="F244" s="363"/>
      <c r="G244" s="363"/>
      <c r="H244" s="363"/>
      <c r="I244" s="363"/>
      <c r="J244" s="363"/>
      <c r="K244" s="363"/>
      <c r="L244" s="363"/>
      <c r="M244" s="363"/>
      <c r="N244" s="363"/>
      <c r="O244" s="363"/>
      <c r="P244" s="363"/>
      <c r="Q244" s="363"/>
      <c r="R244" s="363"/>
      <c r="S244" s="363"/>
      <c r="T244" s="363"/>
      <c r="U244" s="363"/>
      <c r="V244" s="363"/>
      <c r="W244" s="363"/>
      <c r="X244" s="363"/>
      <c r="Y244" s="363"/>
      <c r="Z244" s="363"/>
      <c r="AA244" s="363"/>
      <c r="AB244" s="363"/>
      <c r="AC244" s="363"/>
      <c r="AD244" s="363"/>
      <c r="AE244" s="363"/>
      <c r="AF244" s="363"/>
      <c r="AG244" s="363"/>
      <c r="AH244" s="363"/>
      <c r="AI244" s="366"/>
      <c r="AJ244" s="363"/>
    </row>
    <row r="245" spans="1:36" ht="16.5" x14ac:dyDescent="0.25">
      <c r="A245" s="365">
        <v>9</v>
      </c>
      <c r="B245" s="372" t="s">
        <v>933</v>
      </c>
      <c r="C245" s="363"/>
      <c r="D245" s="363"/>
      <c r="E245" s="363"/>
      <c r="F245" s="363"/>
      <c r="G245" s="363"/>
      <c r="H245" s="363"/>
      <c r="I245" s="363"/>
      <c r="J245" s="363"/>
      <c r="K245" s="363"/>
      <c r="L245" s="363"/>
      <c r="M245" s="363"/>
      <c r="N245" s="363"/>
      <c r="O245" s="363"/>
      <c r="P245" s="363"/>
      <c r="Q245" s="363"/>
      <c r="R245" s="363"/>
      <c r="S245" s="363"/>
      <c r="T245" s="363"/>
      <c r="U245" s="363"/>
      <c r="V245" s="363"/>
      <c r="W245" s="363"/>
      <c r="X245" s="363"/>
      <c r="Y245" s="363"/>
      <c r="Z245" s="363"/>
      <c r="AA245" s="363"/>
      <c r="AB245" s="363"/>
      <c r="AC245" s="363"/>
      <c r="AD245" s="363"/>
      <c r="AE245" s="363"/>
      <c r="AF245" s="363"/>
      <c r="AG245" s="363"/>
      <c r="AH245" s="363"/>
      <c r="AI245" s="366"/>
      <c r="AJ245" s="363"/>
    </row>
    <row r="246" spans="1:36" ht="16.5" x14ac:dyDescent="0.25">
      <c r="A246" s="365">
        <v>10</v>
      </c>
      <c r="B246" s="372" t="s">
        <v>934</v>
      </c>
      <c r="C246" s="363"/>
      <c r="D246" s="363"/>
      <c r="E246" s="363"/>
      <c r="F246" s="363"/>
      <c r="G246" s="363"/>
      <c r="H246" s="363"/>
      <c r="I246" s="363"/>
      <c r="J246" s="363"/>
      <c r="K246" s="363"/>
      <c r="L246" s="363"/>
      <c r="M246" s="363"/>
      <c r="N246" s="363"/>
      <c r="O246" s="363"/>
      <c r="P246" s="363"/>
      <c r="Q246" s="363"/>
      <c r="R246" s="363"/>
      <c r="S246" s="363"/>
      <c r="T246" s="363"/>
      <c r="U246" s="363"/>
      <c r="V246" s="363"/>
      <c r="W246" s="363"/>
      <c r="X246" s="363"/>
      <c r="Y246" s="363"/>
      <c r="Z246" s="363"/>
      <c r="AA246" s="363"/>
      <c r="AB246" s="363"/>
      <c r="AC246" s="363"/>
      <c r="AD246" s="363"/>
      <c r="AE246" s="363"/>
      <c r="AF246" s="363"/>
      <c r="AG246" s="363"/>
      <c r="AH246" s="366"/>
      <c r="AI246" s="366"/>
      <c r="AJ246" s="363"/>
    </row>
    <row r="247" spans="1:36" ht="16.5" x14ac:dyDescent="0.25">
      <c r="A247" s="365">
        <v>11</v>
      </c>
      <c r="B247" s="372" t="s">
        <v>935</v>
      </c>
      <c r="C247" s="363"/>
      <c r="D247" s="363"/>
      <c r="E247" s="363"/>
      <c r="F247" s="363"/>
      <c r="G247" s="363"/>
      <c r="H247" s="363"/>
      <c r="I247" s="363"/>
      <c r="J247" s="363"/>
      <c r="K247" s="363"/>
      <c r="L247" s="363"/>
      <c r="M247" s="363"/>
      <c r="N247" s="363"/>
      <c r="O247" s="363"/>
      <c r="P247" s="363"/>
      <c r="Q247" s="363"/>
      <c r="R247" s="363"/>
      <c r="S247" s="363"/>
      <c r="T247" s="363"/>
      <c r="U247" s="363"/>
      <c r="V247" s="363"/>
      <c r="W247" s="363"/>
      <c r="X247" s="363"/>
      <c r="Y247" s="363"/>
      <c r="Z247" s="363"/>
      <c r="AA247" s="363"/>
      <c r="AB247" s="363"/>
      <c r="AC247" s="363"/>
      <c r="AD247" s="363"/>
      <c r="AE247" s="363"/>
      <c r="AF247" s="363"/>
      <c r="AG247" s="363"/>
      <c r="AH247" s="363"/>
      <c r="AI247" s="366"/>
      <c r="AJ247" s="363"/>
    </row>
    <row r="248" spans="1:36" ht="16.5" x14ac:dyDescent="0.25">
      <c r="A248" s="365">
        <v>12</v>
      </c>
      <c r="B248" s="372" t="s">
        <v>936</v>
      </c>
      <c r="C248" s="363"/>
      <c r="D248" s="363"/>
      <c r="E248" s="363"/>
      <c r="F248" s="363"/>
      <c r="G248" s="363"/>
      <c r="H248" s="363"/>
      <c r="I248" s="363"/>
      <c r="J248" s="363"/>
      <c r="K248" s="363"/>
      <c r="L248" s="363"/>
      <c r="M248" s="363"/>
      <c r="N248" s="363"/>
      <c r="O248" s="363"/>
      <c r="P248" s="363"/>
      <c r="Q248" s="363"/>
      <c r="R248" s="363"/>
      <c r="S248" s="363"/>
      <c r="T248" s="363"/>
      <c r="U248" s="363"/>
      <c r="V248" s="363"/>
      <c r="W248" s="363"/>
      <c r="X248" s="363"/>
      <c r="Y248" s="363"/>
      <c r="Z248" s="363"/>
      <c r="AA248" s="363"/>
      <c r="AB248" s="363"/>
      <c r="AC248" s="363"/>
      <c r="AD248" s="363"/>
      <c r="AE248" s="363"/>
      <c r="AF248" s="363"/>
      <c r="AG248" s="363"/>
      <c r="AH248" s="363"/>
      <c r="AI248" s="366"/>
      <c r="AJ248" s="363"/>
    </row>
    <row r="249" spans="1:36" ht="16.5" x14ac:dyDescent="0.25">
      <c r="A249" s="365">
        <v>13</v>
      </c>
      <c r="B249" s="372" t="s">
        <v>937</v>
      </c>
      <c r="C249" s="363"/>
      <c r="D249" s="363"/>
      <c r="E249" s="363"/>
      <c r="F249" s="363"/>
      <c r="G249" s="363"/>
      <c r="H249" s="363"/>
      <c r="I249" s="363"/>
      <c r="J249" s="363"/>
      <c r="K249" s="363"/>
      <c r="L249" s="363"/>
      <c r="M249" s="363"/>
      <c r="N249" s="363"/>
      <c r="O249" s="363"/>
      <c r="P249" s="363"/>
      <c r="Q249" s="363"/>
      <c r="R249" s="363"/>
      <c r="S249" s="363"/>
      <c r="T249" s="363"/>
      <c r="U249" s="363"/>
      <c r="V249" s="363"/>
      <c r="W249" s="363"/>
      <c r="X249" s="363"/>
      <c r="Y249" s="363"/>
      <c r="Z249" s="363"/>
      <c r="AA249" s="363"/>
      <c r="AB249" s="363"/>
      <c r="AC249" s="363"/>
      <c r="AD249" s="363"/>
      <c r="AE249" s="363"/>
      <c r="AF249" s="363"/>
      <c r="AG249" s="363"/>
      <c r="AH249" s="363"/>
      <c r="AI249" s="366"/>
      <c r="AJ249" s="363"/>
    </row>
    <row r="250" spans="1:36" ht="16.5" x14ac:dyDescent="0.25">
      <c r="A250" s="365">
        <v>14</v>
      </c>
      <c r="B250" s="372" t="s">
        <v>938</v>
      </c>
      <c r="C250" s="363"/>
      <c r="D250" s="363"/>
      <c r="E250" s="363"/>
      <c r="F250" s="363"/>
      <c r="G250" s="363"/>
      <c r="H250" s="363"/>
      <c r="I250" s="363"/>
      <c r="J250" s="363"/>
      <c r="K250" s="363"/>
      <c r="L250" s="363"/>
      <c r="M250" s="363"/>
      <c r="N250" s="363"/>
      <c r="O250" s="363"/>
      <c r="P250" s="363"/>
      <c r="Q250" s="363"/>
      <c r="R250" s="363"/>
      <c r="S250" s="363"/>
      <c r="T250" s="363"/>
      <c r="U250" s="363"/>
      <c r="V250" s="363"/>
      <c r="W250" s="363"/>
      <c r="X250" s="363"/>
      <c r="Y250" s="363"/>
      <c r="Z250" s="363"/>
      <c r="AA250" s="363"/>
      <c r="AB250" s="363"/>
      <c r="AC250" s="363"/>
      <c r="AD250" s="363"/>
      <c r="AE250" s="363"/>
      <c r="AF250" s="363"/>
      <c r="AG250" s="363"/>
      <c r="AH250" s="363"/>
      <c r="AI250" s="366"/>
      <c r="AJ250" s="363"/>
    </row>
    <row r="251" spans="1:36" ht="16.5" x14ac:dyDescent="0.25">
      <c r="A251" s="365">
        <v>15</v>
      </c>
      <c r="B251" s="372" t="s">
        <v>939</v>
      </c>
      <c r="C251" s="363"/>
      <c r="D251" s="363"/>
      <c r="E251" s="363"/>
      <c r="F251" s="363"/>
      <c r="G251" s="363"/>
      <c r="H251" s="363"/>
      <c r="I251" s="363"/>
      <c r="J251" s="363"/>
      <c r="K251" s="363"/>
      <c r="L251" s="363"/>
      <c r="M251" s="363"/>
      <c r="N251" s="363"/>
      <c r="O251" s="363"/>
      <c r="P251" s="363"/>
      <c r="Q251" s="363"/>
      <c r="R251" s="363"/>
      <c r="S251" s="363"/>
      <c r="T251" s="363"/>
      <c r="U251" s="363"/>
      <c r="V251" s="363"/>
      <c r="W251" s="363"/>
      <c r="X251" s="363"/>
      <c r="Y251" s="363"/>
      <c r="Z251" s="363"/>
      <c r="AA251" s="363"/>
      <c r="AB251" s="363"/>
      <c r="AC251" s="363"/>
      <c r="AD251" s="363"/>
      <c r="AE251" s="363"/>
      <c r="AF251" s="363"/>
      <c r="AG251" s="363"/>
      <c r="AH251" s="363"/>
      <c r="AI251" s="366"/>
      <c r="AJ251" s="363"/>
    </row>
    <row r="252" spans="1:36" ht="16.5" x14ac:dyDescent="0.25">
      <c r="A252" s="365">
        <v>16</v>
      </c>
      <c r="B252" s="372" t="s">
        <v>940</v>
      </c>
      <c r="C252" s="363"/>
      <c r="D252" s="363"/>
      <c r="E252" s="363"/>
      <c r="F252" s="363"/>
      <c r="G252" s="363"/>
      <c r="H252" s="363"/>
      <c r="I252" s="363"/>
      <c r="J252" s="363"/>
      <c r="K252" s="363"/>
      <c r="L252" s="363"/>
      <c r="M252" s="363"/>
      <c r="N252" s="363"/>
      <c r="O252" s="363"/>
      <c r="P252" s="363"/>
      <c r="Q252" s="363"/>
      <c r="R252" s="363"/>
      <c r="S252" s="363"/>
      <c r="T252" s="363"/>
      <c r="U252" s="363"/>
      <c r="V252" s="363"/>
      <c r="W252" s="363"/>
      <c r="X252" s="363"/>
      <c r="Y252" s="363"/>
      <c r="Z252" s="363"/>
      <c r="AA252" s="363"/>
      <c r="AB252" s="363"/>
      <c r="AC252" s="363"/>
      <c r="AD252" s="363"/>
      <c r="AE252" s="363"/>
      <c r="AF252" s="363"/>
      <c r="AG252" s="363"/>
      <c r="AH252" s="366"/>
      <c r="AI252" s="366"/>
      <c r="AJ252" s="363"/>
    </row>
    <row r="253" spans="1:36" ht="16.5" x14ac:dyDescent="0.25">
      <c r="A253" s="365">
        <v>17</v>
      </c>
      <c r="B253" s="372" t="s">
        <v>941</v>
      </c>
      <c r="C253" s="363"/>
      <c r="D253" s="363"/>
      <c r="E253" s="363"/>
      <c r="F253" s="363"/>
      <c r="G253" s="363"/>
      <c r="H253" s="363"/>
      <c r="I253" s="363"/>
      <c r="J253" s="363"/>
      <c r="K253" s="363"/>
      <c r="L253" s="363"/>
      <c r="M253" s="363"/>
      <c r="N253" s="363"/>
      <c r="O253" s="363"/>
      <c r="P253" s="363"/>
      <c r="Q253" s="363"/>
      <c r="R253" s="363"/>
      <c r="S253" s="363"/>
      <c r="T253" s="363"/>
      <c r="U253" s="363"/>
      <c r="V253" s="363"/>
      <c r="W253" s="363"/>
      <c r="X253" s="363"/>
      <c r="Y253" s="363"/>
      <c r="Z253" s="363"/>
      <c r="AA253" s="363"/>
      <c r="AB253" s="363"/>
      <c r="AC253" s="363"/>
      <c r="AD253" s="363"/>
      <c r="AE253" s="363"/>
      <c r="AF253" s="363"/>
      <c r="AG253" s="363"/>
      <c r="AH253" s="363"/>
      <c r="AI253" s="366"/>
      <c r="AJ253" s="363"/>
    </row>
    <row r="254" spans="1:36" ht="16.5" x14ac:dyDescent="0.25">
      <c r="A254" s="365">
        <v>18</v>
      </c>
      <c r="B254" s="372" t="s">
        <v>942</v>
      </c>
      <c r="C254" s="363"/>
      <c r="D254" s="363"/>
      <c r="E254" s="363"/>
      <c r="F254" s="363"/>
      <c r="G254" s="363"/>
      <c r="H254" s="363"/>
      <c r="I254" s="363"/>
      <c r="J254" s="363"/>
      <c r="K254" s="363"/>
      <c r="L254" s="363"/>
      <c r="M254" s="363"/>
      <c r="N254" s="363"/>
      <c r="O254" s="363"/>
      <c r="P254" s="363"/>
      <c r="Q254" s="363"/>
      <c r="R254" s="363"/>
      <c r="S254" s="363"/>
      <c r="T254" s="363"/>
      <c r="U254" s="363"/>
      <c r="V254" s="363"/>
      <c r="W254" s="363"/>
      <c r="X254" s="363"/>
      <c r="Y254" s="363"/>
      <c r="Z254" s="363"/>
      <c r="AA254" s="363"/>
      <c r="AB254" s="363"/>
      <c r="AC254" s="363"/>
      <c r="AD254" s="363"/>
      <c r="AE254" s="363"/>
      <c r="AF254" s="363"/>
      <c r="AG254" s="363"/>
      <c r="AH254" s="363"/>
      <c r="AI254" s="366"/>
      <c r="AJ254" s="363"/>
    </row>
    <row r="255" spans="1:36" ht="16.5" x14ac:dyDescent="0.25">
      <c r="A255" s="365">
        <v>19</v>
      </c>
      <c r="B255" s="372" t="s">
        <v>956</v>
      </c>
      <c r="C255" s="363"/>
      <c r="D255" s="363"/>
      <c r="E255" s="363"/>
      <c r="F255" s="363"/>
      <c r="G255" s="363"/>
      <c r="H255" s="363"/>
      <c r="I255" s="363"/>
      <c r="J255" s="363"/>
      <c r="K255" s="363"/>
      <c r="L255" s="363"/>
      <c r="M255" s="363"/>
      <c r="N255" s="363"/>
      <c r="O255" s="363"/>
      <c r="P255" s="363"/>
      <c r="Q255" s="363"/>
      <c r="R255" s="363"/>
      <c r="S255" s="363"/>
      <c r="T255" s="363"/>
      <c r="U255" s="363"/>
      <c r="V255" s="363"/>
      <c r="W255" s="363"/>
      <c r="X255" s="363"/>
      <c r="Y255" s="363"/>
      <c r="Z255" s="363"/>
      <c r="AA255" s="363"/>
      <c r="AB255" s="363"/>
      <c r="AC255" s="363"/>
      <c r="AD255" s="363"/>
      <c r="AE255" s="363"/>
      <c r="AF255" s="363"/>
      <c r="AG255" s="363"/>
      <c r="AH255" s="363"/>
      <c r="AI255" s="366"/>
      <c r="AJ255" s="363"/>
    </row>
    <row r="256" spans="1:36" ht="16.5" x14ac:dyDescent="0.25">
      <c r="A256" s="365">
        <v>20</v>
      </c>
      <c r="B256" s="372" t="s">
        <v>943</v>
      </c>
      <c r="C256" s="363"/>
      <c r="D256" s="363"/>
      <c r="E256" s="363"/>
      <c r="F256" s="363"/>
      <c r="G256" s="363"/>
      <c r="H256" s="363"/>
      <c r="I256" s="363"/>
      <c r="J256" s="363"/>
      <c r="K256" s="363"/>
      <c r="L256" s="363"/>
      <c r="M256" s="363"/>
      <c r="N256" s="363"/>
      <c r="O256" s="363"/>
      <c r="P256" s="363"/>
      <c r="Q256" s="363"/>
      <c r="R256" s="363"/>
      <c r="S256" s="363"/>
      <c r="T256" s="363"/>
      <c r="U256" s="363"/>
      <c r="V256" s="363"/>
      <c r="W256" s="363"/>
      <c r="X256" s="363"/>
      <c r="Y256" s="363"/>
      <c r="Z256" s="363"/>
      <c r="AA256" s="363"/>
      <c r="AB256" s="363"/>
      <c r="AC256" s="363"/>
      <c r="AD256" s="363"/>
      <c r="AE256" s="363"/>
      <c r="AF256" s="363"/>
      <c r="AG256" s="363"/>
      <c r="AH256" s="363"/>
      <c r="AI256" s="366"/>
      <c r="AJ256" s="363"/>
    </row>
    <row r="257" spans="1:36" ht="16.5" x14ac:dyDescent="0.25">
      <c r="A257" s="365">
        <v>21</v>
      </c>
      <c r="B257" s="372" t="s">
        <v>944</v>
      </c>
      <c r="C257" s="363"/>
      <c r="D257" s="363"/>
      <c r="E257" s="363"/>
      <c r="F257" s="363"/>
      <c r="G257" s="363"/>
      <c r="H257" s="363"/>
      <c r="I257" s="363"/>
      <c r="J257" s="363"/>
      <c r="K257" s="363"/>
      <c r="L257" s="363"/>
      <c r="M257" s="363"/>
      <c r="N257" s="363"/>
      <c r="O257" s="363"/>
      <c r="P257" s="363"/>
      <c r="Q257" s="363"/>
      <c r="R257" s="363"/>
      <c r="S257" s="363"/>
      <c r="T257" s="363"/>
      <c r="U257" s="363"/>
      <c r="V257" s="363"/>
      <c r="W257" s="363"/>
      <c r="X257" s="363"/>
      <c r="Y257" s="363"/>
      <c r="Z257" s="363"/>
      <c r="AA257" s="363"/>
      <c r="AB257" s="363"/>
      <c r="AC257" s="363"/>
      <c r="AD257" s="363"/>
      <c r="AE257" s="363"/>
      <c r="AF257" s="363"/>
      <c r="AG257" s="363"/>
      <c r="AH257" s="363"/>
      <c r="AI257" s="366"/>
      <c r="AJ257" s="363"/>
    </row>
    <row r="258" spans="1:36" ht="16.5" x14ac:dyDescent="0.25">
      <c r="A258" s="365">
        <v>22</v>
      </c>
      <c r="B258" s="372" t="s">
        <v>957</v>
      </c>
      <c r="C258" s="363"/>
      <c r="D258" s="363"/>
      <c r="E258" s="363"/>
      <c r="F258" s="363"/>
      <c r="G258" s="363"/>
      <c r="H258" s="363"/>
      <c r="I258" s="363"/>
      <c r="J258" s="363"/>
      <c r="K258" s="363"/>
      <c r="L258" s="363"/>
      <c r="M258" s="363"/>
      <c r="N258" s="363"/>
      <c r="O258" s="363"/>
      <c r="P258" s="363"/>
      <c r="Q258" s="363"/>
      <c r="R258" s="363"/>
      <c r="S258" s="363"/>
      <c r="T258" s="363"/>
      <c r="U258" s="363"/>
      <c r="V258" s="363"/>
      <c r="W258" s="363"/>
      <c r="X258" s="363"/>
      <c r="Y258" s="363"/>
      <c r="Z258" s="363"/>
      <c r="AA258" s="363"/>
      <c r="AB258" s="363"/>
      <c r="AC258" s="363"/>
      <c r="AD258" s="363"/>
      <c r="AE258" s="363"/>
      <c r="AF258" s="363"/>
      <c r="AG258" s="363"/>
      <c r="AH258" s="363"/>
      <c r="AI258" s="366"/>
      <c r="AJ258" s="363"/>
    </row>
    <row r="259" spans="1:36" ht="16.5" x14ac:dyDescent="0.25">
      <c r="A259" s="365">
        <v>23</v>
      </c>
      <c r="B259" s="372" t="s">
        <v>945</v>
      </c>
      <c r="C259" s="363"/>
      <c r="D259" s="363"/>
      <c r="E259" s="363"/>
      <c r="F259" s="363"/>
      <c r="G259" s="363"/>
      <c r="H259" s="363"/>
      <c r="I259" s="363"/>
      <c r="J259" s="363"/>
      <c r="K259" s="363"/>
      <c r="L259" s="363"/>
      <c r="M259" s="363"/>
      <c r="N259" s="363"/>
      <c r="O259" s="363"/>
      <c r="P259" s="363"/>
      <c r="Q259" s="363"/>
      <c r="R259" s="363"/>
      <c r="S259" s="363"/>
      <c r="T259" s="363"/>
      <c r="U259" s="363"/>
      <c r="V259" s="363"/>
      <c r="W259" s="363"/>
      <c r="X259" s="363"/>
      <c r="Y259" s="363"/>
      <c r="Z259" s="363"/>
      <c r="AA259" s="363"/>
      <c r="AB259" s="363"/>
      <c r="AC259" s="363"/>
      <c r="AD259" s="363"/>
      <c r="AE259" s="363"/>
      <c r="AF259" s="363"/>
      <c r="AG259" s="363"/>
      <c r="AH259" s="363"/>
      <c r="AI259" s="366"/>
      <c r="AJ259" s="363"/>
    </row>
    <row r="260" spans="1:36" ht="16.5" x14ac:dyDescent="0.25">
      <c r="A260" s="365">
        <v>24</v>
      </c>
      <c r="B260" s="372" t="s">
        <v>958</v>
      </c>
      <c r="C260" s="363"/>
      <c r="D260" s="363"/>
      <c r="E260" s="363"/>
      <c r="F260" s="363"/>
      <c r="G260" s="363"/>
      <c r="H260" s="363"/>
      <c r="I260" s="363"/>
      <c r="J260" s="363"/>
      <c r="K260" s="363"/>
      <c r="L260" s="363"/>
      <c r="M260" s="363"/>
      <c r="N260" s="363"/>
      <c r="O260" s="363"/>
      <c r="P260" s="363"/>
      <c r="Q260" s="363"/>
      <c r="R260" s="363"/>
      <c r="S260" s="363"/>
      <c r="T260" s="363"/>
      <c r="U260" s="363"/>
      <c r="V260" s="363"/>
      <c r="W260" s="363"/>
      <c r="X260" s="363"/>
      <c r="Y260" s="363"/>
      <c r="Z260" s="363"/>
      <c r="AA260" s="363"/>
      <c r="AB260" s="363"/>
      <c r="AC260" s="363"/>
      <c r="AD260" s="363"/>
      <c r="AE260" s="363"/>
      <c r="AF260" s="363"/>
      <c r="AG260" s="363"/>
      <c r="AH260" s="363"/>
      <c r="AI260" s="366"/>
      <c r="AJ260" s="363"/>
    </row>
    <row r="261" spans="1:36" ht="16.5" x14ac:dyDescent="0.25">
      <c r="A261" s="365">
        <v>25</v>
      </c>
      <c r="B261" s="372" t="s">
        <v>946</v>
      </c>
      <c r="C261" s="363"/>
      <c r="D261" s="363"/>
      <c r="E261" s="363"/>
      <c r="F261" s="363"/>
      <c r="G261" s="363"/>
      <c r="H261" s="363"/>
      <c r="I261" s="363"/>
      <c r="J261" s="363"/>
      <c r="K261" s="363"/>
      <c r="L261" s="363"/>
      <c r="M261" s="363"/>
      <c r="N261" s="363"/>
      <c r="O261" s="363"/>
      <c r="P261" s="363"/>
      <c r="Q261" s="363"/>
      <c r="R261" s="363"/>
      <c r="S261" s="363"/>
      <c r="T261" s="363"/>
      <c r="U261" s="363"/>
      <c r="V261" s="363"/>
      <c r="W261" s="363"/>
      <c r="X261" s="363"/>
      <c r="Y261" s="363"/>
      <c r="Z261" s="363"/>
      <c r="AA261" s="363"/>
      <c r="AB261" s="363"/>
      <c r="AC261" s="363"/>
      <c r="AD261" s="363"/>
      <c r="AE261" s="363"/>
      <c r="AF261" s="363"/>
      <c r="AG261" s="363"/>
      <c r="AH261" s="363"/>
      <c r="AI261" s="366"/>
      <c r="AJ261" s="363"/>
    </row>
    <row r="262" spans="1:36" ht="16.5" x14ac:dyDescent="0.25">
      <c r="A262" s="365">
        <v>26</v>
      </c>
      <c r="B262" s="372" t="s">
        <v>947</v>
      </c>
      <c r="C262" s="363"/>
      <c r="D262" s="363"/>
      <c r="E262" s="363"/>
      <c r="F262" s="363"/>
      <c r="G262" s="363"/>
      <c r="H262" s="363"/>
      <c r="I262" s="363"/>
      <c r="J262" s="363"/>
      <c r="K262" s="363"/>
      <c r="L262" s="363"/>
      <c r="M262" s="363"/>
      <c r="N262" s="363"/>
      <c r="O262" s="363"/>
      <c r="P262" s="363"/>
      <c r="Q262" s="363"/>
      <c r="R262" s="363"/>
      <c r="S262" s="363"/>
      <c r="T262" s="363"/>
      <c r="U262" s="363"/>
      <c r="V262" s="363"/>
      <c r="W262" s="363"/>
      <c r="X262" s="363"/>
      <c r="Y262" s="363"/>
      <c r="Z262" s="363"/>
      <c r="AA262" s="363"/>
      <c r="AB262" s="363"/>
      <c r="AC262" s="363"/>
      <c r="AD262" s="363"/>
      <c r="AE262" s="363"/>
      <c r="AF262" s="363"/>
      <c r="AG262" s="363"/>
      <c r="AH262" s="363"/>
      <c r="AI262" s="366"/>
      <c r="AJ262" s="363"/>
    </row>
    <row r="263" spans="1:36" ht="16.5" x14ac:dyDescent="0.25">
      <c r="A263" s="365">
        <v>27</v>
      </c>
      <c r="B263" s="372" t="s">
        <v>959</v>
      </c>
      <c r="C263" s="363"/>
      <c r="D263" s="363"/>
      <c r="E263" s="363"/>
      <c r="F263" s="363"/>
      <c r="G263" s="363"/>
      <c r="H263" s="363"/>
      <c r="I263" s="363"/>
      <c r="J263" s="363"/>
      <c r="K263" s="363"/>
      <c r="L263" s="363"/>
      <c r="M263" s="363"/>
      <c r="N263" s="363"/>
      <c r="O263" s="363"/>
      <c r="P263" s="363"/>
      <c r="Q263" s="363"/>
      <c r="R263" s="363"/>
      <c r="S263" s="363"/>
      <c r="T263" s="363"/>
      <c r="U263" s="363"/>
      <c r="V263" s="363"/>
      <c r="W263" s="363"/>
      <c r="X263" s="363"/>
      <c r="Y263" s="363"/>
      <c r="Z263" s="363"/>
      <c r="AA263" s="363"/>
      <c r="AB263" s="363"/>
      <c r="AC263" s="363"/>
      <c r="AD263" s="363"/>
      <c r="AE263" s="363"/>
      <c r="AF263" s="363"/>
      <c r="AG263" s="363"/>
      <c r="AH263" s="363"/>
      <c r="AI263" s="366"/>
      <c r="AJ263" s="363"/>
    </row>
    <row r="264" spans="1:36" ht="16.5" x14ac:dyDescent="0.25">
      <c r="A264" s="365">
        <v>28</v>
      </c>
      <c r="B264" s="372" t="s">
        <v>960</v>
      </c>
      <c r="C264" s="363"/>
      <c r="D264" s="363"/>
      <c r="E264" s="363"/>
      <c r="F264" s="363"/>
      <c r="G264" s="363"/>
      <c r="H264" s="363"/>
      <c r="I264" s="363"/>
      <c r="J264" s="363"/>
      <c r="K264" s="363"/>
      <c r="L264" s="363"/>
      <c r="M264" s="363"/>
      <c r="N264" s="363"/>
      <c r="O264" s="363"/>
      <c r="P264" s="363"/>
      <c r="Q264" s="363"/>
      <c r="R264" s="363"/>
      <c r="S264" s="363"/>
      <c r="T264" s="363"/>
      <c r="U264" s="363"/>
      <c r="V264" s="363"/>
      <c r="W264" s="363"/>
      <c r="X264" s="363"/>
      <c r="Y264" s="363"/>
      <c r="Z264" s="363"/>
      <c r="AA264" s="363"/>
      <c r="AB264" s="363"/>
      <c r="AC264" s="363"/>
      <c r="AD264" s="363"/>
      <c r="AE264" s="363"/>
      <c r="AF264" s="363"/>
      <c r="AG264" s="363"/>
      <c r="AH264" s="363"/>
      <c r="AI264" s="366"/>
      <c r="AJ264" s="363"/>
    </row>
    <row r="265" spans="1:36" ht="16.5" x14ac:dyDescent="0.25">
      <c r="A265" s="365">
        <v>29</v>
      </c>
      <c r="B265" s="372" t="s">
        <v>948</v>
      </c>
      <c r="C265" s="363"/>
      <c r="D265" s="363"/>
      <c r="E265" s="363"/>
      <c r="F265" s="363"/>
      <c r="G265" s="363"/>
      <c r="H265" s="363"/>
      <c r="I265" s="363"/>
      <c r="J265" s="363"/>
      <c r="K265" s="363"/>
      <c r="L265" s="363"/>
      <c r="M265" s="363"/>
      <c r="N265" s="363"/>
      <c r="O265" s="363"/>
      <c r="P265" s="363"/>
      <c r="Q265" s="363"/>
      <c r="R265" s="363"/>
      <c r="S265" s="363"/>
      <c r="T265" s="363"/>
      <c r="U265" s="363"/>
      <c r="V265" s="363"/>
      <c r="W265" s="363"/>
      <c r="X265" s="363"/>
      <c r="Y265" s="363"/>
      <c r="Z265" s="363"/>
      <c r="AA265" s="363"/>
      <c r="AB265" s="363"/>
      <c r="AC265" s="363"/>
      <c r="AD265" s="363"/>
      <c r="AE265" s="363"/>
      <c r="AF265" s="363"/>
      <c r="AG265" s="363"/>
      <c r="AH265" s="363"/>
      <c r="AI265" s="366"/>
      <c r="AJ265" s="363"/>
    </row>
    <row r="266" spans="1:36" ht="16.5" x14ac:dyDescent="0.25">
      <c r="A266" s="365">
        <v>30</v>
      </c>
      <c r="B266" s="372" t="s">
        <v>961</v>
      </c>
      <c r="C266" s="363"/>
      <c r="D266" s="363"/>
      <c r="E266" s="363"/>
      <c r="F266" s="363"/>
      <c r="G266" s="363"/>
      <c r="H266" s="363"/>
      <c r="I266" s="363"/>
      <c r="J266" s="363"/>
      <c r="K266" s="363"/>
      <c r="L266" s="363"/>
      <c r="M266" s="363"/>
      <c r="N266" s="363"/>
      <c r="O266" s="363"/>
      <c r="P266" s="363"/>
      <c r="Q266" s="363"/>
      <c r="R266" s="363"/>
      <c r="S266" s="363"/>
      <c r="T266" s="363"/>
      <c r="U266" s="363"/>
      <c r="V266" s="363"/>
      <c r="W266" s="363"/>
      <c r="X266" s="363"/>
      <c r="Y266" s="363"/>
      <c r="Z266" s="363"/>
      <c r="AA266" s="363"/>
      <c r="AB266" s="363"/>
      <c r="AC266" s="363"/>
      <c r="AD266" s="363"/>
      <c r="AE266" s="363"/>
      <c r="AF266" s="363"/>
      <c r="AG266" s="363"/>
      <c r="AH266" s="363"/>
      <c r="AI266" s="366"/>
      <c r="AJ266" s="363"/>
    </row>
    <row r="267" spans="1:36" ht="16.5" x14ac:dyDescent="0.25">
      <c r="A267" s="365">
        <v>31</v>
      </c>
      <c r="B267" s="372" t="s">
        <v>949</v>
      </c>
      <c r="C267" s="363"/>
      <c r="D267" s="363"/>
      <c r="E267" s="363"/>
      <c r="F267" s="363"/>
      <c r="G267" s="363"/>
      <c r="H267" s="363"/>
      <c r="I267" s="363"/>
      <c r="J267" s="363"/>
      <c r="K267" s="363"/>
      <c r="L267" s="363"/>
      <c r="M267" s="363"/>
      <c r="N267" s="363"/>
      <c r="O267" s="363"/>
      <c r="P267" s="363"/>
      <c r="Q267" s="363"/>
      <c r="R267" s="363"/>
      <c r="S267" s="363"/>
      <c r="T267" s="363"/>
      <c r="U267" s="363"/>
      <c r="V267" s="363"/>
      <c r="W267" s="363"/>
      <c r="X267" s="363"/>
      <c r="Y267" s="363"/>
      <c r="Z267" s="363"/>
      <c r="AA267" s="363"/>
      <c r="AB267" s="363"/>
      <c r="AC267" s="363"/>
      <c r="AD267" s="363"/>
      <c r="AE267" s="363"/>
      <c r="AF267" s="363"/>
      <c r="AG267" s="363"/>
      <c r="AH267" s="363"/>
      <c r="AI267" s="366"/>
      <c r="AJ267" s="363"/>
    </row>
    <row r="268" spans="1:36" ht="16.5" x14ac:dyDescent="0.25">
      <c r="A268" s="367">
        <v>32</v>
      </c>
      <c r="B268" s="372" t="s">
        <v>950</v>
      </c>
      <c r="C268" s="363"/>
      <c r="D268" s="363"/>
      <c r="E268" s="363"/>
      <c r="F268" s="363"/>
      <c r="G268" s="363"/>
      <c r="H268" s="363"/>
      <c r="I268" s="363"/>
      <c r="J268" s="363"/>
      <c r="K268" s="363"/>
      <c r="L268" s="363"/>
      <c r="M268" s="363"/>
      <c r="N268" s="363"/>
      <c r="O268" s="363"/>
      <c r="P268" s="363"/>
      <c r="Q268" s="363"/>
      <c r="R268" s="363"/>
      <c r="S268" s="363"/>
      <c r="T268" s="363"/>
      <c r="U268" s="363"/>
      <c r="V268" s="363"/>
      <c r="W268" s="363"/>
      <c r="X268" s="363"/>
      <c r="Y268" s="363"/>
      <c r="Z268" s="363"/>
      <c r="AA268" s="363"/>
      <c r="AB268" s="363"/>
      <c r="AC268" s="363"/>
      <c r="AD268" s="363"/>
      <c r="AE268" s="363"/>
      <c r="AF268" s="363"/>
      <c r="AG268" s="363"/>
      <c r="AH268" s="363"/>
      <c r="AI268" s="366"/>
      <c r="AJ268" s="363"/>
    </row>
    <row r="269" spans="1:36" ht="16.5" x14ac:dyDescent="0.25">
      <c r="A269" s="367">
        <v>33</v>
      </c>
      <c r="B269" s="372" t="s">
        <v>962</v>
      </c>
      <c r="C269" s="363"/>
      <c r="D269" s="363"/>
      <c r="E269" s="363"/>
      <c r="F269" s="363"/>
      <c r="G269" s="363"/>
      <c r="H269" s="363"/>
      <c r="I269" s="363"/>
      <c r="J269" s="363"/>
      <c r="K269" s="363"/>
      <c r="L269" s="363"/>
      <c r="M269" s="363"/>
      <c r="N269" s="363"/>
      <c r="O269" s="363"/>
      <c r="P269" s="363"/>
      <c r="Q269" s="363"/>
      <c r="R269" s="363"/>
      <c r="S269" s="363"/>
      <c r="T269" s="363"/>
      <c r="U269" s="363"/>
      <c r="V269" s="363"/>
      <c r="W269" s="363"/>
      <c r="X269" s="363"/>
      <c r="Y269" s="363"/>
      <c r="Z269" s="363"/>
      <c r="AA269" s="363"/>
      <c r="AB269" s="363"/>
      <c r="AC269" s="363"/>
      <c r="AD269" s="363"/>
      <c r="AE269" s="363"/>
      <c r="AF269" s="363"/>
      <c r="AG269" s="363"/>
      <c r="AH269" s="363"/>
      <c r="AI269" s="366"/>
      <c r="AJ269" s="363"/>
    </row>
    <row r="270" spans="1:36" ht="16.5" x14ac:dyDescent="0.25">
      <c r="A270" s="367">
        <v>34</v>
      </c>
      <c r="B270" s="372" t="s">
        <v>951</v>
      </c>
      <c r="C270" s="363"/>
      <c r="D270" s="363"/>
      <c r="E270" s="363"/>
      <c r="F270" s="363"/>
      <c r="G270" s="363"/>
      <c r="H270" s="363"/>
      <c r="I270" s="363"/>
      <c r="J270" s="363"/>
      <c r="K270" s="363"/>
      <c r="L270" s="363"/>
      <c r="M270" s="363"/>
      <c r="N270" s="363"/>
      <c r="O270" s="363"/>
      <c r="P270" s="363"/>
      <c r="Q270" s="363"/>
      <c r="R270" s="363"/>
      <c r="S270" s="363"/>
      <c r="T270" s="363"/>
      <c r="U270" s="363"/>
      <c r="V270" s="363"/>
      <c r="W270" s="363"/>
      <c r="X270" s="363"/>
      <c r="Y270" s="363"/>
      <c r="Z270" s="363"/>
      <c r="AA270" s="363"/>
      <c r="AB270" s="363"/>
      <c r="AC270" s="363"/>
      <c r="AD270" s="363"/>
      <c r="AE270" s="363"/>
      <c r="AF270" s="363"/>
      <c r="AG270" s="363"/>
      <c r="AH270" s="363"/>
      <c r="AI270" s="366"/>
      <c r="AJ270" s="363"/>
    </row>
    <row r="271" spans="1:36" ht="16.5" x14ac:dyDescent="0.25">
      <c r="A271" s="367">
        <v>35</v>
      </c>
      <c r="B271" s="372" t="s">
        <v>963</v>
      </c>
      <c r="C271" s="363"/>
      <c r="D271" s="363"/>
      <c r="E271" s="363"/>
      <c r="F271" s="363"/>
      <c r="G271" s="363"/>
      <c r="H271" s="363"/>
      <c r="I271" s="363"/>
      <c r="J271" s="363"/>
      <c r="K271" s="363"/>
      <c r="L271" s="363"/>
      <c r="M271" s="363"/>
      <c r="N271" s="363"/>
      <c r="O271" s="363"/>
      <c r="P271" s="363"/>
      <c r="Q271" s="363"/>
      <c r="R271" s="363"/>
      <c r="S271" s="363"/>
      <c r="T271" s="363"/>
      <c r="U271" s="363"/>
      <c r="V271" s="363"/>
      <c r="W271" s="363"/>
      <c r="X271" s="363"/>
      <c r="Y271" s="363"/>
      <c r="Z271" s="363"/>
      <c r="AA271" s="363"/>
      <c r="AB271" s="363"/>
      <c r="AC271" s="363"/>
      <c r="AD271" s="363"/>
      <c r="AE271" s="363"/>
      <c r="AF271" s="363"/>
      <c r="AG271" s="363"/>
      <c r="AH271" s="363"/>
      <c r="AI271" s="366"/>
      <c r="AJ271" s="363"/>
    </row>
    <row r="272" spans="1:36" ht="16.5" x14ac:dyDescent="0.25">
      <c r="A272" s="367">
        <v>36</v>
      </c>
      <c r="B272" s="372" t="s">
        <v>964</v>
      </c>
      <c r="C272" s="363"/>
      <c r="D272" s="363"/>
      <c r="E272" s="363"/>
      <c r="F272" s="363"/>
      <c r="G272" s="363"/>
      <c r="H272" s="363"/>
      <c r="I272" s="363"/>
      <c r="J272" s="363"/>
      <c r="K272" s="363"/>
      <c r="L272" s="363"/>
      <c r="M272" s="363"/>
      <c r="N272" s="363"/>
      <c r="O272" s="363"/>
      <c r="P272" s="363"/>
      <c r="Q272" s="363"/>
      <c r="R272" s="363"/>
      <c r="S272" s="363"/>
      <c r="T272" s="363"/>
      <c r="U272" s="363"/>
      <c r="V272" s="363"/>
      <c r="W272" s="363"/>
      <c r="X272" s="363"/>
      <c r="Y272" s="363"/>
      <c r="Z272" s="363"/>
      <c r="AA272" s="363"/>
      <c r="AB272" s="363"/>
      <c r="AC272" s="363"/>
      <c r="AD272" s="363"/>
      <c r="AE272" s="363"/>
      <c r="AF272" s="363"/>
      <c r="AG272" s="363"/>
      <c r="AH272" s="363"/>
      <c r="AI272" s="366"/>
      <c r="AJ272" s="363"/>
    </row>
  </sheetData>
  <mergeCells count="10">
    <mergeCell ref="U14:U16"/>
    <mergeCell ref="V14:V16"/>
    <mergeCell ref="U1:V1"/>
    <mergeCell ref="U2:V2"/>
    <mergeCell ref="A14:A16"/>
    <mergeCell ref="B14:B16"/>
    <mergeCell ref="C14:R14"/>
    <mergeCell ref="S14:S16"/>
    <mergeCell ref="T14:T16"/>
    <mergeCell ref="A5:V5"/>
  </mergeCells>
  <pageMargins left="0.7" right="0.7" top="0.75" bottom="0.75" header="0.3" footer="0.3"/>
  <pageSetup paperSize="9" orientation="portrait" horizontalDpi="0" verticalDpi="0"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38BFA-0887-44A7-812A-48766DCA27A1}">
  <sheetPr>
    <tabColor rgb="FFFF0000"/>
  </sheetPr>
  <dimension ref="A1:AD55"/>
  <sheetViews>
    <sheetView zoomScale="66" workbookViewId="0">
      <selection activeCell="T56" sqref="T56"/>
    </sheetView>
  </sheetViews>
  <sheetFormatPr defaultRowHeight="15" x14ac:dyDescent="0.25"/>
  <cols>
    <col min="2" max="2" width="32.140625" customWidth="1"/>
  </cols>
  <sheetData>
    <row r="1" spans="1:30" x14ac:dyDescent="0.25">
      <c r="A1" s="45"/>
      <c r="B1" s="45"/>
      <c r="C1" s="45"/>
      <c r="D1" s="45"/>
      <c r="E1" s="45"/>
      <c r="F1" s="45"/>
      <c r="G1" s="45"/>
      <c r="H1" s="45"/>
      <c r="I1" s="45"/>
      <c r="J1" s="45"/>
      <c r="K1" s="45"/>
      <c r="L1" s="45"/>
      <c r="M1" s="45"/>
      <c r="N1" s="45"/>
      <c r="O1" s="45"/>
      <c r="P1" s="45"/>
      <c r="Q1" s="45"/>
      <c r="R1" s="45"/>
      <c r="S1" s="45"/>
      <c r="T1" s="45"/>
      <c r="U1" s="45"/>
      <c r="V1" s="45"/>
      <c r="W1" s="45"/>
      <c r="X1" s="45"/>
      <c r="Y1" s="45"/>
      <c r="Z1" s="45"/>
      <c r="AA1" s="45"/>
      <c r="AB1" s="866" t="s">
        <v>691</v>
      </c>
      <c r="AC1" s="1240"/>
      <c r="AD1" s="867"/>
    </row>
    <row r="2" spans="1:30" x14ac:dyDescent="0.25">
      <c r="A2" s="45"/>
      <c r="B2" s="45"/>
      <c r="C2" s="45"/>
      <c r="D2" s="45"/>
      <c r="E2" s="45"/>
      <c r="F2" s="45"/>
      <c r="G2" s="45"/>
      <c r="H2" s="45"/>
      <c r="I2" s="45"/>
      <c r="J2" s="45"/>
      <c r="K2" s="45"/>
      <c r="L2" s="45"/>
      <c r="M2" s="45"/>
      <c r="N2" s="45"/>
      <c r="O2" s="45"/>
      <c r="P2" s="45"/>
      <c r="Q2" s="45"/>
      <c r="R2" s="45"/>
      <c r="S2" s="45"/>
      <c r="T2" s="45"/>
      <c r="U2" s="45"/>
      <c r="V2" s="45"/>
      <c r="W2" s="45"/>
      <c r="X2" s="45"/>
      <c r="Y2" s="45"/>
      <c r="Z2" s="45"/>
      <c r="AA2" s="45"/>
      <c r="AB2" s="1225">
        <v>45848</v>
      </c>
      <c r="AC2" s="1241"/>
      <c r="AD2" s="1226"/>
    </row>
    <row r="3" spans="1:30" ht="15.75" x14ac:dyDescent="0.25">
      <c r="A3" s="817" t="s">
        <v>390</v>
      </c>
      <c r="B3" s="817"/>
      <c r="C3" s="817"/>
      <c r="D3" s="817"/>
      <c r="E3" s="817"/>
      <c r="F3" s="817"/>
      <c r="G3" s="817"/>
      <c r="H3" s="817"/>
      <c r="I3" s="817"/>
      <c r="J3" s="817"/>
      <c r="K3" s="817"/>
      <c r="L3" s="817"/>
      <c r="M3" s="817"/>
      <c r="N3" s="817"/>
      <c r="O3" s="817"/>
      <c r="P3" s="817"/>
      <c r="Q3" s="817"/>
      <c r="R3" s="817"/>
      <c r="S3" s="817"/>
      <c r="T3" s="817"/>
      <c r="U3" s="817"/>
      <c r="V3" s="817"/>
      <c r="W3" s="45"/>
      <c r="X3" s="45"/>
      <c r="Y3" s="45"/>
      <c r="Z3" s="45"/>
      <c r="AA3" s="45"/>
      <c r="AB3" s="45"/>
      <c r="AC3" s="45"/>
      <c r="AD3" s="45"/>
    </row>
    <row r="4" spans="1:30" x14ac:dyDescent="0.25">
      <c r="A4" s="134"/>
      <c r="B4" s="134"/>
      <c r="C4" s="134"/>
      <c r="D4" s="134"/>
      <c r="E4" s="134"/>
      <c r="F4" s="45"/>
      <c r="G4" s="45"/>
      <c r="H4" s="45"/>
      <c r="I4" s="45"/>
      <c r="J4" s="45"/>
      <c r="K4" s="45"/>
      <c r="L4" s="45"/>
      <c r="M4" s="45"/>
      <c r="N4" s="45"/>
      <c r="O4" s="45"/>
      <c r="P4" s="45"/>
      <c r="Q4" s="45"/>
      <c r="R4" s="45"/>
      <c r="S4" s="45"/>
      <c r="T4" s="45"/>
      <c r="U4" s="45"/>
      <c r="V4" s="45"/>
      <c r="W4" s="45"/>
      <c r="X4" s="45"/>
      <c r="Y4" s="45"/>
      <c r="Z4" s="45"/>
      <c r="AA4" s="45"/>
      <c r="AB4" s="45"/>
      <c r="AC4" s="45"/>
      <c r="AD4" s="45"/>
    </row>
    <row r="5" spans="1:30" x14ac:dyDescent="0.25">
      <c r="A5" s="45" t="s">
        <v>55</v>
      </c>
      <c r="B5" s="45"/>
      <c r="C5" s="45" t="s">
        <v>701</v>
      </c>
      <c r="D5" s="141"/>
      <c r="E5" s="45"/>
      <c r="F5" s="45"/>
      <c r="G5" s="45"/>
      <c r="H5" s="45"/>
      <c r="I5" s="45"/>
      <c r="J5" s="45"/>
      <c r="K5" s="45"/>
      <c r="L5" s="45"/>
      <c r="M5" s="45" t="s">
        <v>64</v>
      </c>
      <c r="N5" s="45"/>
      <c r="O5" s="45"/>
      <c r="P5" s="45"/>
      <c r="Q5" s="45"/>
      <c r="R5" s="45"/>
      <c r="S5" s="45" t="s">
        <v>1047</v>
      </c>
      <c r="T5" s="45"/>
      <c r="U5" s="45"/>
      <c r="V5" s="45"/>
      <c r="W5" s="182" t="s">
        <v>816</v>
      </c>
      <c r="X5" s="182"/>
      <c r="Y5" s="45"/>
      <c r="Z5" s="45" t="s">
        <v>817</v>
      </c>
      <c r="AA5" s="45"/>
      <c r="AB5" s="45"/>
      <c r="AC5" s="45"/>
      <c r="AD5" s="45"/>
    </row>
    <row r="6" spans="1:30" x14ac:dyDescent="0.25">
      <c r="A6" s="45" t="s">
        <v>56</v>
      </c>
      <c r="B6" s="45"/>
      <c r="C6" s="45" t="s">
        <v>777</v>
      </c>
      <c r="D6" s="141"/>
      <c r="E6" s="45"/>
      <c r="F6" s="45"/>
      <c r="G6" s="45"/>
      <c r="H6" s="45"/>
      <c r="I6" s="45"/>
      <c r="J6" s="45"/>
      <c r="K6" s="45"/>
      <c r="L6" s="45"/>
      <c r="M6" s="45" t="s">
        <v>63</v>
      </c>
      <c r="N6" s="45"/>
      <c r="O6" s="45"/>
      <c r="P6" s="45"/>
      <c r="Q6" s="45"/>
      <c r="R6" s="45"/>
      <c r="S6" s="45" t="s">
        <v>1045</v>
      </c>
      <c r="T6" s="45"/>
      <c r="U6" s="45"/>
      <c r="V6" s="45"/>
      <c r="W6" s="45" t="s">
        <v>61</v>
      </c>
      <c r="X6" s="45"/>
      <c r="Y6" s="45"/>
      <c r="Z6" s="45" t="s">
        <v>1048</v>
      </c>
      <c r="AA6" s="45"/>
      <c r="AB6" s="45"/>
      <c r="AC6" s="45"/>
      <c r="AD6" s="45"/>
    </row>
    <row r="7" spans="1:30" x14ac:dyDescent="0.25">
      <c r="A7" s="45" t="s">
        <v>57</v>
      </c>
      <c r="B7" s="45"/>
      <c r="C7" s="45" t="s">
        <v>1049</v>
      </c>
      <c r="D7" s="45"/>
      <c r="E7" s="45"/>
      <c r="F7" s="45"/>
      <c r="G7" s="45"/>
      <c r="H7" s="45"/>
      <c r="I7" s="45"/>
      <c r="J7" s="45"/>
      <c r="K7" s="45"/>
      <c r="L7" s="45"/>
      <c r="M7" s="45" t="s">
        <v>696</v>
      </c>
      <c r="N7" s="45"/>
      <c r="O7" s="45"/>
      <c r="P7" s="45"/>
      <c r="Q7" s="45"/>
      <c r="R7" s="45"/>
      <c r="S7" s="45" t="s">
        <v>778</v>
      </c>
      <c r="T7" s="45"/>
      <c r="U7" s="45"/>
      <c r="V7" s="45"/>
      <c r="W7" s="45"/>
      <c r="X7" s="45"/>
      <c r="Y7" s="45"/>
      <c r="Z7" s="45"/>
      <c r="AA7" s="45"/>
      <c r="AB7" s="45"/>
      <c r="AC7" s="45"/>
      <c r="AD7" s="45"/>
    </row>
    <row r="8" spans="1:30" x14ac:dyDescent="0.25">
      <c r="A8" s="45"/>
      <c r="B8" s="45"/>
      <c r="C8" s="45"/>
      <c r="D8" s="182"/>
      <c r="E8" s="182"/>
      <c r="F8" s="182"/>
      <c r="G8" s="182"/>
      <c r="H8" s="182"/>
      <c r="I8" s="182"/>
      <c r="J8" s="182"/>
      <c r="K8" s="182"/>
      <c r="L8" s="182"/>
      <c r="M8" s="182"/>
      <c r="N8" s="182"/>
      <c r="O8" s="182"/>
      <c r="P8" s="182"/>
      <c r="Q8" s="182"/>
      <c r="R8" s="182"/>
      <c r="S8" s="182"/>
      <c r="T8" s="182"/>
      <c r="U8" s="182"/>
      <c r="V8" s="182"/>
      <c r="W8" s="182"/>
      <c r="X8" s="45"/>
      <c r="Y8" s="45"/>
      <c r="Z8" s="45"/>
      <c r="AA8" s="45"/>
      <c r="AB8" s="45"/>
      <c r="AC8" s="45"/>
      <c r="AD8" s="45"/>
    </row>
    <row r="9" spans="1:30" x14ac:dyDescent="0.25">
      <c r="A9" s="1236" t="s">
        <v>0</v>
      </c>
      <c r="B9" s="1236" t="s">
        <v>27</v>
      </c>
      <c r="C9" s="1242" t="s">
        <v>389</v>
      </c>
      <c r="D9" s="1243"/>
      <c r="E9" s="1243"/>
      <c r="F9" s="1243"/>
      <c r="G9" s="1243"/>
      <c r="H9" s="1243"/>
      <c r="I9" s="1243"/>
      <c r="J9" s="1243"/>
      <c r="K9" s="1243"/>
      <c r="L9" s="1243"/>
      <c r="M9" s="1243"/>
      <c r="N9" s="1243"/>
      <c r="O9" s="1243"/>
      <c r="P9" s="1243"/>
      <c r="Q9" s="1243"/>
      <c r="R9" s="1244"/>
      <c r="S9" s="1245" t="s">
        <v>54</v>
      </c>
      <c r="T9" s="1245" t="s">
        <v>31</v>
      </c>
      <c r="U9" s="1248" t="s">
        <v>352</v>
      </c>
      <c r="V9" s="1236" t="s">
        <v>49</v>
      </c>
      <c r="W9" s="45"/>
      <c r="X9" s="45"/>
      <c r="Y9" s="45"/>
      <c r="Z9" s="45"/>
      <c r="AA9" s="45"/>
      <c r="AB9" s="45"/>
      <c r="AC9" s="45"/>
      <c r="AD9" s="45"/>
    </row>
    <row r="10" spans="1:30" x14ac:dyDescent="0.25">
      <c r="A10" s="1237"/>
      <c r="B10" s="1237"/>
      <c r="C10" s="183">
        <v>1</v>
      </c>
      <c r="D10" s="184"/>
      <c r="E10" s="184">
        <v>2</v>
      </c>
      <c r="F10" s="184"/>
      <c r="G10" s="184">
        <v>3</v>
      </c>
      <c r="H10" s="184"/>
      <c r="I10" s="184">
        <v>4</v>
      </c>
      <c r="J10" s="184"/>
      <c r="K10" s="184">
        <v>5</v>
      </c>
      <c r="L10" s="184"/>
      <c r="M10" s="184" t="s">
        <v>794</v>
      </c>
      <c r="N10" s="184"/>
      <c r="O10" s="184" t="s">
        <v>795</v>
      </c>
      <c r="P10" s="184"/>
      <c r="Q10" s="184" t="s">
        <v>796</v>
      </c>
      <c r="R10" s="184"/>
      <c r="S10" s="1246"/>
      <c r="T10" s="1246"/>
      <c r="U10" s="1249"/>
      <c r="V10" s="1237"/>
      <c r="W10" s="45"/>
      <c r="X10" s="45"/>
      <c r="Y10" s="45"/>
      <c r="Z10" s="45"/>
      <c r="AA10" s="45"/>
      <c r="AB10" s="45"/>
      <c r="AC10" s="45"/>
      <c r="AD10" s="45"/>
    </row>
    <row r="11" spans="1:30" ht="15.75" thickBot="1" x14ac:dyDescent="0.3">
      <c r="A11" s="1238"/>
      <c r="B11" s="1238"/>
      <c r="C11" s="185"/>
      <c r="D11" s="186"/>
      <c r="E11" s="186"/>
      <c r="F11" s="186"/>
      <c r="G11" s="186"/>
      <c r="H11" s="186"/>
      <c r="I11" s="186"/>
      <c r="J11" s="186"/>
      <c r="K11" s="186"/>
      <c r="L11" s="186"/>
      <c r="M11" s="186"/>
      <c r="N11" s="186"/>
      <c r="O11" s="186"/>
      <c r="P11" s="186"/>
      <c r="Q11" s="186"/>
      <c r="R11" s="186"/>
      <c r="S11" s="1247"/>
      <c r="T11" s="1247"/>
      <c r="U11" s="1250"/>
      <c r="V11" s="1238"/>
      <c r="W11" s="187" t="s">
        <v>16</v>
      </c>
      <c r="X11" s="188"/>
      <c r="Y11" s="187"/>
      <c r="Z11" s="188"/>
      <c r="AA11" s="45"/>
      <c r="AB11" s="45"/>
      <c r="AC11" s="188"/>
      <c r="AD11" s="45"/>
    </row>
    <row r="12" spans="1:30" ht="16.5" thickTop="1" thickBot="1" x14ac:dyDescent="0.3">
      <c r="A12" s="189">
        <v>1</v>
      </c>
      <c r="B12" s="421" t="s">
        <v>927</v>
      </c>
      <c r="C12" s="338"/>
      <c r="D12" s="338"/>
      <c r="E12" s="338"/>
      <c r="F12" s="338"/>
      <c r="G12" s="338"/>
      <c r="H12" s="338"/>
      <c r="I12" s="338"/>
      <c r="J12" s="338"/>
      <c r="K12" s="338"/>
      <c r="L12" s="338"/>
      <c r="M12" s="338"/>
      <c r="N12" s="338"/>
      <c r="O12" s="338"/>
      <c r="P12" s="338"/>
      <c r="Q12" s="338"/>
      <c r="R12" s="338"/>
      <c r="S12" s="338"/>
      <c r="T12" s="338"/>
      <c r="U12" s="338"/>
      <c r="V12" s="338"/>
      <c r="W12" s="47">
        <v>1</v>
      </c>
      <c r="X12" s="45" t="s">
        <v>349</v>
      </c>
      <c r="Y12" s="47"/>
      <c r="Z12" s="45"/>
      <c r="AA12" s="45"/>
      <c r="AB12" s="45"/>
      <c r="AC12" s="47"/>
      <c r="AD12" s="45"/>
    </row>
    <row r="13" spans="1:30" ht="18" thickTop="1" thickBot="1" x14ac:dyDescent="0.3">
      <c r="A13" s="190">
        <v>2</v>
      </c>
      <c r="B13" s="372" t="s">
        <v>928</v>
      </c>
      <c r="C13" s="338"/>
      <c r="D13" s="338"/>
      <c r="E13" s="338"/>
      <c r="F13" s="338"/>
      <c r="G13" s="338"/>
      <c r="H13" s="338"/>
      <c r="I13" s="338"/>
      <c r="J13" s="338"/>
      <c r="K13" s="338"/>
      <c r="L13" s="338"/>
      <c r="M13" s="338"/>
      <c r="N13" s="338"/>
      <c r="O13" s="338"/>
      <c r="P13" s="338"/>
      <c r="Q13" s="338"/>
      <c r="R13" s="338"/>
      <c r="S13" s="338"/>
      <c r="T13" s="338"/>
      <c r="U13" s="338"/>
      <c r="V13" s="338"/>
      <c r="W13" s="188"/>
      <c r="X13" s="191"/>
      <c r="Y13" s="191" t="s">
        <v>186</v>
      </c>
      <c r="Z13" s="45"/>
      <c r="AA13" s="45"/>
      <c r="AB13" s="45"/>
      <c r="AC13" s="191"/>
      <c r="AD13" s="45"/>
    </row>
    <row r="14" spans="1:30" ht="18" thickTop="1" thickBot="1" x14ac:dyDescent="0.3">
      <c r="A14" s="190">
        <v>3</v>
      </c>
      <c r="B14" s="374" t="s">
        <v>929</v>
      </c>
      <c r="C14" s="338"/>
      <c r="D14" s="338"/>
      <c r="E14" s="338"/>
      <c r="F14" s="338"/>
      <c r="G14" s="338"/>
      <c r="H14" s="338"/>
      <c r="I14" s="338"/>
      <c r="J14" s="338"/>
      <c r="K14" s="338"/>
      <c r="L14" s="338"/>
      <c r="M14" s="338"/>
      <c r="N14" s="338"/>
      <c r="O14" s="338"/>
      <c r="P14" s="338"/>
      <c r="Q14" s="338"/>
      <c r="R14" s="338"/>
      <c r="S14" s="338"/>
      <c r="T14" s="338"/>
      <c r="U14" s="338"/>
      <c r="V14" s="338"/>
      <c r="W14" s="45"/>
      <c r="X14" s="45"/>
      <c r="Y14" s="45"/>
      <c r="Z14" s="45"/>
      <c r="AA14" s="45"/>
      <c r="AB14" s="45"/>
      <c r="AC14" s="45"/>
      <c r="AD14" s="45"/>
    </row>
    <row r="15" spans="1:30" ht="18" thickTop="1" thickBot="1" x14ac:dyDescent="0.3">
      <c r="A15" s="354">
        <v>4</v>
      </c>
      <c r="B15" s="374" t="s">
        <v>953</v>
      </c>
      <c r="C15" s="338"/>
      <c r="D15" s="338"/>
      <c r="E15" s="338"/>
      <c r="F15" s="338"/>
      <c r="G15" s="338"/>
      <c r="H15" s="338"/>
      <c r="I15" s="338"/>
      <c r="J15" s="338"/>
      <c r="K15" s="338"/>
      <c r="L15" s="338"/>
      <c r="M15" s="338"/>
      <c r="N15" s="338"/>
      <c r="O15" s="338"/>
      <c r="P15" s="338"/>
      <c r="Q15" s="338"/>
      <c r="R15" s="338"/>
      <c r="S15" s="338"/>
      <c r="T15" s="338"/>
      <c r="U15" s="338"/>
      <c r="V15" s="338"/>
      <c r="W15" s="45"/>
      <c r="X15" s="147" t="s">
        <v>350</v>
      </c>
      <c r="Y15" s="147"/>
      <c r="Z15" s="147"/>
      <c r="AA15" s="147"/>
      <c r="AB15" s="147"/>
      <c r="AC15" s="147"/>
      <c r="AD15" s="147"/>
    </row>
    <row r="16" spans="1:30" ht="18" thickTop="1" thickBot="1" x14ac:dyDescent="0.3">
      <c r="A16" s="339">
        <v>5</v>
      </c>
      <c r="B16" s="372" t="s">
        <v>954</v>
      </c>
      <c r="C16" s="338"/>
      <c r="D16" s="338"/>
      <c r="E16" s="338"/>
      <c r="F16" s="338"/>
      <c r="G16" s="338"/>
      <c r="H16" s="338"/>
      <c r="I16" s="338"/>
      <c r="J16" s="338"/>
      <c r="K16" s="338"/>
      <c r="L16" s="338"/>
      <c r="M16" s="338"/>
      <c r="N16" s="338"/>
      <c r="O16" s="338"/>
      <c r="P16" s="338"/>
      <c r="Q16" s="338"/>
      <c r="R16" s="338"/>
      <c r="S16" s="338"/>
      <c r="T16" s="338"/>
      <c r="U16" s="338"/>
      <c r="V16" s="338"/>
      <c r="W16" s="45"/>
      <c r="X16" s="147"/>
      <c r="Y16" s="147"/>
      <c r="Z16" s="192" t="s">
        <v>187</v>
      </c>
      <c r="AA16" s="192"/>
      <c r="AB16" s="192"/>
      <c r="AC16" s="192"/>
      <c r="AD16" s="147"/>
    </row>
    <row r="17" spans="1:30" ht="18" thickTop="1" thickBot="1" x14ac:dyDescent="0.3">
      <c r="A17" s="339">
        <v>6</v>
      </c>
      <c r="B17" s="372" t="s">
        <v>930</v>
      </c>
      <c r="C17" s="338"/>
      <c r="D17" s="338"/>
      <c r="E17" s="338"/>
      <c r="F17" s="338"/>
      <c r="G17" s="338"/>
      <c r="H17" s="338"/>
      <c r="I17" s="338"/>
      <c r="J17" s="338"/>
      <c r="K17" s="338"/>
      <c r="L17" s="338"/>
      <c r="M17" s="338"/>
      <c r="N17" s="338"/>
      <c r="O17" s="338"/>
      <c r="P17" s="338"/>
      <c r="Q17" s="338"/>
      <c r="R17" s="338"/>
      <c r="S17" s="338"/>
      <c r="T17" s="338"/>
      <c r="U17" s="338"/>
      <c r="V17" s="338"/>
      <c r="W17" s="47">
        <v>2</v>
      </c>
      <c r="X17" s="192" t="s">
        <v>58</v>
      </c>
      <c r="Y17" s="192"/>
      <c r="Z17" s="192"/>
      <c r="AA17" s="192"/>
      <c r="AB17" s="192"/>
      <c r="AC17" s="192"/>
      <c r="AD17" s="192"/>
    </row>
    <row r="18" spans="1:30" ht="18" thickTop="1" thickBot="1" x14ac:dyDescent="0.3">
      <c r="A18" s="354">
        <v>7</v>
      </c>
      <c r="B18" s="372" t="s">
        <v>931</v>
      </c>
      <c r="C18" s="338"/>
      <c r="D18" s="338"/>
      <c r="E18" s="338"/>
      <c r="F18" s="338"/>
      <c r="G18" s="338"/>
      <c r="H18" s="338"/>
      <c r="I18" s="338"/>
      <c r="J18" s="338"/>
      <c r="K18" s="338"/>
      <c r="L18" s="338"/>
      <c r="M18" s="338"/>
      <c r="N18" s="338"/>
      <c r="O18" s="338"/>
      <c r="P18" s="338"/>
      <c r="Q18" s="338"/>
      <c r="R18" s="338"/>
      <c r="S18" s="338"/>
      <c r="T18" s="338"/>
      <c r="U18" s="338"/>
      <c r="V18" s="338"/>
      <c r="W18" s="45"/>
      <c r="X18" s="188" t="s">
        <v>50</v>
      </c>
      <c r="Y18" s="45"/>
      <c r="Z18" s="188"/>
      <c r="AA18" s="45"/>
      <c r="AB18" s="45"/>
      <c r="AC18" s="192"/>
      <c r="AD18" s="192"/>
    </row>
    <row r="19" spans="1:30" ht="18" thickTop="1" thickBot="1" x14ac:dyDescent="0.3">
      <c r="A19" s="339">
        <v>8</v>
      </c>
      <c r="B19" s="372" t="s">
        <v>932</v>
      </c>
      <c r="C19" s="338"/>
      <c r="D19" s="338"/>
      <c r="E19" s="338"/>
      <c r="F19" s="338"/>
      <c r="G19" s="338"/>
      <c r="H19" s="338"/>
      <c r="I19" s="338"/>
      <c r="J19" s="338"/>
      <c r="K19" s="338"/>
      <c r="L19" s="338"/>
      <c r="M19" s="338"/>
      <c r="N19" s="338"/>
      <c r="O19" s="338"/>
      <c r="P19" s="338"/>
      <c r="Q19" s="338"/>
      <c r="R19" s="338"/>
      <c r="S19" s="338"/>
      <c r="T19" s="338"/>
      <c r="U19" s="338"/>
      <c r="V19" s="338"/>
      <c r="W19" s="47">
        <v>3</v>
      </c>
      <c r="X19" s="1239" t="s">
        <v>351</v>
      </c>
      <c r="Y19" s="1239"/>
      <c r="Z19" s="1239"/>
      <c r="AA19" s="1239"/>
      <c r="AB19" s="1239"/>
      <c r="AC19" s="1239"/>
      <c r="AD19" s="1239"/>
    </row>
    <row r="20" spans="1:30" ht="18" thickTop="1" thickBot="1" x14ac:dyDescent="0.3">
      <c r="A20" s="339">
        <v>9</v>
      </c>
      <c r="B20" s="372" t="s">
        <v>933</v>
      </c>
      <c r="C20" s="338"/>
      <c r="D20" s="338"/>
      <c r="E20" s="338"/>
      <c r="F20" s="338"/>
      <c r="G20" s="338"/>
      <c r="H20" s="338"/>
      <c r="I20" s="338"/>
      <c r="J20" s="338"/>
      <c r="K20" s="338"/>
      <c r="L20" s="338"/>
      <c r="M20" s="338"/>
      <c r="N20" s="338"/>
      <c r="O20" s="338"/>
      <c r="P20" s="338"/>
      <c r="Q20" s="338"/>
      <c r="R20" s="338"/>
      <c r="S20" s="338"/>
      <c r="T20" s="338"/>
      <c r="U20" s="338"/>
      <c r="V20" s="338"/>
      <c r="W20" s="45"/>
      <c r="X20" s="1239"/>
      <c r="Y20" s="1239"/>
      <c r="Z20" s="1239"/>
      <c r="AA20" s="1239"/>
      <c r="AB20" s="1239"/>
      <c r="AC20" s="1239"/>
      <c r="AD20" s="1239"/>
    </row>
    <row r="21" spans="1:30" ht="18" thickTop="1" thickBot="1" x14ac:dyDescent="0.3">
      <c r="A21" s="354">
        <v>10</v>
      </c>
      <c r="B21" s="372" t="s">
        <v>934</v>
      </c>
      <c r="C21" s="338"/>
      <c r="D21" s="338"/>
      <c r="E21" s="338"/>
      <c r="F21" s="338"/>
      <c r="G21" s="338"/>
      <c r="H21" s="338"/>
      <c r="I21" s="338"/>
      <c r="J21" s="338"/>
      <c r="K21" s="338"/>
      <c r="L21" s="338"/>
      <c r="M21" s="338"/>
      <c r="N21" s="338"/>
      <c r="O21" s="338"/>
      <c r="P21" s="338"/>
      <c r="Q21" s="338"/>
      <c r="R21" s="338"/>
      <c r="S21" s="338"/>
      <c r="T21" s="338"/>
      <c r="U21" s="338"/>
      <c r="V21" s="338"/>
      <c r="W21" s="45"/>
      <c r="X21" s="45"/>
      <c r="Y21" s="45"/>
      <c r="Z21" s="45"/>
      <c r="AA21" s="45"/>
      <c r="AB21" s="45"/>
      <c r="AC21" s="45"/>
      <c r="AD21" s="45"/>
    </row>
    <row r="22" spans="1:30" ht="18" thickTop="1" thickBot="1" x14ac:dyDescent="0.3">
      <c r="A22" s="339">
        <v>11</v>
      </c>
      <c r="B22" s="372" t="s">
        <v>935</v>
      </c>
      <c r="C22" s="338"/>
      <c r="D22" s="338"/>
      <c r="E22" s="338"/>
      <c r="F22" s="338"/>
      <c r="G22" s="338"/>
      <c r="H22" s="338"/>
      <c r="I22" s="338"/>
      <c r="J22" s="338"/>
      <c r="K22" s="338"/>
      <c r="L22" s="338"/>
      <c r="M22" s="338"/>
      <c r="N22" s="338"/>
      <c r="O22" s="338"/>
      <c r="P22" s="338"/>
      <c r="Q22" s="338"/>
      <c r="R22" s="338"/>
      <c r="S22" s="338"/>
      <c r="T22" s="338"/>
      <c r="U22" s="338"/>
      <c r="V22" s="338"/>
      <c r="W22" s="47">
        <v>4</v>
      </c>
      <c r="X22" s="45" t="s">
        <v>188</v>
      </c>
      <c r="Y22" s="47"/>
      <c r="Z22" s="45"/>
      <c r="AA22" s="45"/>
      <c r="AB22" s="45" t="s">
        <v>1045</v>
      </c>
      <c r="AC22" s="45"/>
      <c r="AD22" s="45"/>
    </row>
    <row r="23" spans="1:30" ht="18" thickTop="1" thickBot="1" x14ac:dyDescent="0.3">
      <c r="A23" s="339">
        <v>12</v>
      </c>
      <c r="B23" s="372" t="s">
        <v>936</v>
      </c>
      <c r="C23" s="338"/>
      <c r="D23" s="338"/>
      <c r="E23" s="338"/>
      <c r="F23" s="338"/>
      <c r="G23" s="338"/>
      <c r="H23" s="338"/>
      <c r="I23" s="338"/>
      <c r="J23" s="338"/>
      <c r="K23" s="338"/>
      <c r="L23" s="338"/>
      <c r="M23" s="338"/>
      <c r="N23" s="338"/>
      <c r="O23" s="338"/>
      <c r="P23" s="338"/>
      <c r="Q23" s="338"/>
      <c r="R23" s="338"/>
      <c r="S23" s="338"/>
      <c r="T23" s="338"/>
      <c r="U23" s="338"/>
      <c r="V23" s="338"/>
      <c r="W23" s="47"/>
      <c r="X23" s="45" t="s">
        <v>51</v>
      </c>
      <c r="Y23" s="47"/>
      <c r="Z23" s="45"/>
      <c r="AA23" s="45"/>
      <c r="AB23" s="45" t="s">
        <v>1045</v>
      </c>
      <c r="AC23" s="45"/>
      <c r="AD23" s="45"/>
    </row>
    <row r="24" spans="1:30" ht="18" thickTop="1" thickBot="1" x14ac:dyDescent="0.3">
      <c r="A24" s="354">
        <v>13</v>
      </c>
      <c r="B24" s="372" t="s">
        <v>937</v>
      </c>
      <c r="C24" s="338"/>
      <c r="D24" s="338"/>
      <c r="E24" s="338"/>
      <c r="F24" s="338"/>
      <c r="G24" s="338"/>
      <c r="H24" s="338"/>
      <c r="I24" s="338"/>
      <c r="J24" s="338"/>
      <c r="K24" s="338"/>
      <c r="L24" s="338"/>
      <c r="M24" s="338"/>
      <c r="N24" s="338"/>
      <c r="O24" s="338"/>
      <c r="P24" s="338"/>
      <c r="Q24" s="338"/>
      <c r="R24" s="338"/>
      <c r="S24" s="338"/>
      <c r="T24" s="338"/>
      <c r="U24" s="338"/>
      <c r="V24" s="338"/>
      <c r="W24" s="45"/>
      <c r="X24" s="45" t="s">
        <v>189</v>
      </c>
      <c r="Y24" s="188"/>
      <c r="Z24" s="45"/>
      <c r="AA24" s="45"/>
      <c r="AB24" s="45">
        <v>0</v>
      </c>
      <c r="AC24" s="45"/>
      <c r="AD24" s="45"/>
    </row>
    <row r="25" spans="1:30" ht="18" thickTop="1" thickBot="1" x14ac:dyDescent="0.3">
      <c r="A25" s="339">
        <v>14</v>
      </c>
      <c r="B25" s="372" t="s">
        <v>938</v>
      </c>
      <c r="C25" s="338"/>
      <c r="D25" s="338"/>
      <c r="E25" s="338"/>
      <c r="F25" s="338"/>
      <c r="G25" s="338"/>
      <c r="H25" s="338"/>
      <c r="I25" s="338"/>
      <c r="J25" s="338"/>
      <c r="K25" s="338"/>
      <c r="L25" s="338"/>
      <c r="M25" s="338"/>
      <c r="N25" s="338"/>
      <c r="O25" s="338"/>
      <c r="P25" s="338"/>
      <c r="Q25" s="338"/>
      <c r="R25" s="338"/>
      <c r="S25" s="338"/>
      <c r="T25" s="338"/>
      <c r="U25" s="338"/>
      <c r="V25" s="338"/>
      <c r="W25" s="45"/>
      <c r="X25" s="45" t="s">
        <v>59</v>
      </c>
      <c r="Y25" s="45"/>
      <c r="Z25" s="45" t="s">
        <v>34</v>
      </c>
      <c r="AA25" s="340" t="s">
        <v>1050</v>
      </c>
      <c r="AB25" s="340"/>
      <c r="AC25" s="45" t="s">
        <v>842</v>
      </c>
      <c r="AD25" s="45"/>
    </row>
    <row r="26" spans="1:30" ht="18" thickTop="1" thickBot="1" x14ac:dyDescent="0.3">
      <c r="A26" s="339">
        <v>15</v>
      </c>
      <c r="B26" s="372" t="s">
        <v>939</v>
      </c>
      <c r="C26" s="338"/>
      <c r="D26" s="338"/>
      <c r="E26" s="338"/>
      <c r="F26" s="338"/>
      <c r="G26" s="338"/>
      <c r="H26" s="338"/>
      <c r="I26" s="338"/>
      <c r="J26" s="338"/>
      <c r="K26" s="338"/>
      <c r="L26" s="338"/>
      <c r="M26" s="338"/>
      <c r="N26" s="338"/>
      <c r="O26" s="338"/>
      <c r="P26" s="338"/>
      <c r="Q26" s="338"/>
      <c r="R26" s="338"/>
      <c r="S26" s="338"/>
      <c r="T26" s="338"/>
      <c r="U26" s="338"/>
      <c r="V26" s="338"/>
      <c r="W26" s="45"/>
      <c r="X26" s="45"/>
      <c r="Y26" s="45"/>
      <c r="Z26" s="45"/>
      <c r="AA26" s="45">
        <v>36</v>
      </c>
      <c r="AB26" s="45"/>
      <c r="AC26" s="45"/>
      <c r="AD26" s="45"/>
    </row>
    <row r="27" spans="1:30" ht="18" thickTop="1" thickBot="1" x14ac:dyDescent="0.3">
      <c r="A27" s="354">
        <v>16</v>
      </c>
      <c r="B27" s="372" t="s">
        <v>940</v>
      </c>
      <c r="C27" s="338"/>
      <c r="D27" s="338"/>
      <c r="E27" s="338"/>
      <c r="F27" s="338"/>
      <c r="G27" s="338"/>
      <c r="H27" s="338"/>
      <c r="I27" s="338"/>
      <c r="J27" s="338"/>
      <c r="K27" s="338"/>
      <c r="L27" s="338"/>
      <c r="M27" s="338"/>
      <c r="N27" s="338"/>
      <c r="O27" s="338"/>
      <c r="P27" s="338"/>
      <c r="Q27" s="338"/>
      <c r="R27" s="338"/>
      <c r="S27" s="338"/>
      <c r="T27" s="338"/>
      <c r="U27" s="338"/>
      <c r="V27" s="338"/>
      <c r="W27" s="45"/>
      <c r="X27" s="45" t="s">
        <v>60</v>
      </c>
      <c r="Y27" s="45"/>
      <c r="Z27" s="45" t="s">
        <v>818</v>
      </c>
      <c r="AA27" s="45"/>
      <c r="AB27" s="45"/>
      <c r="AC27" s="45"/>
      <c r="AD27" s="45"/>
    </row>
    <row r="28" spans="1:30" ht="18" thickTop="1" thickBot="1" x14ac:dyDescent="0.3">
      <c r="A28" s="339">
        <v>17</v>
      </c>
      <c r="B28" s="372" t="s">
        <v>941</v>
      </c>
      <c r="C28" s="338"/>
      <c r="D28" s="338"/>
      <c r="E28" s="338"/>
      <c r="F28" s="338"/>
      <c r="G28" s="338"/>
      <c r="H28" s="338"/>
      <c r="I28" s="338"/>
      <c r="J28" s="338"/>
      <c r="K28" s="338"/>
      <c r="L28" s="338"/>
      <c r="M28" s="338"/>
      <c r="N28" s="338"/>
      <c r="O28" s="338"/>
      <c r="P28" s="338"/>
      <c r="Q28" s="338"/>
      <c r="R28" s="338"/>
      <c r="S28" s="338"/>
      <c r="T28" s="338"/>
      <c r="U28" s="338"/>
      <c r="V28" s="338"/>
      <c r="W28" s="141">
        <v>5</v>
      </c>
      <c r="X28" s="45" t="s">
        <v>391</v>
      </c>
      <c r="Y28" s="45"/>
      <c r="Z28" s="340" t="s">
        <v>843</v>
      </c>
      <c r="AA28" s="340"/>
      <c r="AB28" s="45"/>
      <c r="AC28" s="45" t="s">
        <v>844</v>
      </c>
      <c r="AD28" s="131"/>
    </row>
    <row r="29" spans="1:30" ht="18" thickTop="1" thickBot="1" x14ac:dyDescent="0.3">
      <c r="A29" s="339">
        <v>18</v>
      </c>
      <c r="B29" s="372" t="s">
        <v>942</v>
      </c>
      <c r="C29" s="338"/>
      <c r="D29" s="338"/>
      <c r="E29" s="338"/>
      <c r="F29" s="338"/>
      <c r="G29" s="338"/>
      <c r="H29" s="338"/>
      <c r="I29" s="338"/>
      <c r="J29" s="338"/>
      <c r="K29" s="338"/>
      <c r="L29" s="338"/>
      <c r="M29" s="338"/>
      <c r="N29" s="338"/>
      <c r="O29" s="338"/>
      <c r="P29" s="338"/>
      <c r="Q29" s="338"/>
      <c r="R29" s="338"/>
      <c r="S29" s="338"/>
      <c r="T29" s="338"/>
      <c r="U29" s="338"/>
      <c r="V29" s="338"/>
      <c r="W29" s="45"/>
      <c r="X29" s="45"/>
      <c r="Y29" s="231"/>
      <c r="Z29" s="341">
        <v>3300</v>
      </c>
      <c r="AA29" s="341"/>
      <c r="AB29" s="45"/>
      <c r="AC29" s="45"/>
      <c r="AD29" s="45"/>
    </row>
    <row r="30" spans="1:30" ht="18" thickTop="1" thickBot="1" x14ac:dyDescent="0.3">
      <c r="A30" s="354">
        <v>19</v>
      </c>
      <c r="B30" s="372" t="s">
        <v>956</v>
      </c>
      <c r="C30" s="338"/>
      <c r="D30" s="338"/>
      <c r="E30" s="338"/>
      <c r="F30" s="338"/>
      <c r="G30" s="338"/>
      <c r="H30" s="338"/>
      <c r="I30" s="338"/>
      <c r="J30" s="338"/>
      <c r="K30" s="338"/>
      <c r="L30" s="338"/>
      <c r="M30" s="338"/>
      <c r="N30" s="338"/>
      <c r="O30" s="338"/>
      <c r="P30" s="338"/>
      <c r="Q30" s="338"/>
      <c r="R30" s="338"/>
      <c r="S30" s="338"/>
      <c r="T30" s="338"/>
      <c r="U30" s="338"/>
      <c r="V30" s="338"/>
      <c r="W30" s="45"/>
      <c r="X30" s="45"/>
      <c r="Y30" s="45"/>
      <c r="Z30" s="45"/>
      <c r="AA30" s="45"/>
      <c r="AB30" s="45"/>
      <c r="AC30" s="45"/>
      <c r="AD30" s="45"/>
    </row>
    <row r="31" spans="1:30" ht="18" thickTop="1" thickBot="1" x14ac:dyDescent="0.3">
      <c r="A31" s="339">
        <v>20</v>
      </c>
      <c r="B31" s="372" t="s">
        <v>943</v>
      </c>
      <c r="C31" s="338"/>
      <c r="D31" s="338"/>
      <c r="E31" s="338"/>
      <c r="F31" s="338"/>
      <c r="G31" s="338"/>
      <c r="H31" s="338"/>
      <c r="I31" s="338"/>
      <c r="J31" s="338"/>
      <c r="K31" s="338"/>
      <c r="L31" s="338"/>
      <c r="M31" s="338"/>
      <c r="N31" s="338"/>
      <c r="O31" s="338"/>
      <c r="P31" s="338"/>
      <c r="Q31" s="338"/>
      <c r="R31" s="338"/>
      <c r="S31" s="338"/>
      <c r="T31" s="338"/>
      <c r="U31" s="338"/>
      <c r="V31" s="338"/>
      <c r="W31" s="45"/>
      <c r="X31" s="45"/>
      <c r="Y31" s="45"/>
      <c r="Z31" s="45"/>
      <c r="AA31" s="45"/>
      <c r="AB31" s="45"/>
      <c r="AC31" s="45"/>
      <c r="AD31" s="45"/>
    </row>
    <row r="32" spans="1:30" ht="18" thickTop="1" thickBot="1" x14ac:dyDescent="0.3">
      <c r="A32" s="339">
        <v>21</v>
      </c>
      <c r="B32" s="372" t="s">
        <v>944</v>
      </c>
      <c r="C32" s="338"/>
      <c r="D32" s="338"/>
      <c r="E32" s="338"/>
      <c r="F32" s="338"/>
      <c r="G32" s="338"/>
      <c r="H32" s="338"/>
      <c r="I32" s="338"/>
      <c r="J32" s="338"/>
      <c r="K32" s="338"/>
      <c r="L32" s="338"/>
      <c r="M32" s="338"/>
      <c r="N32" s="338"/>
      <c r="O32" s="338"/>
      <c r="P32" s="338"/>
      <c r="Q32" s="338"/>
      <c r="R32" s="338"/>
      <c r="S32" s="338"/>
      <c r="T32" s="338"/>
      <c r="U32" s="338"/>
      <c r="V32" s="338"/>
      <c r="W32" s="187" t="s">
        <v>42</v>
      </c>
      <c r="X32" s="45"/>
      <c r="Y32" s="45"/>
      <c r="Z32" s="45"/>
      <c r="AA32" s="45"/>
      <c r="AB32" s="45"/>
      <c r="AC32" s="45"/>
      <c r="AD32" s="45"/>
    </row>
    <row r="33" spans="1:30" ht="18" thickTop="1" thickBot="1" x14ac:dyDescent="0.3">
      <c r="A33" s="354">
        <v>22</v>
      </c>
      <c r="B33" s="372" t="s">
        <v>957</v>
      </c>
      <c r="C33" s="338"/>
      <c r="D33" s="338"/>
      <c r="E33" s="338"/>
      <c r="F33" s="338"/>
      <c r="G33" s="338"/>
      <c r="H33" s="338"/>
      <c r="I33" s="338"/>
      <c r="J33" s="338"/>
      <c r="K33" s="338"/>
      <c r="L33" s="338"/>
      <c r="M33" s="338"/>
      <c r="N33" s="338"/>
      <c r="O33" s="338"/>
      <c r="P33" s="338"/>
      <c r="Q33" s="338"/>
      <c r="R33" s="338"/>
      <c r="S33" s="338"/>
      <c r="T33" s="338"/>
      <c r="U33" s="338"/>
      <c r="V33" s="338"/>
      <c r="W33" s="47">
        <v>1</v>
      </c>
      <c r="X33" s="188" t="s">
        <v>52</v>
      </c>
      <c r="Y33" s="45"/>
      <c r="Z33" s="45"/>
      <c r="AA33" s="45"/>
      <c r="AB33" s="45"/>
      <c r="AC33" s="45"/>
      <c r="AD33" s="45"/>
    </row>
    <row r="34" spans="1:30" ht="18" thickTop="1" thickBot="1" x14ac:dyDescent="0.3">
      <c r="A34" s="339">
        <v>23</v>
      </c>
      <c r="B34" s="372" t="s">
        <v>945</v>
      </c>
      <c r="C34" s="338"/>
      <c r="D34" s="338"/>
      <c r="E34" s="338"/>
      <c r="F34" s="338"/>
      <c r="G34" s="338"/>
      <c r="H34" s="338"/>
      <c r="I34" s="338"/>
      <c r="J34" s="338"/>
      <c r="K34" s="338"/>
      <c r="L34" s="338"/>
      <c r="M34" s="338"/>
      <c r="N34" s="338"/>
      <c r="O34" s="338"/>
      <c r="P34" s="338"/>
      <c r="Q34" s="338"/>
      <c r="R34" s="338"/>
      <c r="S34" s="338"/>
      <c r="T34" s="338"/>
      <c r="U34" s="338"/>
      <c r="V34" s="338"/>
      <c r="W34" s="47"/>
      <c r="X34" s="45" t="s">
        <v>819</v>
      </c>
      <c r="Y34" s="45"/>
      <c r="Z34" s="45"/>
      <c r="AA34" s="45"/>
      <c r="AB34" s="45"/>
      <c r="AC34" s="45"/>
      <c r="AD34" s="45"/>
    </row>
    <row r="35" spans="1:30" ht="18" thickTop="1" thickBot="1" x14ac:dyDescent="0.3">
      <c r="A35" s="339">
        <v>24</v>
      </c>
      <c r="B35" s="372" t="s">
        <v>958</v>
      </c>
      <c r="C35" s="338"/>
      <c r="D35" s="338"/>
      <c r="E35" s="338"/>
      <c r="F35" s="338"/>
      <c r="G35" s="338"/>
      <c r="H35" s="338"/>
      <c r="I35" s="338"/>
      <c r="J35" s="338"/>
      <c r="K35" s="338"/>
      <c r="L35" s="338"/>
      <c r="M35" s="338"/>
      <c r="N35" s="338"/>
      <c r="O35" s="338"/>
      <c r="P35" s="338"/>
      <c r="Q35" s="338"/>
      <c r="R35" s="338"/>
      <c r="S35" s="338"/>
      <c r="T35" s="338"/>
      <c r="U35" s="338"/>
      <c r="V35" s="338"/>
      <c r="W35" s="47">
        <v>2</v>
      </c>
      <c r="X35" s="188" t="s">
        <v>53</v>
      </c>
      <c r="Y35" s="45"/>
      <c r="Z35" s="45"/>
      <c r="AA35" s="45"/>
      <c r="AB35" s="45"/>
      <c r="AC35" s="45"/>
      <c r="AD35" s="45"/>
    </row>
    <row r="36" spans="1:30" ht="18" thickTop="1" thickBot="1" x14ac:dyDescent="0.3">
      <c r="A36" s="354">
        <v>25</v>
      </c>
      <c r="B36" s="372" t="s">
        <v>946</v>
      </c>
      <c r="C36" s="338"/>
      <c r="D36" s="338"/>
      <c r="E36" s="338"/>
      <c r="F36" s="338"/>
      <c r="G36" s="338"/>
      <c r="H36" s="338"/>
      <c r="I36" s="338"/>
      <c r="J36" s="338"/>
      <c r="K36" s="338"/>
      <c r="L36" s="338"/>
      <c r="M36" s="338"/>
      <c r="N36" s="338"/>
      <c r="O36" s="338"/>
      <c r="P36" s="338"/>
      <c r="Q36" s="338"/>
      <c r="R36" s="338"/>
      <c r="S36" s="338"/>
      <c r="T36" s="338"/>
      <c r="U36" s="338"/>
      <c r="V36" s="338"/>
      <c r="W36" s="47"/>
      <c r="X36" s="45" t="s">
        <v>845</v>
      </c>
      <c r="Y36" s="45"/>
      <c r="Z36" s="45"/>
      <c r="AA36" s="45"/>
      <c r="AB36" s="45"/>
      <c r="AC36" s="45"/>
      <c r="AD36" s="45"/>
    </row>
    <row r="37" spans="1:30" ht="18" thickTop="1" thickBot="1" x14ac:dyDescent="0.3">
      <c r="A37" s="339">
        <v>26</v>
      </c>
      <c r="B37" s="372" t="s">
        <v>947</v>
      </c>
      <c r="C37" s="338"/>
      <c r="D37" s="338"/>
      <c r="E37" s="338"/>
      <c r="F37" s="338"/>
      <c r="G37" s="338"/>
      <c r="H37" s="338"/>
      <c r="I37" s="338"/>
      <c r="J37" s="338"/>
      <c r="K37" s="338"/>
      <c r="L37" s="338"/>
      <c r="M37" s="338"/>
      <c r="N37" s="338"/>
      <c r="O37" s="338"/>
      <c r="P37" s="338"/>
      <c r="Q37" s="338"/>
      <c r="R37" s="338"/>
      <c r="S37" s="338"/>
      <c r="T37" s="338"/>
      <c r="U37" s="338"/>
      <c r="V37" s="338"/>
      <c r="W37" s="47"/>
      <c r="X37" s="188"/>
      <c r="Y37" s="45"/>
      <c r="Z37" s="45"/>
      <c r="AA37" s="45"/>
      <c r="AB37" s="45"/>
      <c r="AC37" s="45"/>
      <c r="AD37" s="45"/>
    </row>
    <row r="38" spans="1:30" ht="18" thickTop="1" thickBot="1" x14ac:dyDescent="0.3">
      <c r="A38" s="339">
        <v>27</v>
      </c>
      <c r="B38" s="372" t="s">
        <v>959</v>
      </c>
      <c r="C38" s="338"/>
      <c r="D38" s="338"/>
      <c r="E38" s="338"/>
      <c r="F38" s="338"/>
      <c r="G38" s="338"/>
      <c r="H38" s="338"/>
      <c r="I38" s="338"/>
      <c r="J38" s="338"/>
      <c r="K38" s="338"/>
      <c r="L38" s="338"/>
      <c r="M38" s="338"/>
      <c r="N38" s="338"/>
      <c r="O38" s="338"/>
      <c r="P38" s="338"/>
      <c r="Q38" s="338"/>
      <c r="R38" s="338"/>
      <c r="S38" s="338"/>
      <c r="T38" s="338"/>
      <c r="U38" s="338"/>
      <c r="V38" s="338"/>
      <c r="W38" s="47">
        <v>3</v>
      </c>
      <c r="X38" s="188" t="s">
        <v>190</v>
      </c>
      <c r="Y38" s="45"/>
      <c r="Z38" s="45"/>
      <c r="AA38" s="45"/>
      <c r="AB38" s="45"/>
      <c r="AC38" s="45"/>
      <c r="AD38" s="45"/>
    </row>
    <row r="39" spans="1:30" ht="18" thickTop="1" thickBot="1" x14ac:dyDescent="0.3">
      <c r="A39" s="354">
        <v>28</v>
      </c>
      <c r="B39" s="372" t="s">
        <v>960</v>
      </c>
      <c r="C39" s="338"/>
      <c r="D39" s="338"/>
      <c r="E39" s="338"/>
      <c r="F39" s="338"/>
      <c r="G39" s="338"/>
      <c r="H39" s="338"/>
      <c r="I39" s="338"/>
      <c r="J39" s="338"/>
      <c r="K39" s="338"/>
      <c r="L39" s="338"/>
      <c r="M39" s="338"/>
      <c r="N39" s="338"/>
      <c r="O39" s="338"/>
      <c r="P39" s="338"/>
      <c r="Q39" s="338"/>
      <c r="R39" s="338"/>
      <c r="S39" s="338"/>
      <c r="T39" s="338"/>
      <c r="U39" s="338"/>
      <c r="V39" s="338"/>
      <c r="W39" s="45"/>
      <c r="X39" s="45" t="s">
        <v>846</v>
      </c>
      <c r="Y39" s="45"/>
      <c r="Z39" s="45"/>
      <c r="AA39" s="45"/>
      <c r="AB39" s="45"/>
      <c r="AC39" s="45"/>
      <c r="AD39" s="45"/>
    </row>
    <row r="40" spans="1:30" ht="18" thickTop="1" thickBot="1" x14ac:dyDescent="0.3">
      <c r="A40" s="339">
        <v>29</v>
      </c>
      <c r="B40" s="372" t="s">
        <v>948</v>
      </c>
      <c r="C40" s="338"/>
      <c r="D40" s="338"/>
      <c r="E40" s="338"/>
      <c r="F40" s="338"/>
      <c r="G40" s="338"/>
      <c r="H40" s="338"/>
      <c r="I40" s="338"/>
      <c r="J40" s="338"/>
      <c r="K40" s="338"/>
      <c r="L40" s="338"/>
      <c r="M40" s="338"/>
      <c r="N40" s="338"/>
      <c r="O40" s="338"/>
      <c r="P40" s="338"/>
      <c r="Q40" s="338"/>
      <c r="R40" s="338"/>
      <c r="S40" s="338"/>
      <c r="T40" s="338"/>
      <c r="U40" s="338"/>
      <c r="V40" s="338"/>
      <c r="W40" s="45"/>
      <c r="X40" s="45"/>
      <c r="Y40" s="45"/>
      <c r="Z40" s="45"/>
      <c r="AA40" s="45"/>
      <c r="AB40" s="45"/>
      <c r="AC40" s="45"/>
      <c r="AD40" s="45"/>
    </row>
    <row r="41" spans="1:30" ht="18" thickTop="1" thickBot="1" x14ac:dyDescent="0.3">
      <c r="A41" s="339">
        <v>30</v>
      </c>
      <c r="B41" s="372" t="s">
        <v>961</v>
      </c>
      <c r="C41" s="338"/>
      <c r="D41" s="338"/>
      <c r="E41" s="338"/>
      <c r="F41" s="338"/>
      <c r="G41" s="338"/>
      <c r="H41" s="338"/>
      <c r="I41" s="338"/>
      <c r="J41" s="338"/>
      <c r="K41" s="338"/>
      <c r="L41" s="338"/>
      <c r="M41" s="338"/>
      <c r="N41" s="338"/>
      <c r="O41" s="338"/>
      <c r="P41" s="338"/>
      <c r="Q41" s="338"/>
      <c r="R41" s="338"/>
      <c r="S41" s="338"/>
      <c r="T41" s="338"/>
      <c r="U41" s="338"/>
      <c r="V41" s="338"/>
      <c r="W41" s="45"/>
      <c r="X41" s="45"/>
      <c r="Y41" s="45"/>
      <c r="Z41" s="45"/>
      <c r="AA41" s="45"/>
      <c r="AB41" s="45"/>
      <c r="AC41" s="45"/>
      <c r="AD41" s="45"/>
    </row>
    <row r="42" spans="1:30" ht="18" thickTop="1" thickBot="1" x14ac:dyDescent="0.3">
      <c r="A42" s="339">
        <v>31</v>
      </c>
      <c r="B42" s="372" t="s">
        <v>949</v>
      </c>
      <c r="C42" s="338"/>
      <c r="D42" s="338"/>
      <c r="E42" s="338"/>
      <c r="F42" s="338"/>
      <c r="G42" s="338"/>
      <c r="H42" s="338"/>
      <c r="I42" s="338"/>
      <c r="J42" s="338"/>
      <c r="K42" s="338"/>
      <c r="L42" s="338"/>
      <c r="M42" s="338"/>
      <c r="N42" s="338"/>
      <c r="O42" s="338"/>
      <c r="P42" s="338"/>
      <c r="Q42" s="338"/>
      <c r="R42" s="338"/>
      <c r="S42" s="338"/>
      <c r="T42" s="338"/>
      <c r="U42" s="338"/>
      <c r="V42" s="338"/>
      <c r="W42" s="45"/>
      <c r="X42" s="45"/>
      <c r="Y42" s="45"/>
      <c r="Z42" s="45"/>
      <c r="AA42" s="45"/>
      <c r="AB42" s="45"/>
      <c r="AC42" s="45"/>
      <c r="AD42" s="45"/>
    </row>
    <row r="43" spans="1:30" ht="18" thickTop="1" thickBot="1" x14ac:dyDescent="0.3">
      <c r="A43" s="355">
        <v>32</v>
      </c>
      <c r="B43" s="372" t="s">
        <v>950</v>
      </c>
      <c r="C43" s="338"/>
      <c r="D43" s="338"/>
      <c r="E43" s="338"/>
      <c r="F43" s="338"/>
      <c r="G43" s="338"/>
      <c r="H43" s="338"/>
      <c r="I43" s="338"/>
      <c r="J43" s="338"/>
      <c r="K43" s="338"/>
      <c r="L43" s="338"/>
      <c r="M43" s="338"/>
      <c r="N43" s="338"/>
      <c r="O43" s="338"/>
      <c r="P43" s="338"/>
      <c r="Q43" s="338"/>
      <c r="R43" s="338"/>
      <c r="S43" s="338"/>
      <c r="T43" s="338"/>
      <c r="U43" s="338"/>
      <c r="V43" s="338"/>
      <c r="W43" s="45"/>
      <c r="X43" s="45"/>
      <c r="Y43" s="45"/>
      <c r="Z43" s="45"/>
      <c r="AA43" s="45"/>
      <c r="AB43" s="45"/>
      <c r="AC43" s="45"/>
      <c r="AD43" s="45"/>
    </row>
    <row r="44" spans="1:30" ht="18" thickTop="1" thickBot="1" x14ac:dyDescent="0.3">
      <c r="A44" s="355">
        <v>33</v>
      </c>
      <c r="B44" s="372" t="s">
        <v>962</v>
      </c>
      <c r="C44" s="338"/>
      <c r="D44" s="338"/>
      <c r="E44" s="338"/>
      <c r="F44" s="338"/>
      <c r="G44" s="338"/>
      <c r="H44" s="338"/>
      <c r="I44" s="338"/>
      <c r="J44" s="338"/>
      <c r="K44" s="338"/>
      <c r="L44" s="338"/>
      <c r="M44" s="338"/>
      <c r="N44" s="338"/>
      <c r="O44" s="338"/>
      <c r="P44" s="338"/>
      <c r="Q44" s="338"/>
      <c r="R44" s="338"/>
      <c r="S44" s="338"/>
      <c r="T44" s="338"/>
      <c r="U44" s="338"/>
      <c r="V44" s="338"/>
      <c r="W44" s="45"/>
      <c r="X44" s="45"/>
      <c r="Y44" s="45"/>
      <c r="Z44" s="45"/>
      <c r="AA44" s="45"/>
      <c r="AB44" s="45"/>
      <c r="AC44" s="45"/>
      <c r="AD44" s="45"/>
    </row>
    <row r="45" spans="1:30" ht="18" thickTop="1" thickBot="1" x14ac:dyDescent="0.3">
      <c r="A45" s="355">
        <v>34</v>
      </c>
      <c r="B45" s="372" t="s">
        <v>951</v>
      </c>
      <c r="C45" s="338"/>
      <c r="D45" s="338"/>
      <c r="E45" s="338"/>
      <c r="F45" s="338"/>
      <c r="G45" s="338"/>
      <c r="H45" s="338"/>
      <c r="I45" s="338"/>
      <c r="J45" s="338"/>
      <c r="K45" s="338"/>
      <c r="L45" s="338"/>
      <c r="M45" s="338"/>
      <c r="N45" s="338"/>
      <c r="O45" s="338"/>
      <c r="P45" s="338"/>
      <c r="Q45" s="338"/>
      <c r="R45" s="338"/>
      <c r="S45" s="338"/>
      <c r="T45" s="338"/>
      <c r="U45" s="338"/>
      <c r="V45" s="338"/>
      <c r="W45" s="45"/>
      <c r="X45" s="45"/>
      <c r="Y45" s="45"/>
      <c r="Z45" s="45"/>
      <c r="AA45" s="45"/>
      <c r="AB45" s="45"/>
      <c r="AC45" s="45"/>
      <c r="AD45" s="45"/>
    </row>
    <row r="46" spans="1:30" ht="18" thickTop="1" thickBot="1" x14ac:dyDescent="0.3">
      <c r="A46" s="355">
        <v>35</v>
      </c>
      <c r="B46" s="372" t="s">
        <v>963</v>
      </c>
      <c r="C46" s="338"/>
      <c r="D46" s="338"/>
      <c r="E46" s="338"/>
      <c r="F46" s="338"/>
      <c r="G46" s="338"/>
      <c r="H46" s="338"/>
      <c r="I46" s="338"/>
      <c r="J46" s="338"/>
      <c r="K46" s="338"/>
      <c r="L46" s="338"/>
      <c r="M46" s="338"/>
      <c r="N46" s="338"/>
      <c r="O46" s="338"/>
      <c r="P46" s="338"/>
      <c r="Q46" s="338"/>
      <c r="R46" s="338"/>
      <c r="S46" s="338"/>
      <c r="T46" s="338"/>
      <c r="U46" s="338"/>
      <c r="V46" s="338"/>
      <c r="W46" s="45"/>
      <c r="X46" s="45"/>
      <c r="Y46" s="45"/>
      <c r="Z46" s="45"/>
      <c r="AA46" s="45"/>
      <c r="AB46" s="45"/>
      <c r="AC46" s="45"/>
      <c r="AD46" s="45"/>
    </row>
    <row r="47" spans="1:30" ht="17.25" thickTop="1" x14ac:dyDescent="0.25">
      <c r="A47" s="355">
        <v>36</v>
      </c>
      <c r="B47" s="372" t="s">
        <v>964</v>
      </c>
      <c r="C47" s="338"/>
      <c r="D47" s="338"/>
      <c r="E47" s="338"/>
      <c r="F47" s="338"/>
      <c r="G47" s="338"/>
      <c r="H47" s="338"/>
      <c r="I47" s="338"/>
      <c r="J47" s="338"/>
      <c r="K47" s="338"/>
      <c r="L47" s="338"/>
      <c r="M47" s="338"/>
      <c r="N47" s="338"/>
      <c r="O47" s="338"/>
      <c r="P47" s="338"/>
      <c r="Q47" s="338"/>
      <c r="R47" s="338"/>
      <c r="S47" s="338"/>
      <c r="T47" s="338"/>
      <c r="U47" s="338"/>
      <c r="V47" s="338"/>
      <c r="W47" s="45"/>
      <c r="X47" s="45"/>
      <c r="Y47" s="45"/>
      <c r="Z47" s="45"/>
      <c r="AA47" s="45"/>
      <c r="AB47" s="45"/>
      <c r="AC47" s="45"/>
      <c r="AD47" s="45"/>
    </row>
    <row r="48" spans="1:30" x14ac:dyDescent="0.25">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c r="AA48" s="45"/>
      <c r="AB48" s="45"/>
      <c r="AC48" s="45"/>
      <c r="AD48" s="45"/>
    </row>
    <row r="49" spans="1:30" x14ac:dyDescent="0.25">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c r="AA49" s="45"/>
      <c r="AB49" s="45"/>
      <c r="AC49" s="45"/>
      <c r="AD49" s="45"/>
    </row>
    <row r="50" spans="1:30" x14ac:dyDescent="0.25">
      <c r="A50" s="45"/>
      <c r="B50" s="45" t="s">
        <v>137</v>
      </c>
      <c r="C50" s="45"/>
      <c r="D50" s="45"/>
      <c r="E50" s="45"/>
      <c r="F50" s="45"/>
      <c r="G50" s="45"/>
      <c r="H50" s="45"/>
      <c r="I50" s="45"/>
      <c r="J50" s="45"/>
      <c r="K50" s="45"/>
      <c r="L50" s="45"/>
      <c r="M50" s="45"/>
      <c r="N50" s="45"/>
      <c r="O50" s="45"/>
      <c r="P50" s="45"/>
      <c r="Q50" s="45"/>
      <c r="R50" s="45"/>
      <c r="S50" s="45"/>
      <c r="T50" s="193" t="s">
        <v>1201</v>
      </c>
      <c r="U50" s="45"/>
      <c r="V50" s="45"/>
      <c r="W50" s="45"/>
      <c r="X50" s="45"/>
      <c r="Y50" s="45"/>
      <c r="Z50" s="45"/>
      <c r="AA50" s="45"/>
      <c r="AB50" s="45"/>
      <c r="AC50" s="45"/>
      <c r="AD50" s="45"/>
    </row>
    <row r="51" spans="1:30" x14ac:dyDescent="0.25">
      <c r="A51" s="45"/>
      <c r="B51" s="45"/>
      <c r="C51" s="45"/>
      <c r="D51" s="45"/>
      <c r="E51" s="45"/>
      <c r="F51" s="45"/>
      <c r="G51" s="45"/>
      <c r="H51" s="45"/>
      <c r="I51" s="45"/>
      <c r="J51" s="45"/>
      <c r="K51" s="45"/>
      <c r="L51" s="45"/>
      <c r="M51" s="45"/>
      <c r="N51" s="45"/>
      <c r="O51" s="45"/>
      <c r="P51" s="45"/>
      <c r="Q51" s="45"/>
      <c r="R51" s="45"/>
      <c r="S51" s="45"/>
      <c r="T51" s="193" t="s">
        <v>41</v>
      </c>
      <c r="U51" s="45"/>
      <c r="V51" s="45"/>
      <c r="W51" s="45"/>
      <c r="X51" s="45"/>
      <c r="Y51" s="45"/>
      <c r="Z51" s="45"/>
      <c r="AA51" s="45"/>
      <c r="AB51" s="45"/>
      <c r="AC51" s="45"/>
      <c r="AD51" s="45"/>
    </row>
    <row r="52" spans="1:30" x14ac:dyDescent="0.25">
      <c r="A52" s="45"/>
      <c r="B52" s="45"/>
      <c r="C52" s="45"/>
      <c r="D52" s="45"/>
      <c r="E52" s="45"/>
      <c r="F52" s="45"/>
      <c r="G52" s="45"/>
      <c r="H52" s="45"/>
      <c r="I52" s="45"/>
      <c r="J52" s="45"/>
      <c r="K52" s="45"/>
      <c r="L52" s="45"/>
      <c r="M52" s="45"/>
      <c r="N52" s="45"/>
      <c r="O52" s="45"/>
      <c r="P52" s="45"/>
      <c r="Q52" s="45"/>
      <c r="R52" s="45"/>
      <c r="S52" s="45"/>
      <c r="T52" s="193"/>
      <c r="U52" s="45"/>
      <c r="V52" s="45"/>
      <c r="W52" s="45"/>
      <c r="X52" s="45"/>
      <c r="Y52" s="45"/>
      <c r="Z52" s="45"/>
      <c r="AA52" s="45"/>
      <c r="AB52" s="45"/>
      <c r="AC52" s="45"/>
      <c r="AD52" s="45"/>
    </row>
    <row r="53" spans="1:30" x14ac:dyDescent="0.25">
      <c r="A53" s="45"/>
      <c r="B53" s="194" t="s">
        <v>1044</v>
      </c>
      <c r="C53" s="45"/>
      <c r="D53" s="45"/>
      <c r="E53" s="45"/>
      <c r="F53" s="45"/>
      <c r="G53" s="45"/>
      <c r="H53" s="45"/>
      <c r="I53" s="45"/>
      <c r="J53" s="45"/>
      <c r="K53" s="45"/>
      <c r="L53" s="45"/>
      <c r="M53" s="45"/>
      <c r="N53" s="45"/>
      <c r="O53" s="45"/>
      <c r="P53" s="45"/>
      <c r="Q53" s="45"/>
      <c r="R53" s="45"/>
      <c r="S53" s="45"/>
      <c r="T53" s="193"/>
      <c r="U53" s="45"/>
      <c r="V53" s="45"/>
      <c r="W53" s="45"/>
      <c r="X53" s="45"/>
      <c r="Y53" s="45"/>
      <c r="Z53" s="45"/>
      <c r="AA53" s="45"/>
      <c r="AB53" s="45"/>
      <c r="AC53" s="45"/>
      <c r="AD53" s="45"/>
    </row>
    <row r="54" spans="1:30" x14ac:dyDescent="0.25">
      <c r="A54" s="45"/>
      <c r="B54" s="194" t="s">
        <v>294</v>
      </c>
      <c r="C54" s="45"/>
      <c r="D54" s="45"/>
      <c r="E54" s="45"/>
      <c r="F54" s="45"/>
      <c r="G54" s="45"/>
      <c r="H54" s="45"/>
      <c r="I54" s="45"/>
      <c r="J54" s="45"/>
      <c r="K54" s="45"/>
      <c r="L54" s="45"/>
      <c r="M54" s="45"/>
      <c r="N54" s="45"/>
      <c r="O54" s="45"/>
      <c r="P54" s="45"/>
      <c r="Q54" s="45"/>
      <c r="R54" s="45"/>
      <c r="S54" s="45"/>
      <c r="T54" s="193" t="s">
        <v>1154</v>
      </c>
      <c r="U54" s="45"/>
      <c r="V54" s="45"/>
      <c r="W54" s="45"/>
      <c r="X54" s="45"/>
      <c r="Y54" s="45"/>
      <c r="Z54" s="45"/>
      <c r="AA54" s="45"/>
      <c r="AB54" s="45"/>
      <c r="AC54" s="45"/>
      <c r="AD54" s="45"/>
    </row>
    <row r="55" spans="1:30" x14ac:dyDescent="0.25">
      <c r="A55" s="45"/>
      <c r="B55" s="45"/>
      <c r="C55" s="45"/>
      <c r="D55" s="45"/>
      <c r="E55" s="45"/>
      <c r="F55" s="45"/>
      <c r="G55" s="45"/>
      <c r="H55" s="45"/>
      <c r="I55" s="45"/>
      <c r="J55" s="45"/>
      <c r="K55" s="45"/>
      <c r="L55" s="45"/>
      <c r="M55" s="45"/>
      <c r="N55" s="45"/>
      <c r="O55" s="45"/>
      <c r="P55" s="45"/>
      <c r="Q55" s="45"/>
      <c r="R55" s="45"/>
      <c r="S55" s="45"/>
      <c r="T55" s="193" t="s">
        <v>1202</v>
      </c>
      <c r="U55" s="45"/>
      <c r="V55" s="45"/>
      <c r="W55" s="45"/>
      <c r="X55" s="45"/>
      <c r="Y55" s="45"/>
      <c r="Z55" s="45"/>
      <c r="AA55" s="45"/>
      <c r="AB55" s="45"/>
      <c r="AC55" s="45"/>
      <c r="AD55" s="45"/>
    </row>
  </sheetData>
  <mergeCells count="11">
    <mergeCell ref="V9:V11"/>
    <mergeCell ref="X19:AD20"/>
    <mergeCell ref="AB1:AD1"/>
    <mergeCell ref="AB2:AD2"/>
    <mergeCell ref="A3:V3"/>
    <mergeCell ref="A9:A11"/>
    <mergeCell ref="B9:B11"/>
    <mergeCell ref="C9:R9"/>
    <mergeCell ref="S9:S11"/>
    <mergeCell ref="T9:T11"/>
    <mergeCell ref="U9:U1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0000"/>
  </sheetPr>
  <dimension ref="A1:Q55"/>
  <sheetViews>
    <sheetView workbookViewId="0">
      <selection activeCell="E54" sqref="E54:E55"/>
    </sheetView>
  </sheetViews>
  <sheetFormatPr defaultColWidth="9.140625" defaultRowHeight="15.75" x14ac:dyDescent="0.25"/>
  <cols>
    <col min="1" max="2" width="9.140625" style="25"/>
    <col min="3" max="3" width="22.42578125" style="25" customWidth="1"/>
    <col min="4" max="4" width="12.42578125" style="25" customWidth="1"/>
    <col min="5" max="5" width="38.85546875" style="25" customWidth="1"/>
    <col min="6" max="16384" width="9.140625" style="25"/>
  </cols>
  <sheetData>
    <row r="1" spans="1:7" x14ac:dyDescent="0.25">
      <c r="F1" s="1273" t="s">
        <v>692</v>
      </c>
      <c r="G1" s="791"/>
    </row>
    <row r="2" spans="1:7" x14ac:dyDescent="0.25">
      <c r="F2" s="1274">
        <v>45848</v>
      </c>
      <c r="G2" s="1275"/>
    </row>
    <row r="3" spans="1:7" x14ac:dyDescent="0.25">
      <c r="A3" s="1251" t="s">
        <v>588</v>
      </c>
      <c r="B3" s="1251"/>
      <c r="C3" s="1251"/>
      <c r="D3" s="1251"/>
      <c r="E3" s="1251"/>
      <c r="F3" s="1251"/>
      <c r="G3" s="1251"/>
    </row>
    <row r="4" spans="1:7" x14ac:dyDescent="0.25">
      <c r="A4" s="25" t="s">
        <v>156</v>
      </c>
    </row>
    <row r="5" spans="1:7" x14ac:dyDescent="0.25">
      <c r="A5" s="25" t="s">
        <v>157</v>
      </c>
    </row>
    <row r="6" spans="1:7" x14ac:dyDescent="0.25">
      <c r="A6" s="25" t="s">
        <v>158</v>
      </c>
    </row>
    <row r="7" spans="1:7" x14ac:dyDescent="0.25">
      <c r="A7" s="25" t="s">
        <v>159</v>
      </c>
    </row>
    <row r="8" spans="1:7" x14ac:dyDescent="0.25">
      <c r="A8" s="25" t="s">
        <v>160</v>
      </c>
    </row>
    <row r="9" spans="1:7" ht="4.5" customHeight="1" x14ac:dyDescent="0.25">
      <c r="A9" s="176"/>
    </row>
    <row r="10" spans="1:7" x14ac:dyDescent="0.25">
      <c r="A10" s="25" t="s">
        <v>161</v>
      </c>
    </row>
    <row r="11" spans="1:7" x14ac:dyDescent="0.25">
      <c r="A11" s="25" t="s">
        <v>261</v>
      </c>
      <c r="C11" s="25" t="s">
        <v>701</v>
      </c>
    </row>
    <row r="12" spans="1:7" x14ac:dyDescent="0.25">
      <c r="A12" s="25" t="s">
        <v>262</v>
      </c>
      <c r="C12" s="25" t="s">
        <v>922</v>
      </c>
    </row>
    <row r="13" spans="1:7" x14ac:dyDescent="0.25">
      <c r="A13" s="25" t="s">
        <v>263</v>
      </c>
      <c r="C13" s="25" t="s">
        <v>779</v>
      </c>
    </row>
    <row r="14" spans="1:7" x14ac:dyDescent="0.25">
      <c r="A14" s="25" t="s">
        <v>264</v>
      </c>
      <c r="C14" s="25" t="s">
        <v>34</v>
      </c>
    </row>
    <row r="15" spans="1:7" ht="5.25" customHeight="1" x14ac:dyDescent="0.25"/>
    <row r="16" spans="1:7" x14ac:dyDescent="0.25">
      <c r="B16" s="1252" t="s">
        <v>162</v>
      </c>
      <c r="C16" s="994"/>
      <c r="D16" s="994" t="s">
        <v>163</v>
      </c>
      <c r="E16" s="994"/>
      <c r="F16" s="201"/>
    </row>
    <row r="17" spans="1:17" x14ac:dyDescent="0.25">
      <c r="B17" s="1281" t="s">
        <v>267</v>
      </c>
      <c r="C17" s="984"/>
      <c r="D17" s="984"/>
      <c r="E17" s="984"/>
      <c r="F17" s="346"/>
    </row>
    <row r="18" spans="1:17" ht="16.5" thickBot="1" x14ac:dyDescent="0.3">
      <c r="B18" s="1270" t="s">
        <v>165</v>
      </c>
      <c r="C18" s="1271"/>
      <c r="D18" s="1272"/>
      <c r="E18" s="1272"/>
      <c r="F18" s="346"/>
    </row>
    <row r="19" spans="1:17" ht="7.5" customHeight="1" x14ac:dyDescent="0.25"/>
    <row r="20" spans="1:17" ht="6" customHeight="1" x14ac:dyDescent="0.25"/>
    <row r="21" spans="1:17" x14ac:dyDescent="0.25">
      <c r="A21" s="25" t="s">
        <v>166</v>
      </c>
    </row>
    <row r="22" spans="1:17" ht="5.25" customHeight="1" thickBot="1" x14ac:dyDescent="0.3"/>
    <row r="23" spans="1:17" x14ac:dyDescent="0.25">
      <c r="A23" s="285" t="s">
        <v>0</v>
      </c>
      <c r="B23" s="1267" t="s">
        <v>27</v>
      </c>
      <c r="C23" s="1267"/>
      <c r="D23" s="281" t="s">
        <v>31</v>
      </c>
      <c r="E23" s="351" t="s">
        <v>167</v>
      </c>
      <c r="F23" s="1268" t="s">
        <v>164</v>
      </c>
      <c r="G23" s="1269"/>
      <c r="I23" s="348"/>
      <c r="J23" s="817"/>
      <c r="K23" s="817"/>
      <c r="L23" s="201"/>
      <c r="M23" s="817"/>
      <c r="N23" s="817"/>
      <c r="O23" s="817"/>
      <c r="P23" s="817"/>
      <c r="Q23" s="817"/>
    </row>
    <row r="24" spans="1:17" x14ac:dyDescent="0.25">
      <c r="A24" s="286">
        <v>1</v>
      </c>
      <c r="B24" s="1277"/>
      <c r="C24" s="1277"/>
      <c r="D24" s="294"/>
      <c r="E24" s="353"/>
      <c r="F24" s="975"/>
      <c r="G24" s="1276"/>
      <c r="I24" s="349"/>
      <c r="J24" s="944"/>
      <c r="K24" s="944"/>
      <c r="L24" s="346"/>
      <c r="M24" s="1282"/>
      <c r="N24" s="1282"/>
      <c r="O24" s="1282"/>
      <c r="P24" s="1283"/>
      <c r="Q24" s="1283"/>
    </row>
    <row r="25" spans="1:17" x14ac:dyDescent="0.25">
      <c r="A25" s="286">
        <v>2</v>
      </c>
      <c r="B25" s="1277"/>
      <c r="C25" s="1277"/>
      <c r="D25" s="294"/>
      <c r="E25" s="353"/>
      <c r="F25" s="975"/>
      <c r="G25" s="1276"/>
      <c r="I25" s="349"/>
      <c r="J25" s="944"/>
      <c r="K25" s="944"/>
      <c r="L25" s="346"/>
      <c r="M25" s="944"/>
      <c r="N25" s="944"/>
      <c r="O25" s="944"/>
      <c r="P25" s="1283"/>
      <c r="Q25" s="1283"/>
    </row>
    <row r="26" spans="1:17" x14ac:dyDescent="0.25">
      <c r="A26" s="286">
        <v>3</v>
      </c>
      <c r="B26" s="1265"/>
      <c r="C26" s="1266"/>
      <c r="D26" s="294"/>
      <c r="E26" s="353"/>
      <c r="F26" s="975"/>
      <c r="G26" s="1276"/>
      <c r="I26" s="349"/>
      <c r="J26" s="944"/>
      <c r="K26" s="944"/>
      <c r="L26" s="346"/>
      <c r="M26" s="944"/>
      <c r="N26" s="944"/>
      <c r="O26" s="944"/>
      <c r="P26" s="1283"/>
      <c r="Q26" s="1283"/>
    </row>
    <row r="27" spans="1:17" x14ac:dyDescent="0.25">
      <c r="A27" s="286">
        <v>4</v>
      </c>
      <c r="B27" s="1265"/>
      <c r="C27" s="1266"/>
      <c r="D27" s="294"/>
      <c r="E27" s="353"/>
      <c r="F27" s="975"/>
      <c r="G27" s="1276"/>
      <c r="I27" s="349"/>
      <c r="J27" s="944"/>
      <c r="K27" s="944"/>
      <c r="L27" s="346"/>
      <c r="M27" s="944"/>
      <c r="N27" s="944"/>
      <c r="O27" s="944"/>
      <c r="P27" s="1283"/>
      <c r="Q27" s="1283"/>
    </row>
    <row r="28" spans="1:17" x14ac:dyDescent="0.25">
      <c r="A28" s="286">
        <v>5</v>
      </c>
      <c r="B28" s="1265"/>
      <c r="C28" s="1266"/>
      <c r="D28" s="294"/>
      <c r="E28" s="353"/>
      <c r="F28" s="975"/>
      <c r="G28" s="1276"/>
      <c r="I28" s="349"/>
      <c r="J28" s="944"/>
      <c r="K28" s="944"/>
      <c r="L28" s="346"/>
      <c r="M28" s="944"/>
      <c r="N28" s="944"/>
      <c r="O28" s="944"/>
      <c r="P28" s="1283"/>
      <c r="Q28" s="1283"/>
    </row>
    <row r="29" spans="1:17" x14ac:dyDescent="0.25">
      <c r="A29" s="286"/>
      <c r="B29" s="1265"/>
      <c r="C29" s="1266"/>
      <c r="D29" s="294"/>
      <c r="E29" s="317"/>
      <c r="F29" s="975"/>
      <c r="G29" s="1276"/>
      <c r="I29" s="349"/>
      <c r="J29" s="944"/>
      <c r="K29" s="944"/>
      <c r="L29" s="346"/>
      <c r="M29" s="944"/>
      <c r="N29" s="944"/>
      <c r="O29" s="944"/>
      <c r="P29" s="1283"/>
      <c r="Q29" s="1283"/>
    </row>
    <row r="30" spans="1:17" x14ac:dyDescent="0.25">
      <c r="A30" s="25" t="s">
        <v>168</v>
      </c>
    </row>
    <row r="31" spans="1:17" x14ac:dyDescent="0.25">
      <c r="A31" s="25" t="s">
        <v>805</v>
      </c>
    </row>
    <row r="32" spans="1:17" x14ac:dyDescent="0.25">
      <c r="A32" s="25" t="s">
        <v>806</v>
      </c>
    </row>
    <row r="33" spans="1:17" x14ac:dyDescent="0.25">
      <c r="A33" s="25" t="s">
        <v>807</v>
      </c>
    </row>
    <row r="34" spans="1:17" x14ac:dyDescent="0.25">
      <c r="A34" s="25" t="s">
        <v>265</v>
      </c>
    </row>
    <row r="35" spans="1:17" x14ac:dyDescent="0.25">
      <c r="A35" s="25" t="s">
        <v>266</v>
      </c>
    </row>
    <row r="36" spans="1:17" x14ac:dyDescent="0.25">
      <c r="A36" s="25" t="s">
        <v>169</v>
      </c>
    </row>
    <row r="37" spans="1:17" ht="5.25" customHeight="1" thickBot="1" x14ac:dyDescent="0.3"/>
    <row r="38" spans="1:17" x14ac:dyDescent="0.25">
      <c r="A38" s="1253" t="s">
        <v>0</v>
      </c>
      <c r="B38" s="1256" t="s">
        <v>27</v>
      </c>
      <c r="C38" s="1257"/>
      <c r="D38" s="1262" t="s">
        <v>31</v>
      </c>
      <c r="E38" s="1262"/>
      <c r="F38" s="1256" t="s">
        <v>164</v>
      </c>
      <c r="G38" s="1278"/>
      <c r="I38" s="943"/>
      <c r="J38" s="1284"/>
      <c r="K38" s="1284"/>
      <c r="L38" s="817"/>
      <c r="M38" s="817"/>
      <c r="N38" s="817"/>
      <c r="O38" s="817"/>
      <c r="P38" s="1284"/>
      <c r="Q38" s="1284"/>
    </row>
    <row r="39" spans="1:17" x14ac:dyDescent="0.25">
      <c r="A39" s="1254"/>
      <c r="B39" s="1258"/>
      <c r="C39" s="1259"/>
      <c r="D39" s="1263" t="s">
        <v>170</v>
      </c>
      <c r="E39" s="350" t="s">
        <v>171</v>
      </c>
      <c r="F39" s="1258"/>
      <c r="G39" s="1279"/>
      <c r="I39" s="943"/>
      <c r="J39" s="1284"/>
      <c r="K39" s="1284"/>
      <c r="L39" s="1285"/>
      <c r="M39" s="817"/>
      <c r="N39" s="817"/>
      <c r="O39" s="817"/>
      <c r="P39" s="1284"/>
      <c r="Q39" s="1284"/>
    </row>
    <row r="40" spans="1:17" x14ac:dyDescent="0.25">
      <c r="A40" s="1255"/>
      <c r="B40" s="1260"/>
      <c r="C40" s="1261"/>
      <c r="D40" s="1264"/>
      <c r="E40" s="35" t="s">
        <v>921</v>
      </c>
      <c r="F40" s="1260"/>
      <c r="G40" s="1280"/>
      <c r="I40" s="943"/>
      <c r="J40" s="1284"/>
      <c r="K40" s="1284"/>
      <c r="L40" s="1285"/>
      <c r="M40" s="172"/>
      <c r="N40" s="172"/>
      <c r="O40" s="172"/>
      <c r="P40" s="1284"/>
      <c r="Q40" s="1284"/>
    </row>
    <row r="41" spans="1:17" x14ac:dyDescent="0.25">
      <c r="A41" s="180">
        <v>1</v>
      </c>
      <c r="B41" s="1265"/>
      <c r="C41" s="1266"/>
      <c r="D41" s="294"/>
      <c r="E41" s="294"/>
      <c r="F41" s="975"/>
      <c r="G41" s="1276"/>
      <c r="I41" s="346"/>
      <c r="J41" s="944"/>
      <c r="K41" s="944"/>
      <c r="L41" s="346"/>
      <c r="M41" s="346"/>
      <c r="P41" s="1283"/>
      <c r="Q41" s="1283"/>
    </row>
    <row r="42" spans="1:17" x14ac:dyDescent="0.25">
      <c r="A42" s="180">
        <v>2</v>
      </c>
      <c r="B42" s="1265"/>
      <c r="C42" s="1266"/>
      <c r="D42" s="294"/>
      <c r="E42" s="294"/>
      <c r="F42" s="975"/>
      <c r="G42" s="1276"/>
      <c r="I42" s="346"/>
      <c r="J42" s="944"/>
      <c r="K42" s="944"/>
      <c r="L42" s="346"/>
      <c r="M42" s="346"/>
      <c r="P42" s="1283"/>
      <c r="Q42" s="1283"/>
    </row>
    <row r="43" spans="1:17" x14ac:dyDescent="0.25">
      <c r="A43" s="180">
        <v>3</v>
      </c>
      <c r="B43" s="1265"/>
      <c r="C43" s="1266"/>
      <c r="D43" s="294"/>
      <c r="E43" s="294"/>
      <c r="F43" s="975"/>
      <c r="G43" s="1276"/>
      <c r="I43" s="346"/>
      <c r="J43" s="944"/>
      <c r="K43" s="944"/>
      <c r="L43" s="346"/>
      <c r="M43" s="346"/>
      <c r="P43" s="1283"/>
      <c r="Q43" s="1283"/>
    </row>
    <row r="44" spans="1:17" x14ac:dyDescent="0.25">
      <c r="A44" s="180">
        <v>4</v>
      </c>
      <c r="B44" s="1265"/>
      <c r="C44" s="1266"/>
      <c r="D44" s="294"/>
      <c r="E44" s="294"/>
      <c r="F44" s="975"/>
      <c r="G44" s="1276"/>
      <c r="I44" s="346"/>
      <c r="J44" s="944"/>
      <c r="K44" s="944"/>
      <c r="L44" s="346"/>
      <c r="M44" s="346"/>
      <c r="P44" s="1283"/>
      <c r="Q44" s="1283"/>
    </row>
    <row r="45" spans="1:17" x14ac:dyDescent="0.25">
      <c r="A45" s="180">
        <v>5</v>
      </c>
      <c r="B45" s="1265"/>
      <c r="C45" s="1266"/>
      <c r="D45" s="294"/>
      <c r="E45" s="294"/>
      <c r="F45" s="975"/>
      <c r="G45" s="1276"/>
      <c r="I45" s="346"/>
      <c r="J45" s="944"/>
      <c r="K45" s="944"/>
      <c r="L45" s="346"/>
      <c r="M45" s="346"/>
      <c r="P45" s="1283"/>
      <c r="Q45" s="1283"/>
    </row>
    <row r="46" spans="1:17" x14ac:dyDescent="0.25">
      <c r="A46" s="180"/>
      <c r="B46" s="1265"/>
      <c r="C46" s="1266"/>
      <c r="D46" s="294"/>
      <c r="E46" s="294"/>
      <c r="F46" s="975"/>
      <c r="G46" s="1276"/>
      <c r="I46" s="346"/>
      <c r="J46" s="944"/>
      <c r="K46" s="944"/>
      <c r="L46" s="346"/>
      <c r="M46" s="346"/>
      <c r="P46" s="1283"/>
      <c r="Q46" s="1283"/>
    </row>
    <row r="47" spans="1:17" ht="6.75" customHeight="1" x14ac:dyDescent="0.25"/>
    <row r="50" spans="2:5" x14ac:dyDescent="0.25">
      <c r="B50" s="25" t="s">
        <v>172</v>
      </c>
      <c r="E50" s="25" t="s">
        <v>1197</v>
      </c>
    </row>
    <row r="51" spans="2:5" x14ac:dyDescent="0.25">
      <c r="B51" s="25" t="s">
        <v>173</v>
      </c>
      <c r="E51" s="25" t="s">
        <v>41</v>
      </c>
    </row>
    <row r="54" spans="2:5" x14ac:dyDescent="0.25">
      <c r="B54" s="28" t="s">
        <v>968</v>
      </c>
      <c r="E54" s="25" t="s">
        <v>1154</v>
      </c>
    </row>
    <row r="55" spans="2:5" x14ac:dyDescent="0.25">
      <c r="B55" s="28" t="s">
        <v>969</v>
      </c>
      <c r="E55" s="25" t="s">
        <v>1160</v>
      </c>
    </row>
  </sheetData>
  <mergeCells count="79">
    <mergeCell ref="J41:K41"/>
    <mergeCell ref="P41:Q41"/>
    <mergeCell ref="J42:K42"/>
    <mergeCell ref="P42:Q42"/>
    <mergeCell ref="J43:K43"/>
    <mergeCell ref="P43:Q43"/>
    <mergeCell ref="J44:K44"/>
    <mergeCell ref="P44:Q44"/>
    <mergeCell ref="J45:K45"/>
    <mergeCell ref="P45:Q45"/>
    <mergeCell ref="J46:K46"/>
    <mergeCell ref="P46:Q46"/>
    <mergeCell ref="I38:I40"/>
    <mergeCell ref="J38:K40"/>
    <mergeCell ref="L38:O38"/>
    <mergeCell ref="P38:Q40"/>
    <mergeCell ref="L39:L40"/>
    <mergeCell ref="M39:O39"/>
    <mergeCell ref="J29:K29"/>
    <mergeCell ref="M29:O29"/>
    <mergeCell ref="P29:Q29"/>
    <mergeCell ref="J28:K28"/>
    <mergeCell ref="M28:O28"/>
    <mergeCell ref="P28:Q28"/>
    <mergeCell ref="J27:K27"/>
    <mergeCell ref="M27:O27"/>
    <mergeCell ref="P27:Q27"/>
    <mergeCell ref="J25:K25"/>
    <mergeCell ref="M25:O25"/>
    <mergeCell ref="P25:Q25"/>
    <mergeCell ref="J26:K26"/>
    <mergeCell ref="M26:O26"/>
    <mergeCell ref="P26:Q26"/>
    <mergeCell ref="J23:K23"/>
    <mergeCell ref="M23:O23"/>
    <mergeCell ref="P23:Q23"/>
    <mergeCell ref="J24:K24"/>
    <mergeCell ref="M24:O24"/>
    <mergeCell ref="P24:Q24"/>
    <mergeCell ref="B42:C42"/>
    <mergeCell ref="B43:C43"/>
    <mergeCell ref="B44:C44"/>
    <mergeCell ref="B45:C45"/>
    <mergeCell ref="B46:C46"/>
    <mergeCell ref="F42:G42"/>
    <mergeCell ref="F43:G43"/>
    <mergeCell ref="F44:G44"/>
    <mergeCell ref="F45:G45"/>
    <mergeCell ref="F46:G46"/>
    <mergeCell ref="F1:G1"/>
    <mergeCell ref="F2:G2"/>
    <mergeCell ref="B41:C41"/>
    <mergeCell ref="F41:G41"/>
    <mergeCell ref="B25:C25"/>
    <mergeCell ref="F25:G25"/>
    <mergeCell ref="F29:G29"/>
    <mergeCell ref="F28:G28"/>
    <mergeCell ref="F27:G27"/>
    <mergeCell ref="F26:G26"/>
    <mergeCell ref="F38:G40"/>
    <mergeCell ref="B26:C26"/>
    <mergeCell ref="B27:C27"/>
    <mergeCell ref="B24:C24"/>
    <mergeCell ref="F24:G24"/>
    <mergeCell ref="B17:C17"/>
    <mergeCell ref="A3:G3"/>
    <mergeCell ref="B16:C16"/>
    <mergeCell ref="D16:E16"/>
    <mergeCell ref="A38:A40"/>
    <mergeCell ref="B38:C40"/>
    <mergeCell ref="D38:E38"/>
    <mergeCell ref="D39:D40"/>
    <mergeCell ref="B28:C28"/>
    <mergeCell ref="B29:C29"/>
    <mergeCell ref="B23:C23"/>
    <mergeCell ref="F23:G23"/>
    <mergeCell ref="D17:E17"/>
    <mergeCell ref="B18:C18"/>
    <mergeCell ref="D18:E18"/>
  </mergeCells>
  <pageMargins left="1.1811023622047245" right="0.39370078740157483" top="0.39370078740157483" bottom="1.3779527559055118" header="0.31496062992125984" footer="0.31496062992125984"/>
  <pageSetup paperSize="5" scale="90" orientation="portrait" horizontalDpi="4294967293" verticalDpi="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G54"/>
  <sheetViews>
    <sheetView topLeftCell="E19" workbookViewId="0">
      <selection activeCell="F49" sqref="F49:G49"/>
    </sheetView>
  </sheetViews>
  <sheetFormatPr defaultColWidth="9.140625" defaultRowHeight="15.75" x14ac:dyDescent="0.25"/>
  <cols>
    <col min="1" max="1" width="5.140625" style="25" customWidth="1"/>
    <col min="2" max="2" width="14" style="25" customWidth="1"/>
    <col min="3" max="3" width="23.140625" style="25" customWidth="1"/>
    <col min="4" max="4" width="15.140625" style="25" customWidth="1"/>
    <col min="5" max="5" width="43.42578125" style="25" customWidth="1"/>
    <col min="6" max="6" width="9.140625" style="25"/>
    <col min="7" max="7" width="17.42578125" style="25" customWidth="1"/>
    <col min="8" max="16384" width="9.140625" style="25"/>
  </cols>
  <sheetData>
    <row r="1" spans="1:7" x14ac:dyDescent="0.25">
      <c r="F1" s="1286" t="s">
        <v>693</v>
      </c>
      <c r="G1" s="1286"/>
    </row>
    <row r="2" spans="1:7" x14ac:dyDescent="0.25">
      <c r="F2" s="1287">
        <v>45848</v>
      </c>
      <c r="G2" s="1287"/>
    </row>
    <row r="3" spans="1:7" ht="13.5" customHeight="1" x14ac:dyDescent="0.25">
      <c r="A3" s="1288" t="s">
        <v>268</v>
      </c>
      <c r="B3" s="1288"/>
      <c r="C3" s="1288"/>
      <c r="D3" s="1288"/>
      <c r="E3" s="1288"/>
      <c r="F3" s="1288"/>
      <c r="G3" s="1288"/>
    </row>
    <row r="4" spans="1:7" x14ac:dyDescent="0.25">
      <c r="A4" s="25" t="s">
        <v>156</v>
      </c>
    </row>
    <row r="5" spans="1:7" x14ac:dyDescent="0.25">
      <c r="A5" s="25" t="s">
        <v>157</v>
      </c>
    </row>
    <row r="6" spans="1:7" x14ac:dyDescent="0.25">
      <c r="A6" s="25" t="s">
        <v>158</v>
      </c>
    </row>
    <row r="7" spans="1:7" x14ac:dyDescent="0.25">
      <c r="A7" s="25" t="s">
        <v>159</v>
      </c>
    </row>
    <row r="8" spans="1:7" x14ac:dyDescent="0.25">
      <c r="A8" s="25" t="s">
        <v>160</v>
      </c>
    </row>
    <row r="9" spans="1:7" x14ac:dyDescent="0.25">
      <c r="A9" s="176"/>
    </row>
    <row r="10" spans="1:7" x14ac:dyDescent="0.25">
      <c r="A10" s="25" t="s">
        <v>161</v>
      </c>
    </row>
    <row r="11" spans="1:7" x14ac:dyDescent="0.25">
      <c r="A11" s="1283" t="s">
        <v>261</v>
      </c>
      <c r="B11" s="1283"/>
      <c r="C11" s="25" t="s">
        <v>701</v>
      </c>
    </row>
    <row r="12" spans="1:7" x14ac:dyDescent="0.25">
      <c r="A12" s="1283" t="s">
        <v>262</v>
      </c>
      <c r="B12" s="1283"/>
      <c r="C12" s="25" t="s">
        <v>1060</v>
      </c>
    </row>
    <row r="13" spans="1:7" x14ac:dyDescent="0.25">
      <c r="A13" s="1283" t="s">
        <v>263</v>
      </c>
      <c r="B13" s="1283"/>
      <c r="C13" s="25" t="s">
        <v>802</v>
      </c>
    </row>
    <row r="14" spans="1:7" x14ac:dyDescent="0.25">
      <c r="A14" s="25" t="s">
        <v>264</v>
      </c>
      <c r="C14" s="25" t="s">
        <v>34</v>
      </c>
    </row>
    <row r="16" spans="1:7" x14ac:dyDescent="0.25">
      <c r="B16" s="1252" t="s">
        <v>162</v>
      </c>
      <c r="C16" s="994"/>
      <c r="D16" s="994" t="s">
        <v>163</v>
      </c>
      <c r="E16" s="994"/>
      <c r="F16" s="343"/>
    </row>
    <row r="17" spans="1:7" x14ac:dyDescent="0.25">
      <c r="B17" s="1281" t="s">
        <v>267</v>
      </c>
      <c r="C17" s="984"/>
      <c r="D17" s="984"/>
      <c r="E17" s="984"/>
      <c r="F17" s="344"/>
    </row>
    <row r="18" spans="1:7" ht="16.5" thickBot="1" x14ac:dyDescent="0.3">
      <c r="B18" s="1270" t="s">
        <v>165</v>
      </c>
      <c r="C18" s="1271"/>
      <c r="D18" s="1272"/>
      <c r="E18" s="1272"/>
      <c r="F18" s="345"/>
    </row>
    <row r="20" spans="1:7" x14ac:dyDescent="0.25">
      <c r="A20" s="25" t="s">
        <v>269</v>
      </c>
    </row>
    <row r="21" spans="1:7" ht="16.5" thickBot="1" x14ac:dyDescent="0.3"/>
    <row r="22" spans="1:7" ht="23.25" customHeight="1" x14ac:dyDescent="0.25">
      <c r="A22" s="230" t="s">
        <v>0</v>
      </c>
      <c r="B22" s="1289" t="s">
        <v>27</v>
      </c>
      <c r="C22" s="1290"/>
      <c r="D22" s="229" t="s">
        <v>31</v>
      </c>
      <c r="E22" s="347" t="s">
        <v>271</v>
      </c>
      <c r="F22" s="1289" t="s">
        <v>164</v>
      </c>
      <c r="G22" s="1291"/>
    </row>
    <row r="23" spans="1:7" x14ac:dyDescent="0.25">
      <c r="A23" s="177">
        <v>1</v>
      </c>
      <c r="B23" s="1277"/>
      <c r="C23" s="1277"/>
      <c r="D23" s="294"/>
      <c r="E23" s="177" t="s">
        <v>840</v>
      </c>
      <c r="F23" s="984"/>
      <c r="G23" s="984"/>
    </row>
    <row r="24" spans="1:7" x14ac:dyDescent="0.25">
      <c r="A24" s="177">
        <v>2</v>
      </c>
      <c r="B24" s="1277"/>
      <c r="C24" s="1277"/>
      <c r="D24" s="294"/>
      <c r="E24" s="294" t="s">
        <v>840</v>
      </c>
      <c r="F24" s="984"/>
      <c r="G24" s="984"/>
    </row>
    <row r="25" spans="1:7" x14ac:dyDescent="0.25">
      <c r="A25" s="177">
        <v>3</v>
      </c>
      <c r="B25" s="1265"/>
      <c r="C25" s="1266"/>
      <c r="D25" s="294"/>
      <c r="E25" s="179" t="s">
        <v>840</v>
      </c>
      <c r="F25" s="975"/>
      <c r="G25" s="977"/>
    </row>
    <row r="26" spans="1:7" x14ac:dyDescent="0.25">
      <c r="A26" s="177">
        <v>4</v>
      </c>
      <c r="B26" s="1265"/>
      <c r="C26" s="1266"/>
      <c r="D26" s="294"/>
      <c r="E26" s="179" t="s">
        <v>840</v>
      </c>
      <c r="F26" s="975"/>
      <c r="G26" s="977"/>
    </row>
    <row r="27" spans="1:7" x14ac:dyDescent="0.25">
      <c r="A27" s="177">
        <v>5</v>
      </c>
      <c r="B27" s="1265"/>
      <c r="C27" s="1266"/>
      <c r="D27" s="294"/>
      <c r="E27" s="179" t="s">
        <v>840</v>
      </c>
      <c r="F27" s="975"/>
      <c r="G27" s="977"/>
    </row>
    <row r="28" spans="1:7" x14ac:dyDescent="0.25">
      <c r="A28" s="177"/>
      <c r="B28" s="975"/>
      <c r="C28" s="977"/>
      <c r="D28" s="178"/>
      <c r="E28" s="179"/>
      <c r="F28" s="975"/>
      <c r="G28" s="977"/>
    </row>
    <row r="29" spans="1:7" x14ac:dyDescent="0.25">
      <c r="A29" s="177"/>
      <c r="B29" s="975"/>
      <c r="C29" s="977"/>
      <c r="D29" s="178"/>
      <c r="E29" s="179"/>
      <c r="F29" s="975"/>
      <c r="G29" s="977"/>
    </row>
    <row r="30" spans="1:7" x14ac:dyDescent="0.25">
      <c r="A30" s="25" t="s">
        <v>168</v>
      </c>
    </row>
    <row r="31" spans="1:7" x14ac:dyDescent="0.25">
      <c r="A31" s="25" t="s">
        <v>274</v>
      </c>
    </row>
    <row r="32" spans="1:7" x14ac:dyDescent="0.25">
      <c r="A32" s="25" t="s">
        <v>272</v>
      </c>
    </row>
    <row r="33" spans="1:7" x14ac:dyDescent="0.25">
      <c r="A33" s="25" t="s">
        <v>273</v>
      </c>
    </row>
    <row r="34" spans="1:7" x14ac:dyDescent="0.25">
      <c r="A34" s="25" t="s">
        <v>266</v>
      </c>
    </row>
    <row r="35" spans="1:7" x14ac:dyDescent="0.25">
      <c r="A35" s="25" t="s">
        <v>270</v>
      </c>
    </row>
    <row r="36" spans="1:7" ht="7.5" customHeight="1" thickBot="1" x14ac:dyDescent="0.3"/>
    <row r="37" spans="1:7" x14ac:dyDescent="0.25">
      <c r="A37" s="1253" t="s">
        <v>0</v>
      </c>
      <c r="B37" s="1256" t="s">
        <v>27</v>
      </c>
      <c r="C37" s="1257"/>
      <c r="D37" s="1262" t="s">
        <v>31</v>
      </c>
      <c r="E37" s="1262"/>
      <c r="F37" s="1256" t="s">
        <v>164</v>
      </c>
      <c r="G37" s="1278"/>
    </row>
    <row r="38" spans="1:7" x14ac:dyDescent="0.25">
      <c r="A38" s="1254"/>
      <c r="B38" s="1258"/>
      <c r="C38" s="1259"/>
      <c r="D38" s="1292" t="s">
        <v>808</v>
      </c>
      <c r="E38" s="35" t="s">
        <v>839</v>
      </c>
      <c r="F38" s="1258"/>
      <c r="G38" s="1279"/>
    </row>
    <row r="39" spans="1:7" x14ac:dyDescent="0.25">
      <c r="A39" s="1255"/>
      <c r="B39" s="1260"/>
      <c r="C39" s="1261"/>
      <c r="D39" s="1292"/>
      <c r="E39" s="35" t="s">
        <v>919</v>
      </c>
      <c r="F39" s="1260"/>
      <c r="G39" s="1280"/>
    </row>
    <row r="40" spans="1:7" x14ac:dyDescent="0.25">
      <c r="A40" s="180">
        <v>1</v>
      </c>
      <c r="B40" s="1277"/>
      <c r="C40" s="1277"/>
      <c r="D40" s="294"/>
      <c r="E40" s="294"/>
      <c r="F40" s="984"/>
      <c r="G40" s="1293"/>
    </row>
    <row r="41" spans="1:7" x14ac:dyDescent="0.25">
      <c r="A41" s="180">
        <v>2</v>
      </c>
      <c r="B41" s="1277"/>
      <c r="C41" s="1277"/>
      <c r="D41" s="294"/>
      <c r="E41" s="294"/>
      <c r="F41" s="975"/>
      <c r="G41" s="1276"/>
    </row>
    <row r="42" spans="1:7" x14ac:dyDescent="0.25">
      <c r="A42" s="180">
        <v>3</v>
      </c>
      <c r="B42" s="1265"/>
      <c r="C42" s="1266"/>
      <c r="D42" s="294"/>
      <c r="E42" s="294"/>
      <c r="F42" s="975"/>
      <c r="G42" s="1276"/>
    </row>
    <row r="43" spans="1:7" x14ac:dyDescent="0.25">
      <c r="A43" s="180">
        <v>4</v>
      </c>
      <c r="B43" s="1265"/>
      <c r="C43" s="1266"/>
      <c r="D43" s="294"/>
      <c r="E43" s="294"/>
      <c r="F43" s="975"/>
      <c r="G43" s="1276"/>
    </row>
    <row r="44" spans="1:7" x14ac:dyDescent="0.25">
      <c r="A44" s="180">
        <v>5</v>
      </c>
      <c r="B44" s="1265"/>
      <c r="C44" s="1266"/>
      <c r="D44" s="294"/>
      <c r="E44" s="294"/>
      <c r="F44" s="975"/>
      <c r="G44" s="1276"/>
    </row>
    <row r="45" spans="1:7" x14ac:dyDescent="0.25">
      <c r="A45" s="180">
        <v>6</v>
      </c>
      <c r="B45" s="975"/>
      <c r="C45" s="977"/>
      <c r="D45" s="178"/>
      <c r="E45" s="178"/>
      <c r="F45" s="975"/>
      <c r="G45" s="1276"/>
    </row>
    <row r="46" spans="1:7" ht="6.75" customHeight="1" x14ac:dyDescent="0.25"/>
    <row r="49" spans="2:7" x14ac:dyDescent="0.25">
      <c r="B49" s="25" t="s">
        <v>172</v>
      </c>
      <c r="F49" s="1283" t="s">
        <v>1197</v>
      </c>
      <c r="G49" s="1283"/>
    </row>
    <row r="50" spans="2:7" x14ac:dyDescent="0.25">
      <c r="B50" s="25" t="s">
        <v>173</v>
      </c>
      <c r="F50" s="944" t="s">
        <v>174</v>
      </c>
      <c r="G50" s="944"/>
    </row>
    <row r="51" spans="2:7" x14ac:dyDescent="0.25">
      <c r="F51" s="1283"/>
      <c r="G51" s="1283"/>
    </row>
    <row r="52" spans="2:7" x14ac:dyDescent="0.25">
      <c r="F52" s="1283"/>
      <c r="G52" s="1283"/>
    </row>
    <row r="53" spans="2:7" x14ac:dyDescent="0.25">
      <c r="B53" s="28" t="s">
        <v>968</v>
      </c>
      <c r="C53" s="26"/>
      <c r="F53" s="944" t="s">
        <v>1154</v>
      </c>
      <c r="G53" s="944" t="s">
        <v>1154</v>
      </c>
    </row>
    <row r="54" spans="2:7" x14ac:dyDescent="0.25">
      <c r="B54" s="28" t="s">
        <v>969</v>
      </c>
      <c r="C54" s="26"/>
      <c r="F54" s="25" t="s">
        <v>1160</v>
      </c>
      <c r="G54" s="25" t="s">
        <v>1160</v>
      </c>
    </row>
  </sheetData>
  <mergeCells count="50">
    <mergeCell ref="B43:C43"/>
    <mergeCell ref="F43:G43"/>
    <mergeCell ref="B44:C44"/>
    <mergeCell ref="F44:G44"/>
    <mergeCell ref="B45:C45"/>
    <mergeCell ref="F45:G45"/>
    <mergeCell ref="B40:C40"/>
    <mergeCell ref="F40:G40"/>
    <mergeCell ref="B41:C41"/>
    <mergeCell ref="F41:G41"/>
    <mergeCell ref="B42:C42"/>
    <mergeCell ref="F42:G42"/>
    <mergeCell ref="B28:C28"/>
    <mergeCell ref="F28:G28"/>
    <mergeCell ref="B29:C29"/>
    <mergeCell ref="F29:G29"/>
    <mergeCell ref="A37:A39"/>
    <mergeCell ref="B37:C39"/>
    <mergeCell ref="D37:E37"/>
    <mergeCell ref="F37:G39"/>
    <mergeCell ref="D38:D39"/>
    <mergeCell ref="B25:C25"/>
    <mergeCell ref="F25:G25"/>
    <mergeCell ref="B26:C26"/>
    <mergeCell ref="F26:G26"/>
    <mergeCell ref="B27:C27"/>
    <mergeCell ref="F27:G27"/>
    <mergeCell ref="F22:G22"/>
    <mergeCell ref="B23:C23"/>
    <mergeCell ref="F23:G23"/>
    <mergeCell ref="B24:C24"/>
    <mergeCell ref="F24:G24"/>
    <mergeCell ref="B17:C17"/>
    <mergeCell ref="D17:E17"/>
    <mergeCell ref="B18:C18"/>
    <mergeCell ref="D18:E18"/>
    <mergeCell ref="B22:C22"/>
    <mergeCell ref="F1:G1"/>
    <mergeCell ref="F2:G2"/>
    <mergeCell ref="A3:G3"/>
    <mergeCell ref="B16:C16"/>
    <mergeCell ref="D16:E16"/>
    <mergeCell ref="A11:B11"/>
    <mergeCell ref="A12:B12"/>
    <mergeCell ref="A13:B13"/>
    <mergeCell ref="F49:G49"/>
    <mergeCell ref="F50:G50"/>
    <mergeCell ref="F51:G51"/>
    <mergeCell ref="F52:G52"/>
    <mergeCell ref="F53:G53"/>
  </mergeCells>
  <pageMargins left="0.70866141732283472" right="0.59055118110236227" top="0.35433070866141736" bottom="1.3385826771653544" header="0.31496062992125984" footer="0.31496062992125984"/>
  <pageSetup paperSize="5" scale="85" orientation="portrait" horizontalDpi="0" verticalDpi="0"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0000"/>
  </sheetPr>
  <dimension ref="A1:Y56"/>
  <sheetViews>
    <sheetView topLeftCell="A28" workbookViewId="0">
      <selection activeCell="N59" sqref="N59"/>
    </sheetView>
  </sheetViews>
  <sheetFormatPr defaultColWidth="9.140625" defaultRowHeight="15" x14ac:dyDescent="0.25"/>
  <cols>
    <col min="1" max="1" width="8.42578125" style="123" customWidth="1"/>
    <col min="2" max="2" width="8.5703125" style="27" customWidth="1"/>
    <col min="3" max="9" width="5.42578125" style="27" customWidth="1"/>
    <col min="10" max="11" width="5.140625" style="27" customWidth="1"/>
    <col min="12" max="12" width="5.85546875" style="27" customWidth="1"/>
    <col min="13" max="16" width="5.42578125" style="27" customWidth="1"/>
    <col min="17" max="18" width="9.140625" style="27"/>
    <col min="19" max="19" width="9.140625" style="27" customWidth="1"/>
    <col min="20" max="22" width="5.42578125" style="27" customWidth="1"/>
    <col min="23" max="16384" width="9.140625" style="27"/>
  </cols>
  <sheetData>
    <row r="1" spans="2:23" x14ac:dyDescent="0.25">
      <c r="M1" s="848" t="s">
        <v>694</v>
      </c>
      <c r="N1" s="848"/>
      <c r="O1" s="848"/>
    </row>
    <row r="2" spans="2:23" x14ac:dyDescent="0.25">
      <c r="M2" s="850">
        <v>45848</v>
      </c>
      <c r="N2" s="850"/>
      <c r="O2" s="850"/>
    </row>
    <row r="3" spans="2:23" ht="18.75" x14ac:dyDescent="0.3">
      <c r="B3" s="744" t="s">
        <v>192</v>
      </c>
      <c r="C3" s="744"/>
      <c r="D3" s="744"/>
      <c r="E3" s="744"/>
      <c r="F3" s="744"/>
      <c r="G3" s="744"/>
      <c r="H3" s="744"/>
      <c r="I3" s="744"/>
      <c r="J3" s="744"/>
      <c r="K3" s="744"/>
      <c r="L3" s="744"/>
      <c r="M3" s="744"/>
      <c r="N3" s="744"/>
      <c r="W3" s="28"/>
    </row>
    <row r="4" spans="2:23" ht="15" customHeight="1" x14ac:dyDescent="0.25">
      <c r="W4" s="28"/>
    </row>
    <row r="5" spans="2:23" ht="15" customHeight="1" x14ac:dyDescent="0.25">
      <c r="B5" s="27" t="s">
        <v>38</v>
      </c>
      <c r="D5" s="28"/>
      <c r="E5" s="27" t="s">
        <v>34</v>
      </c>
      <c r="F5" s="28"/>
      <c r="W5" s="28"/>
    </row>
    <row r="6" spans="2:23" ht="15" customHeight="1" x14ac:dyDescent="0.25">
      <c r="B6" s="28" t="s">
        <v>597</v>
      </c>
      <c r="D6" s="28"/>
      <c r="E6" s="28" t="s">
        <v>34</v>
      </c>
      <c r="F6" s="28"/>
    </row>
    <row r="7" spans="2:23" ht="15" customHeight="1" x14ac:dyDescent="0.25">
      <c r="B7" s="28" t="s">
        <v>594</v>
      </c>
      <c r="D7" s="28"/>
      <c r="E7" s="28" t="s">
        <v>34</v>
      </c>
      <c r="F7" s="28"/>
    </row>
    <row r="8" spans="2:23" ht="15" customHeight="1" x14ac:dyDescent="0.25">
      <c r="B8" s="28" t="s">
        <v>595</v>
      </c>
      <c r="D8" s="28"/>
      <c r="E8" s="27" t="s">
        <v>332</v>
      </c>
      <c r="F8" s="28"/>
    </row>
    <row r="9" spans="2:23" ht="15" customHeight="1" x14ac:dyDescent="0.25">
      <c r="B9" s="27" t="s">
        <v>39</v>
      </c>
      <c r="D9" s="28"/>
      <c r="E9" s="27" t="s">
        <v>332</v>
      </c>
      <c r="F9" s="28"/>
      <c r="J9" s="27" t="s">
        <v>36</v>
      </c>
    </row>
    <row r="10" spans="2:23" ht="15" customHeight="1" x14ac:dyDescent="0.25">
      <c r="B10" s="27" t="s">
        <v>104</v>
      </c>
      <c r="D10" s="28"/>
      <c r="E10" s="27" t="s">
        <v>332</v>
      </c>
      <c r="F10" s="28"/>
    </row>
    <row r="11" spans="2:23" ht="15" customHeight="1" x14ac:dyDescent="0.25">
      <c r="B11" s="27" t="s">
        <v>40</v>
      </c>
      <c r="D11" s="28"/>
      <c r="E11" s="27" t="s">
        <v>332</v>
      </c>
      <c r="F11" s="28"/>
    </row>
    <row r="12" spans="2:23" ht="15" customHeight="1" x14ac:dyDescent="0.25">
      <c r="B12" s="124"/>
      <c r="C12" s="125">
        <v>100</v>
      </c>
      <c r="D12" s="124"/>
      <c r="E12" s="124"/>
      <c r="F12" s="124"/>
      <c r="G12" s="1303" t="s">
        <v>398</v>
      </c>
      <c r="H12" s="1303"/>
      <c r="I12" s="124"/>
      <c r="J12" s="124"/>
      <c r="K12" s="124"/>
      <c r="L12" s="124"/>
      <c r="M12" s="124"/>
      <c r="N12" s="126"/>
      <c r="O12" s="126"/>
    </row>
    <row r="13" spans="2:23" ht="15" customHeight="1" x14ac:dyDescent="0.25">
      <c r="B13" s="124"/>
      <c r="C13" s="125">
        <v>95</v>
      </c>
      <c r="D13" s="124"/>
      <c r="E13" s="124"/>
      <c r="F13" s="124"/>
      <c r="G13" s="124"/>
      <c r="H13" s="124"/>
      <c r="I13" s="124"/>
      <c r="J13" s="124"/>
      <c r="K13" s="124"/>
      <c r="L13" s="127"/>
      <c r="M13" s="126"/>
      <c r="N13" s="124"/>
      <c r="O13" s="45"/>
    </row>
    <row r="14" spans="2:23" ht="15" customHeight="1" x14ac:dyDescent="0.25">
      <c r="C14" s="125">
        <v>90</v>
      </c>
      <c r="D14" s="45"/>
      <c r="E14" s="45"/>
      <c r="F14" s="45"/>
      <c r="G14" s="45"/>
      <c r="H14" s="45"/>
      <c r="I14" s="45"/>
      <c r="J14" s="45"/>
      <c r="K14" s="128"/>
      <c r="L14" s="45"/>
      <c r="M14" s="127"/>
      <c r="N14" s="124"/>
      <c r="O14" s="45"/>
    </row>
    <row r="15" spans="2:23" ht="15" customHeight="1" x14ac:dyDescent="0.25">
      <c r="C15" s="125">
        <v>85</v>
      </c>
      <c r="D15" s="45"/>
      <c r="E15" s="45"/>
      <c r="F15" s="45"/>
      <c r="G15" s="45"/>
      <c r="H15" s="45"/>
      <c r="I15" s="45"/>
      <c r="J15" s="45"/>
      <c r="K15" s="129"/>
      <c r="L15" s="45"/>
      <c r="M15" s="45"/>
      <c r="N15" s="124"/>
      <c r="O15" s="45"/>
    </row>
    <row r="16" spans="2:23" ht="15" customHeight="1" x14ac:dyDescent="0.25">
      <c r="C16" s="125">
        <v>80</v>
      </c>
      <c r="D16" s="45"/>
      <c r="E16" s="45"/>
      <c r="F16" s="45"/>
      <c r="G16" s="45"/>
      <c r="H16" s="45"/>
      <c r="I16" s="45"/>
      <c r="J16" s="45"/>
      <c r="K16" s="45"/>
      <c r="L16" s="129"/>
      <c r="M16" s="45"/>
      <c r="N16" s="124"/>
      <c r="O16" s="45"/>
    </row>
    <row r="17" spans="2:25" ht="15" customHeight="1" x14ac:dyDescent="0.25">
      <c r="C17" s="125">
        <v>75</v>
      </c>
      <c r="D17" s="45"/>
      <c r="E17" s="124"/>
      <c r="F17" s="124"/>
      <c r="G17" s="124"/>
      <c r="H17" s="45"/>
      <c r="I17" s="45"/>
      <c r="J17" s="130"/>
      <c r="K17" s="45"/>
      <c r="L17" s="45"/>
      <c r="M17" s="45"/>
      <c r="N17" s="124"/>
      <c r="O17" s="45"/>
    </row>
    <row r="18" spans="2:25" ht="15" customHeight="1" x14ac:dyDescent="0.25">
      <c r="C18" s="125">
        <v>70</v>
      </c>
      <c r="D18" s="45"/>
      <c r="E18" s="124"/>
      <c r="F18" s="124"/>
      <c r="G18" s="124"/>
      <c r="H18" s="131"/>
      <c r="I18" s="131"/>
      <c r="J18" s="131"/>
      <c r="K18" s="129"/>
      <c r="L18" s="45"/>
      <c r="M18" s="45"/>
      <c r="N18" s="124"/>
      <c r="O18" s="45"/>
    </row>
    <row r="19" spans="2:25" ht="15" customHeight="1" x14ac:dyDescent="0.25">
      <c r="C19" s="125">
        <v>65</v>
      </c>
      <c r="D19" s="45"/>
      <c r="E19" s="124"/>
      <c r="F19" s="124"/>
      <c r="G19" s="126"/>
      <c r="H19" s="45"/>
      <c r="I19" s="45"/>
      <c r="J19" s="45"/>
      <c r="K19" s="45"/>
      <c r="L19" s="45"/>
      <c r="M19" s="45"/>
      <c r="N19" s="124"/>
      <c r="O19" s="45"/>
    </row>
    <row r="20" spans="2:25" ht="15" customHeight="1" x14ac:dyDescent="0.25">
      <c r="B20" s="124"/>
      <c r="C20" s="125">
        <v>60</v>
      </c>
      <c r="D20" s="124"/>
      <c r="E20" s="124"/>
      <c r="F20" s="124"/>
      <c r="G20" s="124"/>
      <c r="H20" s="124"/>
      <c r="I20" s="124"/>
      <c r="J20" s="130"/>
      <c r="K20" s="124"/>
      <c r="L20" s="124"/>
      <c r="M20" s="124"/>
      <c r="N20" s="124"/>
      <c r="O20" s="45"/>
      <c r="X20" s="132"/>
      <c r="Y20" s="132"/>
    </row>
    <row r="21" spans="2:25" ht="15" customHeight="1" x14ac:dyDescent="0.25">
      <c r="B21" s="124"/>
      <c r="C21" s="125">
        <v>55</v>
      </c>
      <c r="D21" s="124"/>
      <c r="E21" s="124"/>
      <c r="F21" s="124"/>
      <c r="G21" s="124"/>
      <c r="H21" s="133"/>
      <c r="I21" s="133"/>
      <c r="J21" s="124"/>
      <c r="K21" s="124"/>
      <c r="L21" s="124"/>
      <c r="M21" s="124"/>
      <c r="N21" s="124"/>
      <c r="O21" s="45"/>
      <c r="X21" s="132"/>
      <c r="Y21" s="132"/>
    </row>
    <row r="22" spans="2:25" ht="15" customHeight="1" x14ac:dyDescent="0.25">
      <c r="B22" s="124"/>
      <c r="C22" s="125">
        <v>50</v>
      </c>
      <c r="D22" s="124"/>
      <c r="E22" s="124"/>
      <c r="F22" s="124"/>
      <c r="G22" s="127"/>
      <c r="H22" s="127"/>
      <c r="I22" s="127"/>
      <c r="J22" s="124"/>
      <c r="K22" s="124"/>
      <c r="L22" s="124"/>
      <c r="M22" s="124"/>
      <c r="N22" s="124"/>
      <c r="O22" s="45"/>
      <c r="X22" s="132"/>
      <c r="Y22" s="132"/>
    </row>
    <row r="23" spans="2:25" ht="15" customHeight="1" x14ac:dyDescent="0.25">
      <c r="B23" s="124"/>
      <c r="C23" s="125">
        <v>45</v>
      </c>
      <c r="D23" s="124"/>
      <c r="E23" s="124"/>
      <c r="F23" s="126"/>
      <c r="G23" s="127"/>
      <c r="H23" s="133"/>
      <c r="I23" s="133"/>
      <c r="J23" s="124"/>
      <c r="K23" s="124"/>
      <c r="L23" s="124"/>
      <c r="M23" s="124"/>
      <c r="N23" s="124"/>
      <c r="O23" s="45"/>
      <c r="X23" s="132"/>
      <c r="Y23" s="132"/>
    </row>
    <row r="24" spans="2:25" ht="15" customHeight="1" x14ac:dyDescent="0.25">
      <c r="B24" s="124"/>
      <c r="C24" s="125">
        <v>40</v>
      </c>
      <c r="D24" s="124"/>
      <c r="E24" s="124"/>
      <c r="F24" s="45"/>
      <c r="G24" s="127"/>
      <c r="H24" s="124"/>
      <c r="I24" s="124"/>
      <c r="J24" s="124"/>
      <c r="K24" s="124"/>
      <c r="L24" s="124"/>
      <c r="M24" s="124"/>
      <c r="N24" s="124"/>
      <c r="O24" s="45"/>
      <c r="X24" s="132"/>
      <c r="Y24" s="132"/>
    </row>
    <row r="25" spans="2:25" ht="15" customHeight="1" x14ac:dyDescent="0.25">
      <c r="B25" s="124"/>
      <c r="C25" s="125">
        <v>35</v>
      </c>
      <c r="D25" s="124"/>
      <c r="E25" s="45"/>
      <c r="F25" s="45"/>
      <c r="G25" s="127"/>
      <c r="H25" s="124"/>
      <c r="I25" s="124"/>
      <c r="J25" s="124"/>
      <c r="K25" s="124"/>
      <c r="L25" s="124"/>
      <c r="M25" s="124"/>
      <c r="N25" s="124"/>
      <c r="O25" s="45"/>
      <c r="X25" s="132"/>
      <c r="Y25" s="132"/>
    </row>
    <row r="26" spans="2:25" ht="15" customHeight="1" x14ac:dyDescent="0.25">
      <c r="B26" s="124"/>
      <c r="C26" s="125">
        <v>30</v>
      </c>
      <c r="D26" s="124"/>
      <c r="E26" s="134"/>
      <c r="F26" s="135"/>
      <c r="G26" s="134"/>
      <c r="H26" s="124"/>
      <c r="I26" s="124"/>
      <c r="J26" s="124"/>
      <c r="K26" s="124"/>
      <c r="L26" s="124"/>
      <c r="M26" s="124"/>
      <c r="N26" s="45"/>
      <c r="O26" s="45"/>
      <c r="X26" s="132"/>
      <c r="Y26" s="132"/>
    </row>
    <row r="27" spans="2:25" ht="15" customHeight="1" x14ac:dyDescent="0.25">
      <c r="B27" s="124"/>
      <c r="C27" s="125">
        <v>25</v>
      </c>
      <c r="D27" s="124"/>
      <c r="E27" s="131"/>
      <c r="F27" s="136"/>
      <c r="G27" s="45"/>
      <c r="H27" s="124"/>
      <c r="I27" s="124"/>
      <c r="J27" s="124"/>
      <c r="K27" s="124"/>
      <c r="L27" s="124"/>
      <c r="M27" s="124"/>
      <c r="N27" s="45"/>
      <c r="O27" s="45"/>
      <c r="X27" s="132"/>
      <c r="Y27" s="132"/>
    </row>
    <row r="28" spans="2:25" ht="15" customHeight="1" x14ac:dyDescent="0.25">
      <c r="B28" s="124"/>
      <c r="C28" s="125">
        <v>20</v>
      </c>
      <c r="D28" s="124"/>
      <c r="E28" s="136"/>
      <c r="F28" s="136"/>
      <c r="G28" s="45"/>
      <c r="H28" s="124"/>
      <c r="I28" s="124"/>
      <c r="J28" s="124"/>
      <c r="K28" s="137"/>
      <c r="L28" s="124"/>
      <c r="M28" s="124"/>
      <c r="N28" s="45"/>
      <c r="O28" s="45"/>
      <c r="X28" s="132"/>
      <c r="Y28" s="132"/>
    </row>
    <row r="29" spans="2:25" ht="15" customHeight="1" x14ac:dyDescent="0.25">
      <c r="B29" s="124"/>
      <c r="C29" s="125">
        <v>15</v>
      </c>
      <c r="D29" s="124"/>
      <c r="E29" s="135"/>
      <c r="F29" s="45"/>
      <c r="G29" s="45"/>
      <c r="H29" s="124"/>
      <c r="I29" s="124"/>
      <c r="J29" s="124"/>
      <c r="K29" s="124"/>
      <c r="L29" s="124"/>
      <c r="M29" s="124"/>
      <c r="N29" s="45"/>
      <c r="O29" s="45"/>
      <c r="X29" s="132"/>
      <c r="Y29" s="132"/>
    </row>
    <row r="30" spans="2:25" ht="15" customHeight="1" x14ac:dyDescent="0.25">
      <c r="B30" s="124"/>
      <c r="C30" s="125">
        <v>10</v>
      </c>
      <c r="D30" s="45"/>
      <c r="E30" s="138"/>
      <c r="F30" s="45"/>
      <c r="G30" s="45"/>
      <c r="H30" s="45"/>
      <c r="I30" s="45"/>
      <c r="J30" s="124"/>
      <c r="K30" s="124"/>
      <c r="L30" s="124"/>
      <c r="M30" s="124"/>
      <c r="N30" s="45"/>
      <c r="O30" s="45"/>
      <c r="X30" s="132"/>
      <c r="Y30" s="132"/>
    </row>
    <row r="31" spans="2:25" ht="15" customHeight="1" x14ac:dyDescent="0.25">
      <c r="B31" s="124"/>
      <c r="C31" s="125">
        <v>5</v>
      </c>
      <c r="D31" s="139">
        <v>0.06</v>
      </c>
      <c r="E31" s="45"/>
      <c r="F31" s="45"/>
      <c r="G31" s="45"/>
      <c r="H31" s="134"/>
      <c r="I31" s="134"/>
      <c r="J31" s="124"/>
      <c r="K31" s="124"/>
      <c r="L31" s="124"/>
      <c r="M31" s="124"/>
      <c r="N31" s="45"/>
      <c r="O31" s="45"/>
      <c r="X31" s="132"/>
      <c r="Y31" s="132"/>
    </row>
    <row r="32" spans="2:25" ht="15" customHeight="1" x14ac:dyDescent="0.25">
      <c r="C32" s="125">
        <v>0</v>
      </c>
      <c r="D32" s="140"/>
      <c r="X32" s="132"/>
      <c r="Y32" s="132"/>
    </row>
    <row r="33" spans="2:16" ht="15" customHeight="1" x14ac:dyDescent="0.25">
      <c r="C33" s="134"/>
      <c r="D33" s="134" t="s">
        <v>117</v>
      </c>
      <c r="E33" s="134" t="s">
        <v>193</v>
      </c>
      <c r="F33" s="134" t="s">
        <v>7</v>
      </c>
      <c r="G33" s="134" t="s">
        <v>8</v>
      </c>
      <c r="H33" s="134" t="s">
        <v>9</v>
      </c>
      <c r="I33" s="134" t="s">
        <v>10</v>
      </c>
      <c r="J33" s="134" t="s">
        <v>11</v>
      </c>
      <c r="K33" s="134" t="s">
        <v>12</v>
      </c>
      <c r="L33" s="134" t="s">
        <v>15</v>
      </c>
      <c r="M33" s="134" t="s">
        <v>115</v>
      </c>
      <c r="N33" s="134" t="s">
        <v>13</v>
      </c>
      <c r="O33" s="134" t="s">
        <v>116</v>
      </c>
      <c r="P33" s="134"/>
    </row>
    <row r="34" spans="2:16" ht="15" customHeight="1" x14ac:dyDescent="0.25">
      <c r="B34" s="27" t="s">
        <v>16</v>
      </c>
      <c r="H34" s="141"/>
      <c r="I34" s="141"/>
    </row>
    <row r="35" spans="2:16" ht="15" customHeight="1" thickBot="1" x14ac:dyDescent="0.3">
      <c r="B35" s="27" t="s">
        <v>194</v>
      </c>
      <c r="D35" s="45"/>
      <c r="H35" s="141"/>
      <c r="I35" s="142"/>
    </row>
    <row r="36" spans="2:16" ht="15" customHeight="1" x14ac:dyDescent="0.25">
      <c r="B36" s="1294" t="s">
        <v>195</v>
      </c>
      <c r="C36" s="1295"/>
      <c r="D36" s="1295"/>
      <c r="E36" s="1295"/>
      <c r="F36" s="1295"/>
      <c r="G36" s="1295"/>
      <c r="H36" s="1295"/>
      <c r="I36" s="1295"/>
      <c r="J36" s="1295"/>
      <c r="K36" s="1296" t="s">
        <v>14</v>
      </c>
      <c r="L36" s="1298">
        <v>1</v>
      </c>
      <c r="N36" s="1300" t="s">
        <v>196</v>
      </c>
      <c r="O36" s="1300"/>
      <c r="P36" s="1300"/>
    </row>
    <row r="37" spans="2:16" ht="15" customHeight="1" thickBot="1" x14ac:dyDescent="0.3">
      <c r="B37" s="1301" t="s">
        <v>197</v>
      </c>
      <c r="C37" s="1302"/>
      <c r="D37" s="1302"/>
      <c r="E37" s="1302"/>
      <c r="F37" s="1302"/>
      <c r="G37" s="1302"/>
      <c r="H37" s="1302"/>
      <c r="I37" s="1302"/>
      <c r="J37" s="1302"/>
      <c r="K37" s="1297"/>
      <c r="L37" s="1299"/>
      <c r="N37" s="1300"/>
      <c r="O37" s="1300"/>
      <c r="P37" s="1300"/>
    </row>
    <row r="38" spans="2:16" ht="15" customHeight="1" x14ac:dyDescent="0.25"/>
    <row r="39" spans="2:16" ht="15" customHeight="1" thickBot="1" x14ac:dyDescent="0.3">
      <c r="B39" s="27" t="s">
        <v>198</v>
      </c>
    </row>
    <row r="40" spans="2:16" ht="15" customHeight="1" x14ac:dyDescent="0.25">
      <c r="B40" s="1294" t="s">
        <v>199</v>
      </c>
      <c r="C40" s="1295"/>
      <c r="D40" s="1295"/>
      <c r="E40" s="1295"/>
      <c r="F40" s="1295"/>
      <c r="G40" s="1295"/>
      <c r="H40" s="1295"/>
      <c r="I40" s="1295"/>
      <c r="J40" s="1295"/>
      <c r="K40" s="1296" t="s">
        <v>14</v>
      </c>
      <c r="L40" s="1298">
        <v>1</v>
      </c>
      <c r="N40" s="1300" t="s">
        <v>200</v>
      </c>
      <c r="O40" s="1300"/>
      <c r="P40" s="1300"/>
    </row>
    <row r="41" spans="2:16" ht="15" customHeight="1" thickBot="1" x14ac:dyDescent="0.3">
      <c r="B41" s="1301" t="s">
        <v>197</v>
      </c>
      <c r="C41" s="1302"/>
      <c r="D41" s="1302"/>
      <c r="E41" s="1302"/>
      <c r="F41" s="1302"/>
      <c r="G41" s="1302"/>
      <c r="H41" s="1302"/>
      <c r="I41" s="1302"/>
      <c r="J41" s="1302"/>
      <c r="K41" s="1297"/>
      <c r="L41" s="1299"/>
      <c r="N41" s="1300"/>
      <c r="O41" s="1300"/>
      <c r="P41" s="1300"/>
    </row>
    <row r="42" spans="2:16" ht="15" customHeight="1" x14ac:dyDescent="0.25">
      <c r="B42" s="27" t="s">
        <v>44</v>
      </c>
    </row>
    <row r="43" spans="2:16" ht="9.75" customHeight="1" x14ac:dyDescent="0.25">
      <c r="N43" s="27" t="s">
        <v>36</v>
      </c>
    </row>
    <row r="44" spans="2:16" ht="15" customHeight="1" x14ac:dyDescent="0.25">
      <c r="D44" s="143"/>
      <c r="E44" s="143"/>
      <c r="F44" s="144"/>
      <c r="K44" s="143" t="s">
        <v>1203</v>
      </c>
      <c r="L44" s="143"/>
      <c r="M44" s="144"/>
    </row>
    <row r="45" spans="2:16" ht="15" customHeight="1" x14ac:dyDescent="0.25">
      <c r="B45" s="27" t="s">
        <v>33</v>
      </c>
    </row>
    <row r="46" spans="2:16" ht="15" customHeight="1" x14ac:dyDescent="0.25">
      <c r="B46" s="28" t="s">
        <v>289</v>
      </c>
      <c r="K46" s="27" t="s">
        <v>41</v>
      </c>
    </row>
    <row r="47" spans="2:16" ht="15" customHeight="1" x14ac:dyDescent="0.25">
      <c r="B47" s="28"/>
    </row>
    <row r="48" spans="2:16" ht="15" customHeight="1" x14ac:dyDescent="0.25">
      <c r="B48" s="28"/>
    </row>
    <row r="49" spans="2:13" ht="15" customHeight="1" x14ac:dyDescent="0.25">
      <c r="B49" s="34" t="s">
        <v>967</v>
      </c>
      <c r="D49" s="19"/>
      <c r="E49" s="145"/>
      <c r="F49" s="145"/>
      <c r="K49" s="143" t="s">
        <v>1154</v>
      </c>
      <c r="L49" s="145"/>
      <c r="M49" s="145"/>
    </row>
    <row r="50" spans="2:13" ht="15" customHeight="1" x14ac:dyDescent="0.25">
      <c r="B50" s="28" t="s">
        <v>970</v>
      </c>
      <c r="D50" s="18"/>
      <c r="E50" s="145"/>
      <c r="F50" s="145"/>
      <c r="J50" s="146"/>
      <c r="K50" s="18" t="s">
        <v>1160</v>
      </c>
      <c r="L50" s="145"/>
      <c r="M50" s="145"/>
    </row>
    <row r="51" spans="2:13" ht="15" customHeight="1" x14ac:dyDescent="0.25"/>
    <row r="52" spans="2:13" ht="15" customHeight="1" x14ac:dyDescent="0.25">
      <c r="B52" s="143" t="s">
        <v>137</v>
      </c>
      <c r="C52" s="144"/>
      <c r="D52" s="143"/>
      <c r="E52" s="144"/>
      <c r="J52" s="146"/>
      <c r="K52" s="143" t="s">
        <v>1195</v>
      </c>
      <c r="L52" s="144"/>
    </row>
    <row r="53" spans="2:13" ht="15" customHeight="1" x14ac:dyDescent="0.25">
      <c r="B53" s="143"/>
      <c r="C53" s="144"/>
      <c r="D53" s="143"/>
      <c r="E53" s="144"/>
      <c r="J53" s="146"/>
      <c r="K53" s="143"/>
      <c r="L53" s="144"/>
    </row>
    <row r="54" spans="2:13" ht="15" customHeight="1" x14ac:dyDescent="0.25">
      <c r="B54" s="28"/>
      <c r="C54" s="28"/>
      <c r="D54" s="28"/>
      <c r="E54" s="28"/>
      <c r="J54" s="146"/>
      <c r="K54" s="143"/>
      <c r="L54" s="28"/>
    </row>
    <row r="55" spans="2:13" ht="15" customHeight="1" x14ac:dyDescent="0.25">
      <c r="B55" s="28" t="s">
        <v>968</v>
      </c>
      <c r="C55" s="144"/>
      <c r="D55" s="19"/>
      <c r="E55" s="144"/>
      <c r="J55" s="146"/>
      <c r="K55" s="27" t="s">
        <v>1156</v>
      </c>
      <c r="L55" s="144"/>
    </row>
    <row r="56" spans="2:13" ht="15" customHeight="1" x14ac:dyDescent="0.25">
      <c r="B56" s="28" t="s">
        <v>969</v>
      </c>
      <c r="C56" s="144"/>
      <c r="D56" s="143"/>
      <c r="E56" s="144"/>
      <c r="J56" s="146"/>
      <c r="K56" s="27" t="s">
        <v>1157</v>
      </c>
      <c r="L56" s="144"/>
    </row>
  </sheetData>
  <mergeCells count="14">
    <mergeCell ref="B40:J40"/>
    <mergeCell ref="K40:K41"/>
    <mergeCell ref="L40:L41"/>
    <mergeCell ref="N40:P41"/>
    <mergeCell ref="B41:J41"/>
    <mergeCell ref="M1:O1"/>
    <mergeCell ref="M2:O2"/>
    <mergeCell ref="B3:N3"/>
    <mergeCell ref="B36:J36"/>
    <mergeCell ref="K36:K37"/>
    <mergeCell ref="L36:L37"/>
    <mergeCell ref="N36:P37"/>
    <mergeCell ref="B37:J37"/>
    <mergeCell ref="G12:H12"/>
  </mergeCells>
  <pageMargins left="1.0629921259842521" right="0.27559055118110237" top="0.43307086614173229" bottom="0.74803149606299213" header="0.31496062992125984" footer="0.31496062992125984"/>
  <pageSetup paperSize="5" scale="90" orientation="portrait" horizontalDpi="300" verticalDpi="300"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N37"/>
  <sheetViews>
    <sheetView topLeftCell="A16" workbookViewId="0">
      <selection activeCell="C24" sqref="C24"/>
    </sheetView>
  </sheetViews>
  <sheetFormatPr defaultColWidth="9.140625" defaultRowHeight="15" x14ac:dyDescent="0.25"/>
  <cols>
    <col min="1" max="1" width="5.5703125" style="27" customWidth="1"/>
    <col min="2" max="2" width="52.42578125" style="27" customWidth="1"/>
    <col min="3" max="3" width="7" style="27" customWidth="1"/>
    <col min="4" max="4" width="6.42578125" style="27" customWidth="1"/>
    <col min="5" max="5" width="8.140625" style="27" customWidth="1"/>
    <col min="6" max="6" width="8.85546875" style="27" customWidth="1"/>
    <col min="7" max="7" width="4" style="27" customWidth="1"/>
    <col min="8" max="16384" width="9.140625" style="27"/>
  </cols>
  <sheetData>
    <row r="1" spans="1:14" x14ac:dyDescent="0.25">
      <c r="E1" s="1316" t="s">
        <v>397</v>
      </c>
      <c r="F1" s="1316"/>
    </row>
    <row r="2" spans="1:14" x14ac:dyDescent="0.25">
      <c r="B2" s="232" t="s">
        <v>392</v>
      </c>
      <c r="E2" s="1317">
        <v>41783</v>
      </c>
      <c r="F2" s="1317"/>
    </row>
    <row r="3" spans="1:14" ht="18.75" x14ac:dyDescent="0.3">
      <c r="A3" s="938" t="s">
        <v>347</v>
      </c>
      <c r="B3" s="938"/>
      <c r="C3" s="938"/>
      <c r="D3" s="938"/>
      <c r="E3" s="938"/>
      <c r="F3" s="938"/>
      <c r="G3" s="148"/>
      <c r="I3" s="943"/>
      <c r="J3" s="943"/>
      <c r="K3" s="943"/>
      <c r="L3" s="943"/>
      <c r="M3" s="943"/>
      <c r="N3" s="943"/>
    </row>
    <row r="4" spans="1:14" ht="12" customHeight="1" x14ac:dyDescent="0.3">
      <c r="G4" s="32"/>
    </row>
    <row r="5" spans="1:14" ht="16.5" customHeight="1" x14ac:dyDescent="0.3">
      <c r="A5" s="28" t="s">
        <v>38</v>
      </c>
      <c r="C5" s="28" t="s">
        <v>332</v>
      </c>
      <c r="G5" s="32"/>
      <c r="H5" s="28"/>
    </row>
    <row r="6" spans="1:14" x14ac:dyDescent="0.25">
      <c r="A6" s="28" t="s">
        <v>39</v>
      </c>
      <c r="B6" s="146"/>
      <c r="C6" s="28" t="s">
        <v>332</v>
      </c>
      <c r="E6" s="28"/>
      <c r="F6" s="28"/>
      <c r="H6" s="28"/>
      <c r="I6" s="1304"/>
      <c r="J6" s="1304"/>
      <c r="K6" s="1304"/>
      <c r="L6" s="1304"/>
      <c r="M6" s="1304"/>
      <c r="N6" s="1304"/>
    </row>
    <row r="7" spans="1:14" x14ac:dyDescent="0.25">
      <c r="A7" s="28" t="s">
        <v>597</v>
      </c>
      <c r="B7" s="146"/>
      <c r="C7" s="28" t="s">
        <v>34</v>
      </c>
      <c r="E7" s="146"/>
      <c r="F7" s="146"/>
      <c r="H7" s="28"/>
      <c r="I7" s="1305"/>
      <c r="J7" s="1305"/>
      <c r="K7" s="1305"/>
      <c r="L7" s="1305"/>
      <c r="M7" s="1305"/>
      <c r="N7" s="1305"/>
    </row>
    <row r="8" spans="1:14" x14ac:dyDescent="0.25">
      <c r="A8" s="28" t="s">
        <v>594</v>
      </c>
      <c r="B8" s="146"/>
      <c r="C8" s="28" t="s">
        <v>34</v>
      </c>
      <c r="E8" s="146"/>
      <c r="F8" s="146"/>
      <c r="H8" s="28"/>
      <c r="I8" s="33"/>
      <c r="J8" s="33"/>
      <c r="K8" s="33"/>
      <c r="L8" s="33"/>
      <c r="M8" s="33"/>
      <c r="N8" s="33"/>
    </row>
    <row r="9" spans="1:14" ht="17.25" customHeight="1" x14ac:dyDescent="0.25">
      <c r="A9" s="28" t="s">
        <v>595</v>
      </c>
      <c r="B9" s="146"/>
      <c r="C9" s="27" t="s">
        <v>332</v>
      </c>
      <c r="E9" s="37"/>
      <c r="F9" s="37"/>
      <c r="H9" s="28"/>
      <c r="I9" s="1304"/>
      <c r="J9" s="1304"/>
      <c r="K9" s="1304"/>
      <c r="L9" s="1304"/>
      <c r="M9" s="1304"/>
      <c r="N9" s="1304"/>
    </row>
    <row r="10" spans="1:14" ht="17.25" customHeight="1" x14ac:dyDescent="0.25">
      <c r="A10" s="28" t="s">
        <v>40</v>
      </c>
      <c r="C10" s="27" t="s">
        <v>332</v>
      </c>
      <c r="G10" s="146"/>
      <c r="H10" s="28"/>
    </row>
    <row r="11" spans="1:14" ht="12" customHeight="1" x14ac:dyDescent="0.25">
      <c r="G11" s="146"/>
      <c r="H11" s="28"/>
    </row>
    <row r="12" spans="1:14" x14ac:dyDescent="0.25">
      <c r="A12" s="1306" t="s">
        <v>105</v>
      </c>
      <c r="B12" s="853" t="s">
        <v>5</v>
      </c>
      <c r="C12" s="1309" t="s">
        <v>109</v>
      </c>
      <c r="D12" s="1309" t="s">
        <v>6</v>
      </c>
      <c r="E12" s="1311" t="s">
        <v>110</v>
      </c>
      <c r="F12" s="1311"/>
      <c r="G12" s="146"/>
      <c r="I12" s="895"/>
      <c r="J12" s="895"/>
      <c r="K12" s="1061"/>
      <c r="L12" s="1061"/>
      <c r="M12" s="895"/>
      <c r="N12" s="895"/>
    </row>
    <row r="13" spans="1:14" ht="21.75" thickBot="1" x14ac:dyDescent="0.3">
      <c r="A13" s="1307"/>
      <c r="B13" s="1308"/>
      <c r="C13" s="1310"/>
      <c r="D13" s="1310"/>
      <c r="E13" s="149" t="s">
        <v>111</v>
      </c>
      <c r="F13" s="149" t="s">
        <v>46</v>
      </c>
      <c r="G13" s="28"/>
      <c r="I13" s="895"/>
      <c r="J13" s="895"/>
      <c r="K13" s="1061"/>
      <c r="L13" s="1061"/>
      <c r="M13" s="150"/>
      <c r="N13" s="150"/>
    </row>
    <row r="14" spans="1:14" ht="24" customHeight="1" thickTop="1" x14ac:dyDescent="0.25">
      <c r="A14" s="1312" t="s">
        <v>291</v>
      </c>
      <c r="B14" s="151" t="s">
        <v>302</v>
      </c>
      <c r="C14" s="152"/>
      <c r="D14" s="153"/>
      <c r="E14" s="153"/>
      <c r="F14" s="152"/>
    </row>
    <row r="15" spans="1:14" ht="43.5" customHeight="1" x14ac:dyDescent="0.25">
      <c r="A15" s="1313"/>
      <c r="B15" s="21" t="s">
        <v>300</v>
      </c>
      <c r="C15" s="154"/>
      <c r="D15" s="154"/>
      <c r="E15" s="154"/>
      <c r="F15" s="29"/>
    </row>
    <row r="16" spans="1:14" ht="53.25" customHeight="1" x14ac:dyDescent="0.25">
      <c r="A16" s="1313"/>
      <c r="B16" s="21" t="s">
        <v>301</v>
      </c>
      <c r="C16" s="155"/>
      <c r="D16" s="155"/>
      <c r="E16" s="155"/>
      <c r="F16" s="156"/>
    </row>
    <row r="17" spans="1:10" ht="24.75" customHeight="1" x14ac:dyDescent="0.25">
      <c r="A17" s="1314" t="s">
        <v>292</v>
      </c>
      <c r="B17" s="157" t="s">
        <v>304</v>
      </c>
      <c r="C17" s="158"/>
      <c r="D17" s="158"/>
      <c r="E17" s="158"/>
      <c r="F17" s="152"/>
      <c r="J17" s="159"/>
    </row>
    <row r="18" spans="1:10" ht="44.25" customHeight="1" x14ac:dyDescent="0.25">
      <c r="A18" s="1313"/>
      <c r="B18" s="22" t="s">
        <v>303</v>
      </c>
      <c r="C18" s="154"/>
      <c r="D18" s="154"/>
      <c r="E18" s="154"/>
      <c r="F18" s="29"/>
      <c r="J18" s="25"/>
    </row>
    <row r="19" spans="1:10" ht="43.5" customHeight="1" x14ac:dyDescent="0.25">
      <c r="A19" s="1315"/>
      <c r="B19" s="21" t="s">
        <v>305</v>
      </c>
      <c r="C19" s="155"/>
      <c r="D19" s="155"/>
      <c r="E19" s="155"/>
      <c r="F19" s="156"/>
      <c r="J19" s="18"/>
    </row>
    <row r="20" spans="1:10" x14ac:dyDescent="0.25">
      <c r="A20" s="160"/>
      <c r="B20" s="161"/>
      <c r="C20" s="162"/>
      <c r="D20" s="163"/>
      <c r="E20" s="163"/>
      <c r="F20" s="162"/>
    </row>
    <row r="21" spans="1:10" s="28" customFormat="1" ht="31.5" customHeight="1" x14ac:dyDescent="0.25">
      <c r="A21" s="164"/>
      <c r="B21" s="165" t="s">
        <v>296</v>
      </c>
      <c r="C21" s="165"/>
      <c r="D21" s="166">
        <f>SUM(D14:D20)</f>
        <v>0</v>
      </c>
      <c r="E21" s="166">
        <f>SUM(E14:E20)</f>
        <v>0</v>
      </c>
      <c r="F21" s="164"/>
    </row>
    <row r="22" spans="1:10" ht="12" customHeight="1" x14ac:dyDescent="0.25"/>
    <row r="23" spans="1:10" x14ac:dyDescent="0.25">
      <c r="C23" s="27" t="s">
        <v>603</v>
      </c>
    </row>
    <row r="24" spans="1:10" x14ac:dyDescent="0.25">
      <c r="B24" s="27" t="s">
        <v>33</v>
      </c>
    </row>
    <row r="25" spans="1:10" x14ac:dyDescent="0.25">
      <c r="B25" s="28" t="s">
        <v>289</v>
      </c>
      <c r="C25" s="27" t="s">
        <v>41</v>
      </c>
    </row>
    <row r="26" spans="1:10" x14ac:dyDescent="0.25">
      <c r="B26" s="28"/>
    </row>
    <row r="27" spans="1:10" x14ac:dyDescent="0.25">
      <c r="B27" s="28"/>
      <c r="C27" s="146"/>
    </row>
    <row r="28" spans="1:10" x14ac:dyDescent="0.25">
      <c r="B28" s="28"/>
    </row>
    <row r="29" spans="1:10" x14ac:dyDescent="0.25">
      <c r="B29" s="167"/>
      <c r="C29" s="167"/>
    </row>
    <row r="30" spans="1:10" x14ac:dyDescent="0.25">
      <c r="B30" s="28" t="s">
        <v>333</v>
      </c>
      <c r="C30" s="28" t="s">
        <v>333</v>
      </c>
    </row>
    <row r="32" spans="1:10" x14ac:dyDescent="0.25">
      <c r="B32" s="143" t="s">
        <v>137</v>
      </c>
      <c r="C32" s="143" t="s">
        <v>285</v>
      </c>
      <c r="E32" s="144"/>
      <c r="G32" s="28"/>
    </row>
    <row r="33" spans="2:7" x14ac:dyDescent="0.25">
      <c r="B33" s="143"/>
      <c r="C33" s="143"/>
      <c r="E33" s="144"/>
      <c r="G33" s="28"/>
    </row>
    <row r="34" spans="2:7" x14ac:dyDescent="0.25">
      <c r="B34" s="143"/>
      <c r="C34" s="143"/>
      <c r="E34" s="144"/>
      <c r="G34" s="28"/>
    </row>
    <row r="35" spans="2:7" x14ac:dyDescent="0.25">
      <c r="B35" s="28"/>
      <c r="C35" s="28"/>
      <c r="E35" s="28"/>
      <c r="G35" s="28"/>
    </row>
    <row r="36" spans="2:7" x14ac:dyDescent="0.25">
      <c r="B36" s="143" t="s">
        <v>290</v>
      </c>
      <c r="C36" s="38" t="s">
        <v>297</v>
      </c>
      <c r="E36" s="144"/>
      <c r="G36" s="28"/>
    </row>
    <row r="37" spans="2:7" x14ac:dyDescent="0.25">
      <c r="B37" s="143" t="s">
        <v>283</v>
      </c>
      <c r="C37" s="38" t="s">
        <v>298</v>
      </c>
      <c r="E37" s="144"/>
      <c r="G37" s="28"/>
    </row>
  </sheetData>
  <mergeCells count="19">
    <mergeCell ref="A14:A16"/>
    <mergeCell ref="A17:A19"/>
    <mergeCell ref="E1:F1"/>
    <mergeCell ref="E2:F2"/>
    <mergeCell ref="L12:L13"/>
    <mergeCell ref="M12:N12"/>
    <mergeCell ref="A3:F3"/>
    <mergeCell ref="I3:N3"/>
    <mergeCell ref="I6:N6"/>
    <mergeCell ref="I7:N7"/>
    <mergeCell ref="I9:N9"/>
    <mergeCell ref="A12:A13"/>
    <mergeCell ref="B12:B13"/>
    <mergeCell ref="C12:C13"/>
    <mergeCell ref="D12:D13"/>
    <mergeCell ref="E12:F12"/>
    <mergeCell ref="I12:I13"/>
    <mergeCell ref="J12:J13"/>
    <mergeCell ref="K12:K13"/>
  </mergeCells>
  <pageMargins left="0.70866141732283472" right="0.70866141732283472" top="0.43307086614173229" bottom="0.43307086614173229" header="0.31496062992125984" footer="0.31496062992125984"/>
  <pageSetup paperSize="5" scale="95" orientation="portrait" horizontalDpi="0" verticalDpi="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O36"/>
  <sheetViews>
    <sheetView topLeftCell="A12" workbookViewId="0">
      <selection activeCell="L22" sqref="L22"/>
    </sheetView>
  </sheetViews>
  <sheetFormatPr defaultRowHeight="15" x14ac:dyDescent="0.25"/>
  <cols>
    <col min="1" max="1" width="4.140625" bestFit="1" customWidth="1"/>
    <col min="2" max="2" width="11.140625" customWidth="1"/>
    <col min="3" max="3" width="5.42578125" style="242" customWidth="1"/>
    <col min="4" max="4" width="6.85546875" customWidth="1"/>
    <col min="5" max="5" width="6" customWidth="1"/>
    <col min="6" max="6" width="6.42578125" customWidth="1"/>
    <col min="7" max="7" width="5.42578125" customWidth="1"/>
    <col min="8" max="8" width="7" customWidth="1"/>
    <col min="9" max="11" width="5.42578125" customWidth="1"/>
    <col min="12" max="12" width="8.5703125" customWidth="1"/>
    <col min="13" max="13" width="8.42578125" customWidth="1"/>
    <col min="14" max="14" width="12.5703125" customWidth="1"/>
  </cols>
  <sheetData>
    <row r="1" spans="1:14" x14ac:dyDescent="0.25">
      <c r="M1" s="1316" t="s">
        <v>395</v>
      </c>
      <c r="N1" s="1316"/>
    </row>
    <row r="2" spans="1:14" x14ac:dyDescent="0.25">
      <c r="M2" s="1317">
        <v>43636</v>
      </c>
      <c r="N2" s="1317"/>
    </row>
    <row r="3" spans="1:14" ht="21" x14ac:dyDescent="0.25">
      <c r="A3" s="1318" t="s">
        <v>399</v>
      </c>
      <c r="B3" s="1318"/>
      <c r="C3" s="1318"/>
      <c r="D3" s="1318"/>
      <c r="E3" s="1318"/>
      <c r="F3" s="1318"/>
      <c r="G3" s="1318"/>
      <c r="H3" s="1318"/>
      <c r="I3" s="1318"/>
      <c r="J3" s="1318"/>
      <c r="K3" s="1318"/>
      <c r="L3" s="1318"/>
      <c r="M3" s="1318"/>
      <c r="N3" s="1318"/>
    </row>
    <row r="4" spans="1:14" ht="21.75" thickBot="1" x14ac:dyDescent="0.3">
      <c r="A4" s="1319" t="s">
        <v>400</v>
      </c>
      <c r="B4" s="1319"/>
      <c r="C4" s="1319"/>
      <c r="D4" s="1319"/>
      <c r="E4" s="1319"/>
      <c r="F4" s="1319"/>
      <c r="G4" s="1319"/>
      <c r="H4" s="1319"/>
      <c r="I4" s="1319"/>
      <c r="J4" s="1319"/>
      <c r="K4" s="1319"/>
      <c r="L4" s="1319"/>
      <c r="M4" s="1319"/>
      <c r="N4" s="1319"/>
    </row>
    <row r="5" spans="1:14" s="243" customFormat="1" ht="16.5" thickBot="1" x14ac:dyDescent="0.3">
      <c r="A5" s="1320" t="s">
        <v>0</v>
      </c>
      <c r="B5" s="1322" t="s">
        <v>401</v>
      </c>
      <c r="C5" s="1324" t="s">
        <v>402</v>
      </c>
      <c r="D5" s="1326" t="s">
        <v>403</v>
      </c>
      <c r="E5" s="1327"/>
      <c r="F5" s="1327"/>
      <c r="G5" s="1328"/>
      <c r="H5" s="1326" t="s">
        <v>404</v>
      </c>
      <c r="I5" s="1327"/>
      <c r="J5" s="1327"/>
      <c r="K5" s="1328"/>
      <c r="L5" s="1322" t="s">
        <v>405</v>
      </c>
      <c r="M5" s="1322" t="s">
        <v>406</v>
      </c>
      <c r="N5" s="1329" t="s">
        <v>407</v>
      </c>
    </row>
    <row r="6" spans="1:14" ht="30.75" thickBot="1" x14ac:dyDescent="0.3">
      <c r="A6" s="1321"/>
      <c r="B6" s="1323"/>
      <c r="C6" s="1325"/>
      <c r="D6" s="244" t="s">
        <v>408</v>
      </c>
      <c r="E6" s="245" t="s">
        <v>409</v>
      </c>
      <c r="F6" s="244" t="s">
        <v>410</v>
      </c>
      <c r="G6" s="244" t="s">
        <v>411</v>
      </c>
      <c r="H6" s="244" t="s">
        <v>408</v>
      </c>
      <c r="I6" s="245" t="s">
        <v>409</v>
      </c>
      <c r="J6" s="244" t="s">
        <v>410</v>
      </c>
      <c r="K6" s="244" t="s">
        <v>411</v>
      </c>
      <c r="L6" s="1323"/>
      <c r="M6" s="1323"/>
      <c r="N6" s="1330"/>
    </row>
    <row r="7" spans="1:14" x14ac:dyDescent="0.25">
      <c r="A7" s="246">
        <v>1</v>
      </c>
      <c r="B7" s="247" t="s">
        <v>412</v>
      </c>
      <c r="C7" s="246">
        <v>1</v>
      </c>
      <c r="D7" s="247"/>
      <c r="E7" s="247"/>
      <c r="F7" s="247"/>
      <c r="G7" s="247"/>
      <c r="H7" s="247"/>
      <c r="I7" s="247"/>
      <c r="J7" s="247"/>
      <c r="K7" s="247"/>
      <c r="L7" s="247"/>
      <c r="M7" s="247"/>
      <c r="N7" s="247"/>
    </row>
    <row r="8" spans="1:14" x14ac:dyDescent="0.25">
      <c r="A8" s="248"/>
      <c r="B8" s="249"/>
      <c r="C8" s="248">
        <v>2</v>
      </c>
      <c r="D8" s="249"/>
      <c r="E8" s="249"/>
      <c r="F8" s="249"/>
      <c r="G8" s="250"/>
      <c r="H8" s="249"/>
      <c r="I8" s="249"/>
      <c r="J8" s="249"/>
      <c r="K8" s="249"/>
      <c r="L8" s="249"/>
      <c r="M8" s="249"/>
      <c r="N8" s="249"/>
    </row>
    <row r="9" spans="1:14" x14ac:dyDescent="0.25">
      <c r="A9" s="248"/>
      <c r="B9" s="249"/>
      <c r="C9" s="248">
        <v>3</v>
      </c>
      <c r="D9" s="249"/>
      <c r="E9" s="249"/>
      <c r="F9" s="249"/>
      <c r="G9" s="249"/>
      <c r="H9" s="249"/>
      <c r="I9" s="249"/>
      <c r="J9" s="249"/>
      <c r="K9" s="249"/>
      <c r="L9" s="249"/>
      <c r="M9" s="249"/>
      <c r="N9" s="249"/>
    </row>
    <row r="10" spans="1:14" x14ac:dyDescent="0.25">
      <c r="A10" s="248"/>
      <c r="B10" s="249"/>
      <c r="C10" s="248"/>
      <c r="D10" s="249"/>
      <c r="E10" s="249"/>
      <c r="F10" s="249"/>
      <c r="G10" s="249"/>
      <c r="H10" s="249"/>
      <c r="I10" s="249"/>
      <c r="J10" s="249"/>
      <c r="K10" s="249"/>
      <c r="L10" s="249"/>
      <c r="M10" s="249"/>
      <c r="N10" s="249"/>
    </row>
    <row r="11" spans="1:14" x14ac:dyDescent="0.25">
      <c r="A11" s="248">
        <v>2</v>
      </c>
      <c r="B11" s="249" t="s">
        <v>413</v>
      </c>
      <c r="C11" s="248">
        <v>1</v>
      </c>
      <c r="D11" s="249"/>
      <c r="E11" s="249"/>
      <c r="F11" s="249"/>
      <c r="G11" s="249"/>
      <c r="H11" s="249"/>
      <c r="I11" s="249"/>
      <c r="J11" s="249"/>
      <c r="K11" s="249"/>
      <c r="L11" s="249"/>
      <c r="M11" s="249"/>
      <c r="N11" s="249"/>
    </row>
    <row r="12" spans="1:14" x14ac:dyDescent="0.25">
      <c r="A12" s="248"/>
      <c r="B12" s="249"/>
      <c r="C12" s="248">
        <v>2</v>
      </c>
      <c r="D12" s="249"/>
      <c r="E12" s="249"/>
      <c r="F12" s="249"/>
      <c r="G12" s="249"/>
      <c r="H12" s="249"/>
      <c r="I12" s="249"/>
      <c r="J12" s="249"/>
      <c r="K12" s="249"/>
      <c r="L12" s="249"/>
      <c r="M12" s="249"/>
      <c r="N12" s="249"/>
    </row>
    <row r="13" spans="1:14" x14ac:dyDescent="0.25">
      <c r="A13" s="248"/>
      <c r="B13" s="249"/>
      <c r="C13" s="248">
        <v>3</v>
      </c>
      <c r="D13" s="249"/>
      <c r="E13" s="249"/>
      <c r="F13" s="249"/>
      <c r="G13" s="249"/>
      <c r="H13" s="249"/>
      <c r="I13" s="249"/>
      <c r="J13" s="249"/>
      <c r="K13" s="249"/>
      <c r="L13" s="249"/>
      <c r="M13" s="249"/>
      <c r="N13" s="249"/>
    </row>
    <row r="14" spans="1:14" x14ac:dyDescent="0.25">
      <c r="A14" s="248"/>
      <c r="B14" s="249"/>
      <c r="C14" s="248"/>
      <c r="D14" s="249"/>
      <c r="E14" s="249"/>
      <c r="F14" s="249"/>
      <c r="G14" s="249"/>
      <c r="H14" s="249"/>
      <c r="I14" s="249"/>
      <c r="J14" s="249"/>
      <c r="K14" s="249"/>
      <c r="L14" s="249"/>
      <c r="M14" s="249"/>
      <c r="N14" s="249"/>
    </row>
    <row r="15" spans="1:14" x14ac:dyDescent="0.25">
      <c r="A15" s="248">
        <v>3</v>
      </c>
      <c r="B15" s="249" t="s">
        <v>414</v>
      </c>
      <c r="C15" s="248">
        <v>1</v>
      </c>
      <c r="D15" s="249"/>
      <c r="E15" s="249"/>
      <c r="F15" s="249"/>
      <c r="G15" s="249"/>
      <c r="H15" s="249"/>
      <c r="I15" s="249"/>
      <c r="J15" s="249"/>
      <c r="K15" s="249"/>
      <c r="L15" s="249"/>
      <c r="M15" s="249"/>
      <c r="N15" s="249"/>
    </row>
    <row r="16" spans="1:14" x14ac:dyDescent="0.25">
      <c r="A16" s="248"/>
      <c r="B16" s="249"/>
      <c r="C16" s="248">
        <v>2</v>
      </c>
      <c r="D16" s="249"/>
      <c r="E16" s="249"/>
      <c r="F16" s="249"/>
      <c r="G16" s="249"/>
      <c r="H16" s="249"/>
      <c r="I16" s="249"/>
      <c r="J16" s="249"/>
      <c r="K16" s="249"/>
      <c r="L16" s="249"/>
      <c r="M16" s="249"/>
      <c r="N16" s="249"/>
    </row>
    <row r="17" spans="1:15" x14ac:dyDescent="0.25">
      <c r="A17" s="248"/>
      <c r="B17" s="249"/>
      <c r="C17" s="248">
        <v>1</v>
      </c>
      <c r="D17" s="249"/>
      <c r="E17" s="249"/>
      <c r="F17" s="249"/>
      <c r="G17" s="249"/>
      <c r="H17" s="249"/>
      <c r="I17" s="249"/>
      <c r="J17" s="249"/>
      <c r="K17" s="249"/>
      <c r="L17" s="249"/>
      <c r="M17" s="249"/>
      <c r="N17" s="249"/>
    </row>
    <row r="18" spans="1:15" x14ac:dyDescent="0.25">
      <c r="A18" s="248"/>
      <c r="B18" s="249"/>
      <c r="C18" s="248">
        <v>2</v>
      </c>
      <c r="D18" s="249"/>
      <c r="E18" s="249"/>
      <c r="F18" s="249"/>
      <c r="G18" s="249"/>
      <c r="H18" s="249"/>
      <c r="I18" s="249"/>
      <c r="J18" s="249"/>
      <c r="K18" s="249"/>
      <c r="L18" s="249"/>
      <c r="M18" s="249"/>
      <c r="N18" s="249"/>
    </row>
    <row r="19" spans="1:15" x14ac:dyDescent="0.25">
      <c r="A19" s="248"/>
      <c r="B19" s="248" t="s">
        <v>388</v>
      </c>
      <c r="C19" s="248"/>
      <c r="D19" s="249"/>
      <c r="E19" s="249"/>
      <c r="F19" s="249"/>
      <c r="G19" s="249"/>
      <c r="H19" s="249"/>
      <c r="I19" s="249"/>
      <c r="J19" s="249"/>
      <c r="K19" s="249"/>
      <c r="L19" s="249"/>
      <c r="M19" s="249"/>
      <c r="N19" s="249"/>
    </row>
    <row r="22" spans="1:15" x14ac:dyDescent="0.25">
      <c r="L22" s="27" t="s">
        <v>348</v>
      </c>
      <c r="M22" s="27"/>
      <c r="N22" s="27"/>
      <c r="O22" s="27"/>
    </row>
    <row r="23" spans="1:15" x14ac:dyDescent="0.25">
      <c r="B23" s="27" t="s">
        <v>33</v>
      </c>
      <c r="L23" s="27"/>
      <c r="M23" s="27"/>
      <c r="N23" s="27"/>
      <c r="O23" s="27"/>
    </row>
    <row r="24" spans="1:15" x14ac:dyDescent="0.25">
      <c r="B24" s="28" t="s">
        <v>289</v>
      </c>
      <c r="L24" s="27" t="s">
        <v>41</v>
      </c>
      <c r="M24" s="27"/>
      <c r="N24" s="27"/>
      <c r="O24" s="27"/>
    </row>
    <row r="25" spans="1:15" x14ac:dyDescent="0.25">
      <c r="B25" s="28"/>
      <c r="L25" s="27"/>
      <c r="M25" s="27"/>
      <c r="N25" s="27"/>
      <c r="O25" s="27"/>
    </row>
    <row r="26" spans="1:15" x14ac:dyDescent="0.25">
      <c r="B26" s="28"/>
      <c r="L26" s="146"/>
      <c r="M26" s="27"/>
      <c r="N26" s="27"/>
      <c r="O26" s="27"/>
    </row>
    <row r="27" spans="1:15" x14ac:dyDescent="0.25">
      <c r="B27" s="28"/>
      <c r="L27" s="27"/>
      <c r="M27" s="27"/>
      <c r="N27" s="27"/>
      <c r="O27" s="27"/>
    </row>
    <row r="28" spans="1:15" x14ac:dyDescent="0.25">
      <c r="B28" s="167"/>
      <c r="L28" s="167"/>
      <c r="M28" s="27"/>
      <c r="N28" s="27"/>
      <c r="O28" s="27"/>
    </row>
    <row r="29" spans="1:15" x14ac:dyDescent="0.25">
      <c r="B29" s="28" t="s">
        <v>333</v>
      </c>
      <c r="L29" s="28" t="s">
        <v>333</v>
      </c>
      <c r="M29" s="27"/>
      <c r="N29" s="27"/>
      <c r="O29" s="27"/>
    </row>
    <row r="30" spans="1:15" x14ac:dyDescent="0.25">
      <c r="B30" s="27"/>
      <c r="L30" s="27"/>
      <c r="M30" s="27"/>
      <c r="N30" s="27"/>
      <c r="O30" s="27"/>
    </row>
    <row r="31" spans="1:15" x14ac:dyDescent="0.25">
      <c r="B31" s="143" t="s">
        <v>137</v>
      </c>
      <c r="L31" s="143" t="s">
        <v>285</v>
      </c>
      <c r="M31" s="27"/>
      <c r="N31" s="144"/>
      <c r="O31" s="27"/>
    </row>
    <row r="32" spans="1:15" x14ac:dyDescent="0.25">
      <c r="B32" s="143"/>
      <c r="L32" s="143"/>
      <c r="M32" s="27"/>
      <c r="N32" s="144"/>
      <c r="O32" s="27"/>
    </row>
    <row r="33" spans="2:15" x14ac:dyDescent="0.25">
      <c r="B33" s="143"/>
      <c r="L33" s="143"/>
      <c r="M33" s="27"/>
      <c r="N33" s="144"/>
      <c r="O33" s="27"/>
    </row>
    <row r="34" spans="2:15" x14ac:dyDescent="0.25">
      <c r="B34" s="28"/>
      <c r="L34" s="28"/>
      <c r="M34" s="27"/>
      <c r="N34" s="28"/>
      <c r="O34" s="27"/>
    </row>
    <row r="35" spans="2:15" x14ac:dyDescent="0.25">
      <c r="B35" s="143" t="s">
        <v>290</v>
      </c>
      <c r="L35" s="38" t="s">
        <v>297</v>
      </c>
      <c r="M35" s="27"/>
      <c r="N35" s="144"/>
      <c r="O35" s="27"/>
    </row>
    <row r="36" spans="2:15" x14ac:dyDescent="0.25">
      <c r="B36" s="143" t="s">
        <v>283</v>
      </c>
      <c r="L36" s="38" t="s">
        <v>298</v>
      </c>
      <c r="M36" s="27"/>
      <c r="N36" s="144"/>
      <c r="O36" s="27"/>
    </row>
  </sheetData>
  <mergeCells count="12">
    <mergeCell ref="M1:N1"/>
    <mergeCell ref="M2:N2"/>
    <mergeCell ref="A3:N3"/>
    <mergeCell ref="A4:N4"/>
    <mergeCell ref="A5:A6"/>
    <mergeCell ref="B5:B6"/>
    <mergeCell ref="C5:C6"/>
    <mergeCell ref="D5:G5"/>
    <mergeCell ref="H5:K5"/>
    <mergeCell ref="L5:L6"/>
    <mergeCell ref="M5:M6"/>
    <mergeCell ref="N5:N6"/>
  </mergeCells>
  <pageMargins left="0.51181102362204722" right="0.31496062992125984" top="0.55118110236220474" bottom="1.3385826771653544" header="0.31496062992125984" footer="0.31496062992125984"/>
  <pageSetup paperSize="5" orientation="portrait" horizontalDpi="0" verticalDpi="0"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O53"/>
  <sheetViews>
    <sheetView zoomScale="80" zoomScaleNormal="80" workbookViewId="0">
      <selection activeCell="U47" sqref="U47"/>
    </sheetView>
  </sheetViews>
  <sheetFormatPr defaultRowHeight="15" x14ac:dyDescent="0.25"/>
  <cols>
    <col min="1" max="1" width="4.85546875" customWidth="1"/>
    <col min="2" max="2" width="34.140625" customWidth="1"/>
    <col min="3" max="3" width="13.28515625" customWidth="1"/>
    <col min="15" max="15" width="12.140625" bestFit="1" customWidth="1"/>
  </cols>
  <sheetData>
    <row r="1" spans="1:12" x14ac:dyDescent="0.25">
      <c r="K1" s="1316" t="s">
        <v>695</v>
      </c>
      <c r="L1" s="1316"/>
    </row>
    <row r="2" spans="1:12" x14ac:dyDescent="0.25">
      <c r="K2" s="1317">
        <v>45852</v>
      </c>
      <c r="L2" s="1317"/>
    </row>
    <row r="4" spans="1:12" x14ac:dyDescent="0.25">
      <c r="A4" s="1335" t="s">
        <v>415</v>
      </c>
      <c r="B4" s="1335"/>
      <c r="C4" s="1335"/>
      <c r="D4" s="1335"/>
      <c r="E4" s="1335"/>
      <c r="F4" s="1335"/>
      <c r="G4" s="1335"/>
      <c r="H4" s="1335"/>
      <c r="I4" s="1335"/>
      <c r="J4" s="1335"/>
      <c r="K4" s="1335"/>
    </row>
    <row r="5" spans="1:12" x14ac:dyDescent="0.25">
      <c r="A5" s="1335" t="s">
        <v>1204</v>
      </c>
      <c r="B5" s="1335"/>
      <c r="C5" s="1335"/>
      <c r="D5" s="1335"/>
      <c r="E5" s="1335"/>
      <c r="F5" s="1335"/>
      <c r="G5" s="1335"/>
      <c r="H5" s="1335"/>
      <c r="I5" s="1335"/>
      <c r="J5" s="1335"/>
      <c r="K5" s="1335"/>
    </row>
    <row r="6" spans="1:12" x14ac:dyDescent="0.25">
      <c r="A6" s="1336" t="s">
        <v>280</v>
      </c>
      <c r="B6" s="1336"/>
      <c r="C6" s="1334" t="s">
        <v>851</v>
      </c>
      <c r="D6" s="1334"/>
      <c r="E6" s="1334"/>
      <c r="F6" s="1334"/>
    </row>
    <row r="7" spans="1:12" x14ac:dyDescent="0.25">
      <c r="A7" s="1336" t="s">
        <v>38</v>
      </c>
      <c r="B7" s="1336"/>
      <c r="C7" s="1334" t="s">
        <v>701</v>
      </c>
      <c r="D7" s="1334"/>
      <c r="E7" s="1334"/>
      <c r="F7" s="1334"/>
    </row>
    <row r="8" spans="1:12" x14ac:dyDescent="0.25">
      <c r="A8" s="1336" t="s">
        <v>416</v>
      </c>
      <c r="B8" s="1336"/>
      <c r="C8" t="s">
        <v>866</v>
      </c>
      <c r="E8" s="251"/>
    </row>
    <row r="9" spans="1:12" x14ac:dyDescent="0.25">
      <c r="A9" s="1331" t="s">
        <v>104</v>
      </c>
      <c r="B9" s="1331"/>
      <c r="C9" t="s">
        <v>788</v>
      </c>
    </row>
    <row r="12" spans="1:12" ht="28.5" customHeight="1" x14ac:dyDescent="0.25">
      <c r="A12" s="1332" t="s">
        <v>0</v>
      </c>
      <c r="B12" s="1333" t="s">
        <v>667</v>
      </c>
      <c r="C12" s="253" t="s">
        <v>417</v>
      </c>
      <c r="D12" s="253" t="s">
        <v>418</v>
      </c>
      <c r="E12" s="253" t="s">
        <v>419</v>
      </c>
      <c r="F12" s="253" t="s">
        <v>420</v>
      </c>
      <c r="G12" s="253" t="s">
        <v>421</v>
      </c>
      <c r="H12" s="253" t="s">
        <v>422</v>
      </c>
      <c r="I12" s="253" t="s">
        <v>423</v>
      </c>
      <c r="J12" s="253" t="s">
        <v>424</v>
      </c>
      <c r="K12" s="253" t="s">
        <v>425</v>
      </c>
      <c r="L12" s="253" t="s">
        <v>435</v>
      </c>
    </row>
    <row r="13" spans="1:12" ht="30.75" customHeight="1" x14ac:dyDescent="0.25">
      <c r="A13" s="1332"/>
      <c r="B13" s="1333"/>
      <c r="C13" s="253" t="s">
        <v>426</v>
      </c>
      <c r="D13" s="253" t="s">
        <v>427</v>
      </c>
      <c r="E13" s="253" t="s">
        <v>428</v>
      </c>
      <c r="F13" s="253" t="s">
        <v>429</v>
      </c>
      <c r="G13" s="253" t="s">
        <v>430</v>
      </c>
      <c r="H13" s="254" t="s">
        <v>431</v>
      </c>
      <c r="I13" s="254" t="s">
        <v>432</v>
      </c>
      <c r="J13" s="253" t="s">
        <v>433</v>
      </c>
      <c r="K13" s="253" t="s">
        <v>434</v>
      </c>
      <c r="L13" s="254" t="s">
        <v>436</v>
      </c>
    </row>
    <row r="14" spans="1:12" x14ac:dyDescent="0.25">
      <c r="A14" s="1332">
        <v>1</v>
      </c>
      <c r="B14" s="1337" t="s">
        <v>852</v>
      </c>
      <c r="C14" s="248"/>
      <c r="D14" s="248"/>
      <c r="E14" s="248"/>
      <c r="F14" s="248"/>
      <c r="G14" s="248"/>
      <c r="H14" s="248"/>
      <c r="I14" s="248"/>
      <c r="J14" s="248"/>
      <c r="K14" s="248"/>
      <c r="L14" s="248"/>
    </row>
    <row r="15" spans="1:12" x14ac:dyDescent="0.25">
      <c r="A15" s="1332"/>
      <c r="B15" s="1338"/>
      <c r="C15" s="248"/>
      <c r="D15" s="248"/>
      <c r="E15" s="248"/>
      <c r="F15" s="248"/>
      <c r="G15" s="248"/>
      <c r="H15" s="248"/>
      <c r="I15" s="248"/>
      <c r="J15" s="248"/>
      <c r="K15" s="248"/>
      <c r="L15" s="248"/>
    </row>
    <row r="16" spans="1:12" x14ac:dyDescent="0.25">
      <c r="A16" s="1332">
        <v>2</v>
      </c>
      <c r="B16" s="1339" t="s">
        <v>853</v>
      </c>
      <c r="C16" s="248"/>
      <c r="D16" s="248"/>
      <c r="E16" s="248"/>
      <c r="F16" s="248"/>
      <c r="G16" s="248"/>
      <c r="H16" s="248"/>
      <c r="I16" s="248"/>
      <c r="J16" s="248"/>
      <c r="K16" s="248"/>
      <c r="L16" s="248"/>
    </row>
    <row r="17" spans="1:15" x14ac:dyDescent="0.25">
      <c r="A17" s="1332"/>
      <c r="B17" s="1340"/>
      <c r="C17" s="248"/>
      <c r="D17" s="248"/>
      <c r="E17" s="248"/>
      <c r="F17" s="248"/>
      <c r="G17" s="248"/>
      <c r="H17" s="248"/>
      <c r="I17" s="248"/>
      <c r="J17" s="248"/>
      <c r="K17" s="248"/>
      <c r="L17" s="248"/>
    </row>
    <row r="18" spans="1:15" x14ac:dyDescent="0.25">
      <c r="A18" s="1332">
        <v>3</v>
      </c>
      <c r="B18" s="1341" t="s">
        <v>789</v>
      </c>
      <c r="C18" s="248"/>
      <c r="D18" s="248"/>
      <c r="E18" s="248"/>
      <c r="F18" s="248"/>
      <c r="G18" s="248"/>
      <c r="H18" s="248"/>
      <c r="I18" s="248"/>
      <c r="J18" s="248"/>
      <c r="K18" s="248"/>
      <c r="L18" s="248"/>
    </row>
    <row r="19" spans="1:15" x14ac:dyDescent="0.25">
      <c r="A19" s="1332"/>
      <c r="B19" s="1342"/>
      <c r="C19" s="248"/>
      <c r="D19" s="248"/>
      <c r="E19" s="248"/>
      <c r="F19" s="248"/>
      <c r="G19" s="248"/>
      <c r="H19" s="248"/>
      <c r="I19" s="248"/>
      <c r="J19" s="248"/>
      <c r="K19" s="248"/>
      <c r="L19" s="248"/>
    </row>
    <row r="20" spans="1:15" ht="16.5" customHeight="1" x14ac:dyDescent="0.25">
      <c r="A20" s="1332">
        <v>4</v>
      </c>
      <c r="B20" s="1341" t="s">
        <v>854</v>
      </c>
      <c r="C20" s="248"/>
      <c r="D20" s="248"/>
      <c r="E20" s="248"/>
      <c r="F20" s="248"/>
      <c r="G20" s="248"/>
      <c r="H20" s="248"/>
      <c r="I20" s="248"/>
      <c r="J20" s="248"/>
      <c r="K20" s="248"/>
      <c r="L20" s="248"/>
      <c r="O20" s="251"/>
    </row>
    <row r="21" spans="1:15" x14ac:dyDescent="0.25">
      <c r="A21" s="1332"/>
      <c r="B21" s="1342"/>
      <c r="C21" s="248"/>
      <c r="D21" s="248"/>
      <c r="E21" s="248"/>
      <c r="F21" s="248"/>
      <c r="G21" s="248"/>
      <c r="H21" s="248"/>
      <c r="I21" s="248"/>
      <c r="J21" s="248"/>
      <c r="K21" s="248"/>
      <c r="L21" s="248"/>
    </row>
    <row r="22" spans="1:15" x14ac:dyDescent="0.25">
      <c r="A22" s="1332">
        <v>5</v>
      </c>
      <c r="B22" s="1341" t="s">
        <v>855</v>
      </c>
      <c r="C22" s="248"/>
      <c r="D22" s="248"/>
      <c r="E22" s="248"/>
      <c r="F22" s="248"/>
      <c r="G22" s="248"/>
      <c r="H22" s="248"/>
      <c r="I22" s="248"/>
      <c r="J22" s="248"/>
      <c r="K22" s="248"/>
      <c r="L22" s="248"/>
    </row>
    <row r="23" spans="1:15" x14ac:dyDescent="0.25">
      <c r="A23" s="1332"/>
      <c r="B23" s="1342"/>
      <c r="C23" s="248"/>
      <c r="D23" s="248"/>
      <c r="E23" s="248"/>
      <c r="F23" s="248"/>
      <c r="G23" s="248"/>
      <c r="H23" s="248"/>
      <c r="I23" s="248"/>
      <c r="J23" s="248"/>
      <c r="K23" s="248"/>
      <c r="L23" s="248"/>
    </row>
    <row r="24" spans="1:15" x14ac:dyDescent="0.25">
      <c r="A24" s="1332">
        <v>6</v>
      </c>
      <c r="B24" s="1341" t="s">
        <v>856</v>
      </c>
      <c r="C24" s="248"/>
      <c r="D24" s="248"/>
      <c r="E24" s="248"/>
      <c r="F24" s="248"/>
      <c r="G24" s="248"/>
      <c r="H24" s="248"/>
      <c r="I24" s="248"/>
      <c r="J24" s="248"/>
      <c r="K24" s="248"/>
      <c r="L24" s="248"/>
    </row>
    <row r="25" spans="1:15" x14ac:dyDescent="0.25">
      <c r="A25" s="1332"/>
      <c r="B25" s="1342"/>
      <c r="C25" s="248"/>
      <c r="D25" s="248"/>
      <c r="E25" s="248"/>
      <c r="F25" s="248"/>
      <c r="G25" s="248"/>
      <c r="H25" s="248"/>
      <c r="I25" s="248"/>
      <c r="J25" s="248"/>
      <c r="K25" s="248"/>
      <c r="L25" s="248"/>
    </row>
    <row r="26" spans="1:15" x14ac:dyDescent="0.25">
      <c r="A26" s="1332">
        <v>7</v>
      </c>
      <c r="B26" s="1341" t="s">
        <v>710</v>
      </c>
      <c r="C26" s="248"/>
      <c r="D26" s="248"/>
      <c r="E26" s="248"/>
      <c r="F26" s="248"/>
      <c r="G26" s="248"/>
      <c r="H26" s="248"/>
      <c r="I26" s="248"/>
      <c r="J26" s="248"/>
      <c r="K26" s="248"/>
      <c r="L26" s="248"/>
    </row>
    <row r="27" spans="1:15" x14ac:dyDescent="0.25">
      <c r="A27" s="1332"/>
      <c r="B27" s="1342"/>
      <c r="C27" s="248"/>
      <c r="D27" s="248"/>
      <c r="E27" s="248"/>
      <c r="F27" s="248"/>
      <c r="G27" s="248"/>
      <c r="H27" s="248"/>
      <c r="I27" s="248"/>
      <c r="J27" s="248"/>
      <c r="K27" s="248"/>
      <c r="L27" s="248"/>
    </row>
    <row r="30" spans="1:15" x14ac:dyDescent="0.25">
      <c r="A30" s="242"/>
    </row>
    <row r="31" spans="1:15" x14ac:dyDescent="0.25">
      <c r="A31" s="1336" t="s">
        <v>16</v>
      </c>
      <c r="B31" s="1336"/>
      <c r="C31" s="1336"/>
    </row>
    <row r="32" spans="1:15" x14ac:dyDescent="0.25">
      <c r="A32" s="267" t="s">
        <v>472</v>
      </c>
      <c r="F32" s="267" t="s">
        <v>478</v>
      </c>
    </row>
    <row r="33" spans="1:11" x14ac:dyDescent="0.25">
      <c r="A33" s="252" t="s">
        <v>473</v>
      </c>
      <c r="F33" s="252" t="s">
        <v>479</v>
      </c>
    </row>
    <row r="34" spans="1:11" x14ac:dyDescent="0.25">
      <c r="A34" s="252" t="s">
        <v>474</v>
      </c>
      <c r="F34" s="252" t="s">
        <v>482</v>
      </c>
    </row>
    <row r="35" spans="1:11" x14ac:dyDescent="0.25">
      <c r="A35" s="252" t="s">
        <v>475</v>
      </c>
      <c r="F35" s="252" t="s">
        <v>480</v>
      </c>
    </row>
    <row r="36" spans="1:11" x14ac:dyDescent="0.25">
      <c r="A36" s="252" t="s">
        <v>477</v>
      </c>
      <c r="F36" s="252" t="s">
        <v>481</v>
      </c>
    </row>
    <row r="37" spans="1:11" x14ac:dyDescent="0.25">
      <c r="A37" s="252" t="s">
        <v>476</v>
      </c>
    </row>
    <row r="39" spans="1:11" x14ac:dyDescent="0.25">
      <c r="I39" s="27" t="s">
        <v>1051</v>
      </c>
      <c r="J39" s="27"/>
      <c r="K39" s="27"/>
    </row>
    <row r="40" spans="1:11" x14ac:dyDescent="0.25">
      <c r="B40" s="27" t="s">
        <v>33</v>
      </c>
      <c r="C40" s="242"/>
      <c r="I40" s="27"/>
      <c r="J40" s="27"/>
      <c r="K40" s="27"/>
    </row>
    <row r="41" spans="1:11" x14ac:dyDescent="0.25">
      <c r="B41" s="28" t="s">
        <v>289</v>
      </c>
      <c r="C41" s="242"/>
      <c r="I41" s="27" t="s">
        <v>41</v>
      </c>
      <c r="J41" s="27"/>
      <c r="K41" s="27"/>
    </row>
    <row r="42" spans="1:11" x14ac:dyDescent="0.25">
      <c r="B42" s="28"/>
      <c r="C42" s="242"/>
      <c r="I42" s="27"/>
      <c r="J42" s="27"/>
      <c r="K42" s="27"/>
    </row>
    <row r="43" spans="1:11" x14ac:dyDescent="0.25">
      <c r="B43" s="28"/>
      <c r="C43" s="242"/>
      <c r="I43" s="146"/>
      <c r="J43" s="27"/>
      <c r="K43" s="27"/>
    </row>
    <row r="44" spans="1:11" x14ac:dyDescent="0.25">
      <c r="B44" s="28"/>
      <c r="C44" s="242"/>
      <c r="I44" s="27"/>
      <c r="J44" s="27"/>
      <c r="K44" s="27"/>
    </row>
    <row r="45" spans="1:11" x14ac:dyDescent="0.25">
      <c r="B45" s="34" t="s">
        <v>967</v>
      </c>
      <c r="C45" s="242"/>
      <c r="I45" s="143" t="s">
        <v>1154</v>
      </c>
      <c r="J45" s="27"/>
      <c r="K45" s="27"/>
    </row>
    <row r="46" spans="1:11" ht="15.75" x14ac:dyDescent="0.25">
      <c r="B46" s="28" t="s">
        <v>970</v>
      </c>
      <c r="C46" s="242"/>
      <c r="I46" s="18" t="s">
        <v>1160</v>
      </c>
      <c r="J46" s="27"/>
      <c r="K46" s="27"/>
    </row>
    <row r="47" spans="1:11" x14ac:dyDescent="0.25">
      <c r="B47" s="27"/>
      <c r="C47" s="242"/>
      <c r="I47" s="27"/>
      <c r="J47" s="27"/>
      <c r="K47" s="27"/>
    </row>
    <row r="48" spans="1:11" x14ac:dyDescent="0.25">
      <c r="B48" s="143" t="s">
        <v>137</v>
      </c>
      <c r="C48" s="242"/>
      <c r="I48" s="143" t="s">
        <v>1195</v>
      </c>
      <c r="J48" s="27"/>
      <c r="K48" s="144"/>
    </row>
    <row r="49" spans="2:11" x14ac:dyDescent="0.25">
      <c r="B49" s="143"/>
      <c r="C49" s="242"/>
      <c r="I49" s="143"/>
      <c r="J49" s="27"/>
      <c r="K49" s="144"/>
    </row>
    <row r="50" spans="2:11" x14ac:dyDescent="0.25">
      <c r="B50" s="143"/>
      <c r="C50" s="242"/>
      <c r="I50" s="143"/>
      <c r="J50" s="27"/>
      <c r="K50" s="144"/>
    </row>
    <row r="51" spans="2:11" x14ac:dyDescent="0.25">
      <c r="B51" s="28"/>
      <c r="C51" s="242"/>
      <c r="I51" s="28"/>
      <c r="J51" s="27"/>
      <c r="K51" s="28"/>
    </row>
    <row r="52" spans="2:11" x14ac:dyDescent="0.25">
      <c r="B52" s="28" t="s">
        <v>968</v>
      </c>
      <c r="C52" s="242"/>
      <c r="I52" s="27" t="s">
        <v>1156</v>
      </c>
      <c r="J52" s="27"/>
      <c r="K52" s="144"/>
    </row>
    <row r="53" spans="2:11" x14ac:dyDescent="0.25">
      <c r="B53" s="28" t="s">
        <v>969</v>
      </c>
      <c r="C53" s="242"/>
      <c r="I53" s="27" t="s">
        <v>1157</v>
      </c>
      <c r="J53" s="27"/>
      <c r="K53" s="144"/>
    </row>
  </sheetData>
  <mergeCells count="27">
    <mergeCell ref="B20:B21"/>
    <mergeCell ref="B22:B23"/>
    <mergeCell ref="B24:B25"/>
    <mergeCell ref="B26:B27"/>
    <mergeCell ref="A31:C31"/>
    <mergeCell ref="A20:A21"/>
    <mergeCell ref="A22:A23"/>
    <mergeCell ref="A24:A25"/>
    <mergeCell ref="A26:A27"/>
    <mergeCell ref="A14:A15"/>
    <mergeCell ref="A16:A17"/>
    <mergeCell ref="A18:A19"/>
    <mergeCell ref="A4:K4"/>
    <mergeCell ref="A5:K5"/>
    <mergeCell ref="A6:B6"/>
    <mergeCell ref="A7:B7"/>
    <mergeCell ref="A8:B8"/>
    <mergeCell ref="B14:B15"/>
    <mergeCell ref="B16:B17"/>
    <mergeCell ref="B18:B19"/>
    <mergeCell ref="K1:L1"/>
    <mergeCell ref="K2:L2"/>
    <mergeCell ref="A9:B9"/>
    <mergeCell ref="A12:A13"/>
    <mergeCell ref="B12:B13"/>
    <mergeCell ref="C6:F6"/>
    <mergeCell ref="C7:F7"/>
  </mergeCells>
  <pageMargins left="0.51181102362204722" right="0.31496062992125984" top="0.74803149606299213" bottom="1.3385826771653544" header="0.31496062992125984" footer="0.31496062992125984"/>
  <pageSetup paperSize="5" scale="90" orientation="portrait" horizontalDpi="0" verticalDpi="0"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I51"/>
  <sheetViews>
    <sheetView workbookViewId="0">
      <selection activeCell="A5" sqref="A5:B5"/>
    </sheetView>
  </sheetViews>
  <sheetFormatPr defaultRowHeight="15" x14ac:dyDescent="0.25"/>
  <cols>
    <col min="1" max="1" width="4.140625" customWidth="1"/>
    <col min="2" max="2" width="16.42578125" customWidth="1"/>
    <col min="3" max="3" width="7" customWidth="1"/>
    <col min="4" max="4" width="3.42578125" customWidth="1"/>
    <col min="5" max="5" width="2.42578125" customWidth="1"/>
    <col min="6" max="6" width="4.140625" customWidth="1"/>
    <col min="7" max="7" width="2.85546875" customWidth="1"/>
    <col min="8" max="8" width="2.42578125" customWidth="1"/>
    <col min="9" max="9" width="3.5703125" customWidth="1"/>
    <col min="10" max="10" width="3.140625" customWidth="1"/>
    <col min="11" max="11" width="2.140625" customWidth="1"/>
    <col min="12" max="12" width="4.42578125" customWidth="1"/>
    <col min="13" max="13" width="3.5703125" customWidth="1"/>
    <col min="14" max="14" width="2.85546875" customWidth="1"/>
    <col min="15" max="15" width="4" customWidth="1"/>
    <col min="16" max="16" width="3" customWidth="1"/>
    <col min="17" max="17" width="2.140625" customWidth="1"/>
    <col min="18" max="18" width="4" customWidth="1"/>
    <col min="19" max="19" width="3.5703125" customWidth="1"/>
    <col min="20" max="20" width="2.42578125" customWidth="1"/>
    <col min="21" max="21" width="4.42578125" customWidth="1"/>
    <col min="22" max="22" width="3.140625" customWidth="1"/>
    <col min="23" max="23" width="2.42578125" customWidth="1"/>
    <col min="24" max="24" width="3.5703125" customWidth="1"/>
    <col min="25" max="25" width="5" customWidth="1"/>
    <col min="26" max="26" width="3" customWidth="1"/>
    <col min="27" max="27" width="5.42578125" bestFit="1" customWidth="1"/>
    <col min="28" max="28" width="3.42578125" customWidth="1"/>
  </cols>
  <sheetData>
    <row r="1" spans="1:35" x14ac:dyDescent="0.25">
      <c r="Y1" s="1223" t="s">
        <v>470</v>
      </c>
      <c r="Z1" s="1352"/>
      <c r="AA1" s="1352"/>
      <c r="AB1" s="1224"/>
    </row>
    <row r="2" spans="1:35" x14ac:dyDescent="0.25">
      <c r="Y2" s="1317">
        <v>43636</v>
      </c>
      <c r="Z2" s="1317"/>
      <c r="AA2" s="1317"/>
      <c r="AB2" s="1317"/>
    </row>
    <row r="3" spans="1:35" x14ac:dyDescent="0.25">
      <c r="A3" s="1353" t="s">
        <v>468</v>
      </c>
      <c r="B3" s="1353"/>
      <c r="C3" s="1353"/>
      <c r="D3" s="1353"/>
      <c r="E3" s="1353"/>
      <c r="F3" s="1353"/>
      <c r="G3" s="1353"/>
      <c r="H3" s="1353"/>
      <c r="I3" s="1353"/>
      <c r="J3" s="1353"/>
      <c r="K3" s="1353"/>
      <c r="L3" s="1353"/>
      <c r="M3" s="1353"/>
      <c r="N3" s="1353"/>
      <c r="O3" s="1353"/>
      <c r="P3" s="1353"/>
      <c r="Q3" s="1353"/>
      <c r="R3" s="1353"/>
      <c r="S3" s="1353"/>
      <c r="T3" s="1353"/>
      <c r="U3" s="1353"/>
      <c r="V3" s="1353"/>
      <c r="W3" s="1353"/>
      <c r="X3" s="1353"/>
      <c r="Y3" s="1353"/>
      <c r="Z3" s="1353"/>
      <c r="AA3" s="1353"/>
      <c r="AB3" s="1353"/>
    </row>
    <row r="4" spans="1:35" x14ac:dyDescent="0.25">
      <c r="A4" s="1336" t="s">
        <v>594</v>
      </c>
      <c r="B4" s="1336"/>
      <c r="C4" s="265" t="s">
        <v>65</v>
      </c>
      <c r="D4" s="260"/>
      <c r="E4" s="260"/>
      <c r="F4" s="260"/>
      <c r="G4" s="260"/>
      <c r="H4" s="260"/>
      <c r="I4" s="260"/>
      <c r="J4" s="260"/>
      <c r="K4" s="260"/>
      <c r="L4" s="260"/>
      <c r="M4" s="260"/>
      <c r="N4" s="260"/>
      <c r="O4" s="260"/>
      <c r="P4" s="260"/>
      <c r="Q4" s="260"/>
      <c r="R4" s="260"/>
      <c r="S4" s="260"/>
      <c r="T4" s="260"/>
      <c r="U4" s="260"/>
      <c r="V4" s="260"/>
      <c r="W4" s="260"/>
      <c r="X4" s="260"/>
      <c r="Y4" s="260"/>
      <c r="Z4" s="260"/>
      <c r="AA4" s="260"/>
      <c r="AB4" s="260"/>
    </row>
    <row r="5" spans="1:35" x14ac:dyDescent="0.25">
      <c r="A5" s="1336" t="s">
        <v>38</v>
      </c>
      <c r="B5" s="1336"/>
      <c r="C5" s="265" t="s">
        <v>65</v>
      </c>
      <c r="D5" s="260"/>
      <c r="E5" s="260"/>
      <c r="F5" s="260"/>
      <c r="G5" s="260"/>
      <c r="H5" s="260"/>
      <c r="I5" s="260"/>
      <c r="J5" s="260"/>
      <c r="K5" s="260"/>
      <c r="L5" s="260"/>
      <c r="M5" s="260"/>
      <c r="N5" s="260"/>
      <c r="O5" s="260"/>
      <c r="P5" s="260"/>
      <c r="Q5" s="260"/>
      <c r="R5" s="260"/>
      <c r="S5" s="260"/>
      <c r="T5" s="260"/>
      <c r="U5" s="260"/>
      <c r="V5" s="260"/>
      <c r="W5" s="260"/>
      <c r="X5" s="260"/>
      <c r="Y5" s="260"/>
      <c r="Z5" s="260"/>
      <c r="AA5" s="260"/>
      <c r="AB5" s="260"/>
    </row>
    <row r="6" spans="1:35" x14ac:dyDescent="0.25">
      <c r="A6" s="1336" t="s">
        <v>416</v>
      </c>
      <c r="B6" s="1336"/>
      <c r="C6" s="265" t="s">
        <v>65</v>
      </c>
      <c r="D6" s="260"/>
      <c r="E6" s="260"/>
      <c r="F6" s="260"/>
      <c r="G6" s="260"/>
      <c r="H6" s="260"/>
      <c r="I6" s="260"/>
      <c r="J6" s="260"/>
      <c r="K6" s="260"/>
      <c r="L6" s="260"/>
      <c r="M6" s="260"/>
      <c r="N6" s="260"/>
      <c r="O6" s="260"/>
      <c r="P6" s="260"/>
      <c r="Q6" s="260"/>
      <c r="R6" s="260"/>
      <c r="S6" s="260"/>
      <c r="T6" s="260"/>
      <c r="U6" s="260"/>
      <c r="V6" s="260"/>
      <c r="W6" s="260"/>
      <c r="X6" s="260"/>
      <c r="Y6" s="260"/>
      <c r="Z6" s="260"/>
      <c r="AA6" s="260"/>
      <c r="AB6" s="260"/>
    </row>
    <row r="7" spans="1:35" ht="15.75" thickBot="1" x14ac:dyDescent="0.3">
      <c r="A7" s="1331" t="s">
        <v>104</v>
      </c>
      <c r="B7" s="1331"/>
      <c r="C7" s="265" t="s">
        <v>65</v>
      </c>
    </row>
    <row r="8" spans="1:35" x14ac:dyDescent="0.25">
      <c r="A8" s="1349" t="s">
        <v>4</v>
      </c>
      <c r="B8" s="1349" t="s">
        <v>126</v>
      </c>
      <c r="C8" s="255"/>
      <c r="D8" s="1343" t="s">
        <v>437</v>
      </c>
      <c r="E8" s="1344"/>
      <c r="F8" s="1345"/>
      <c r="G8" s="1343" t="s">
        <v>418</v>
      </c>
      <c r="H8" s="1344"/>
      <c r="I8" s="1345"/>
      <c r="J8" s="1343" t="s">
        <v>419</v>
      </c>
      <c r="K8" s="1344"/>
      <c r="L8" s="1345"/>
      <c r="M8" s="1343" t="s">
        <v>420</v>
      </c>
      <c r="N8" s="1344"/>
      <c r="O8" s="1345"/>
      <c r="P8" s="1343" t="s">
        <v>442</v>
      </c>
      <c r="Q8" s="1344"/>
      <c r="R8" s="1345"/>
      <c r="S8" s="1343" t="s">
        <v>444</v>
      </c>
      <c r="T8" s="1344"/>
      <c r="U8" s="1345"/>
      <c r="V8" s="1343" t="s">
        <v>445</v>
      </c>
      <c r="W8" s="1344"/>
      <c r="X8" s="1345"/>
      <c r="Y8" s="255"/>
      <c r="Z8" s="255"/>
      <c r="AA8" s="1349" t="s">
        <v>460</v>
      </c>
      <c r="AB8" s="255"/>
      <c r="AG8" s="1336"/>
      <c r="AH8" s="1336"/>
      <c r="AI8" s="251"/>
    </row>
    <row r="9" spans="1:35" ht="30.75" thickBot="1" x14ac:dyDescent="0.3">
      <c r="A9" s="1350"/>
      <c r="B9" s="1350"/>
      <c r="C9" s="256" t="s">
        <v>327</v>
      </c>
      <c r="D9" s="1346" t="s">
        <v>438</v>
      </c>
      <c r="E9" s="1347"/>
      <c r="F9" s="1348"/>
      <c r="G9" s="1346" t="s">
        <v>439</v>
      </c>
      <c r="H9" s="1347"/>
      <c r="I9" s="1348"/>
      <c r="J9" s="1346" t="s">
        <v>440</v>
      </c>
      <c r="K9" s="1347"/>
      <c r="L9" s="1348"/>
      <c r="M9" s="1346" t="s">
        <v>441</v>
      </c>
      <c r="N9" s="1347"/>
      <c r="O9" s="1348"/>
      <c r="P9" s="1346" t="s">
        <v>443</v>
      </c>
      <c r="Q9" s="1347"/>
      <c r="R9" s="1348"/>
      <c r="S9" s="1346"/>
      <c r="T9" s="1347"/>
      <c r="U9" s="1348"/>
      <c r="V9" s="1346" t="s">
        <v>446</v>
      </c>
      <c r="W9" s="1347"/>
      <c r="X9" s="1348"/>
      <c r="Y9" s="256" t="s">
        <v>447</v>
      </c>
      <c r="Z9" s="256" t="s">
        <v>448</v>
      </c>
      <c r="AA9" s="1350"/>
      <c r="AB9" s="256" t="s">
        <v>449</v>
      </c>
      <c r="AG9" s="1336"/>
      <c r="AH9" s="1336"/>
      <c r="AI9" s="251"/>
    </row>
    <row r="10" spans="1:35" ht="30.75" thickBot="1" x14ac:dyDescent="0.3">
      <c r="A10" s="1351"/>
      <c r="B10" s="1351"/>
      <c r="C10" s="257"/>
      <c r="D10" s="258" t="s">
        <v>30</v>
      </c>
      <c r="E10" s="258" t="s">
        <v>2</v>
      </c>
      <c r="F10" s="258" t="s">
        <v>185</v>
      </c>
      <c r="G10" s="258" t="s">
        <v>30</v>
      </c>
      <c r="H10" s="258" t="s">
        <v>2</v>
      </c>
      <c r="I10" s="258" t="s">
        <v>185</v>
      </c>
      <c r="J10" s="258" t="s">
        <v>30</v>
      </c>
      <c r="K10" s="258" t="s">
        <v>2</v>
      </c>
      <c r="L10" s="258" t="s">
        <v>185</v>
      </c>
      <c r="M10" s="258" t="s">
        <v>30</v>
      </c>
      <c r="N10" s="258" t="s">
        <v>2</v>
      </c>
      <c r="O10" s="258" t="s">
        <v>185</v>
      </c>
      <c r="P10" s="258" t="s">
        <v>30</v>
      </c>
      <c r="Q10" s="258" t="s">
        <v>2</v>
      </c>
      <c r="R10" s="258" t="s">
        <v>185</v>
      </c>
      <c r="S10" s="258" t="s">
        <v>30</v>
      </c>
      <c r="T10" s="258" t="s">
        <v>2</v>
      </c>
      <c r="U10" s="258" t="s">
        <v>185</v>
      </c>
      <c r="V10" s="258" t="s">
        <v>30</v>
      </c>
      <c r="W10" s="258" t="s">
        <v>2</v>
      </c>
      <c r="X10" s="258" t="s">
        <v>185</v>
      </c>
      <c r="Y10" s="257"/>
      <c r="Z10" s="257"/>
      <c r="AA10" s="1351"/>
      <c r="AB10" s="257"/>
      <c r="AG10" s="1336"/>
      <c r="AH10" s="1336"/>
    </row>
    <row r="11" spans="1:35" ht="15.75" thickBot="1" x14ac:dyDescent="0.3">
      <c r="A11" s="1349">
        <v>1</v>
      </c>
      <c r="B11" s="1349" t="s">
        <v>450</v>
      </c>
      <c r="C11" s="259">
        <v>0.12569444444444444</v>
      </c>
      <c r="D11" s="258">
        <v>90</v>
      </c>
      <c r="E11" s="258">
        <v>2</v>
      </c>
      <c r="F11" s="258">
        <v>180</v>
      </c>
      <c r="G11" s="258">
        <v>80</v>
      </c>
      <c r="H11" s="258">
        <v>1</v>
      </c>
      <c r="I11" s="258">
        <v>80</v>
      </c>
      <c r="J11" s="258"/>
      <c r="K11" s="258"/>
      <c r="L11" s="258"/>
      <c r="M11" s="258">
        <v>80</v>
      </c>
      <c r="N11" s="258">
        <v>3</v>
      </c>
      <c r="O11" s="258">
        <v>240</v>
      </c>
      <c r="P11" s="258"/>
      <c r="Q11" s="258"/>
      <c r="R11" s="258"/>
      <c r="S11" s="258"/>
      <c r="T11" s="258"/>
      <c r="U11" s="258"/>
      <c r="V11" s="258"/>
      <c r="W11" s="258"/>
      <c r="X11" s="258"/>
      <c r="Y11" s="258">
        <v>500</v>
      </c>
      <c r="Z11" s="258">
        <v>6</v>
      </c>
      <c r="AA11" s="258">
        <v>83</v>
      </c>
      <c r="AB11" s="258">
        <v>74</v>
      </c>
      <c r="AG11" s="1331"/>
      <c r="AH11" s="1331"/>
    </row>
    <row r="12" spans="1:35" ht="15.75" thickBot="1" x14ac:dyDescent="0.3">
      <c r="A12" s="1350"/>
      <c r="B12" s="1350"/>
      <c r="C12" s="259">
        <v>0.12638888888888888</v>
      </c>
      <c r="D12" s="258">
        <v>70</v>
      </c>
      <c r="E12" s="258">
        <v>2</v>
      </c>
      <c r="F12" s="258">
        <v>140</v>
      </c>
      <c r="G12" s="258"/>
      <c r="H12" s="258"/>
      <c r="I12" s="258"/>
      <c r="J12" s="258"/>
      <c r="K12" s="258"/>
      <c r="L12" s="258"/>
      <c r="M12" s="258">
        <v>80</v>
      </c>
      <c r="N12" s="258">
        <v>3</v>
      </c>
      <c r="O12" s="258">
        <v>240</v>
      </c>
      <c r="P12" s="258"/>
      <c r="Q12" s="258"/>
      <c r="R12" s="258"/>
      <c r="S12" s="258"/>
      <c r="T12" s="258"/>
      <c r="U12" s="258"/>
      <c r="V12" s="258"/>
      <c r="W12" s="258"/>
      <c r="X12" s="258"/>
      <c r="Y12" s="258">
        <v>380</v>
      </c>
      <c r="Z12" s="258">
        <v>5</v>
      </c>
      <c r="AA12" s="258">
        <v>76</v>
      </c>
      <c r="AB12" s="258"/>
    </row>
    <row r="13" spans="1:35" ht="15.75" thickBot="1" x14ac:dyDescent="0.3">
      <c r="A13" s="1350"/>
      <c r="B13" s="1350"/>
      <c r="C13" s="259">
        <v>0.12708333333333333</v>
      </c>
      <c r="D13" s="258"/>
      <c r="E13" s="258"/>
      <c r="F13" s="258"/>
      <c r="G13" s="258">
        <v>70</v>
      </c>
      <c r="H13" s="258">
        <v>1</v>
      </c>
      <c r="I13" s="258">
        <v>70</v>
      </c>
      <c r="J13" s="258">
        <v>80</v>
      </c>
      <c r="K13" s="258">
        <v>2</v>
      </c>
      <c r="L13" s="258">
        <v>160</v>
      </c>
      <c r="M13" s="258">
        <v>80</v>
      </c>
      <c r="N13" s="258">
        <v>3</v>
      </c>
      <c r="O13" s="258">
        <v>240</v>
      </c>
      <c r="P13" s="258"/>
      <c r="Q13" s="258"/>
      <c r="R13" s="258"/>
      <c r="S13" s="258"/>
      <c r="T13" s="258"/>
      <c r="U13" s="258"/>
      <c r="V13" s="258"/>
      <c r="W13" s="258"/>
      <c r="X13" s="258"/>
      <c r="Y13" s="258">
        <v>470</v>
      </c>
      <c r="Z13" s="258">
        <v>6</v>
      </c>
      <c r="AA13" s="258">
        <v>78</v>
      </c>
      <c r="AB13" s="258"/>
    </row>
    <row r="14" spans="1:35" ht="15.75" thickBot="1" x14ac:dyDescent="0.3">
      <c r="A14" s="1350"/>
      <c r="B14" s="1350"/>
      <c r="C14" s="259">
        <v>0.1277777777777778</v>
      </c>
      <c r="D14" s="258"/>
      <c r="E14" s="258"/>
      <c r="F14" s="258"/>
      <c r="G14" s="258"/>
      <c r="H14" s="258"/>
      <c r="I14" s="258"/>
      <c r="J14" s="258"/>
      <c r="K14" s="258"/>
      <c r="L14" s="258"/>
      <c r="M14" s="258"/>
      <c r="N14" s="258"/>
      <c r="O14" s="258"/>
      <c r="P14" s="258">
        <v>85</v>
      </c>
      <c r="Q14" s="258">
        <v>1</v>
      </c>
      <c r="R14" s="258">
        <v>85</v>
      </c>
      <c r="S14" s="258">
        <v>60</v>
      </c>
      <c r="T14" s="258">
        <v>2</v>
      </c>
      <c r="U14" s="258">
        <v>120</v>
      </c>
      <c r="V14" s="258">
        <v>60</v>
      </c>
      <c r="W14" s="258">
        <v>3</v>
      </c>
      <c r="X14" s="258">
        <v>180</v>
      </c>
      <c r="Y14" s="258">
        <v>385</v>
      </c>
      <c r="Z14" s="258">
        <v>6</v>
      </c>
      <c r="AA14" s="258">
        <v>64</v>
      </c>
      <c r="AB14" s="258"/>
    </row>
    <row r="15" spans="1:35" ht="15.75" thickBot="1" x14ac:dyDescent="0.3">
      <c r="A15" s="1351"/>
      <c r="B15" s="1351"/>
      <c r="C15" s="259">
        <v>0.12847222222222224</v>
      </c>
      <c r="D15" s="258"/>
      <c r="E15" s="258"/>
      <c r="F15" s="258"/>
      <c r="G15" s="258"/>
      <c r="H15" s="258"/>
      <c r="I15" s="258"/>
      <c r="J15" s="258"/>
      <c r="K15" s="258"/>
      <c r="L15" s="258"/>
      <c r="M15" s="258"/>
      <c r="N15" s="258"/>
      <c r="O15" s="258"/>
      <c r="P15" s="258"/>
      <c r="Q15" s="258"/>
      <c r="R15" s="258"/>
      <c r="S15" s="258">
        <v>70</v>
      </c>
      <c r="T15" s="258">
        <v>2</v>
      </c>
      <c r="U15" s="258">
        <v>140</v>
      </c>
      <c r="V15" s="258">
        <v>70</v>
      </c>
      <c r="W15" s="258">
        <v>3</v>
      </c>
      <c r="X15" s="258">
        <v>210</v>
      </c>
      <c r="Y15" s="258">
        <v>350</v>
      </c>
      <c r="Z15" s="258">
        <v>5</v>
      </c>
      <c r="AA15" s="258">
        <v>70</v>
      </c>
      <c r="AB15" s="258"/>
    </row>
    <row r="16" spans="1:35" ht="15.75" thickBot="1" x14ac:dyDescent="0.3">
      <c r="A16" s="1349">
        <v>2</v>
      </c>
      <c r="B16" s="1349" t="s">
        <v>451</v>
      </c>
      <c r="C16" s="259">
        <v>0.12569444444444444</v>
      </c>
      <c r="D16" s="258">
        <v>80</v>
      </c>
      <c r="E16" s="258">
        <v>2</v>
      </c>
      <c r="F16" s="258">
        <v>160</v>
      </c>
      <c r="G16" s="258">
        <v>86</v>
      </c>
      <c r="H16" s="258">
        <v>1</v>
      </c>
      <c r="I16" s="258">
        <v>86</v>
      </c>
      <c r="J16" s="258"/>
      <c r="K16" s="258"/>
      <c r="L16" s="258"/>
      <c r="M16" s="258">
        <v>80</v>
      </c>
      <c r="N16" s="258">
        <v>3</v>
      </c>
      <c r="O16" s="258">
        <v>240</v>
      </c>
      <c r="P16" s="258"/>
      <c r="Q16" s="258"/>
      <c r="R16" s="258"/>
      <c r="S16" s="258"/>
      <c r="T16" s="258"/>
      <c r="U16" s="258"/>
      <c r="V16" s="258"/>
      <c r="W16" s="258"/>
      <c r="X16" s="258"/>
      <c r="Y16" s="258">
        <v>486</v>
      </c>
      <c r="Z16" s="258">
        <v>6</v>
      </c>
      <c r="AA16" s="258">
        <v>81</v>
      </c>
      <c r="AB16" s="258">
        <v>80</v>
      </c>
    </row>
    <row r="17" spans="1:28" ht="15.75" thickBot="1" x14ac:dyDescent="0.3">
      <c r="A17" s="1350"/>
      <c r="B17" s="1350"/>
      <c r="C17" s="259">
        <v>0.12638888888888888</v>
      </c>
      <c r="D17" s="258">
        <v>80</v>
      </c>
      <c r="E17" s="258">
        <v>2</v>
      </c>
      <c r="F17" s="258">
        <v>160</v>
      </c>
      <c r="G17" s="258"/>
      <c r="H17" s="258"/>
      <c r="I17" s="258"/>
      <c r="J17" s="258"/>
      <c r="K17" s="258"/>
      <c r="L17" s="258"/>
      <c r="M17" s="258">
        <v>80</v>
      </c>
      <c r="N17" s="258">
        <v>3</v>
      </c>
      <c r="O17" s="258">
        <v>240</v>
      </c>
      <c r="P17" s="258"/>
      <c r="Q17" s="258"/>
      <c r="R17" s="258"/>
      <c r="S17" s="258"/>
      <c r="T17" s="258"/>
      <c r="U17" s="258"/>
      <c r="V17" s="258"/>
      <c r="W17" s="258"/>
      <c r="X17" s="258"/>
      <c r="Y17" s="258">
        <v>400</v>
      </c>
      <c r="Z17" s="258">
        <v>5</v>
      </c>
      <c r="AA17" s="258">
        <v>80</v>
      </c>
      <c r="AB17" s="258"/>
    </row>
    <row r="18" spans="1:28" ht="15.75" thickBot="1" x14ac:dyDescent="0.3">
      <c r="A18" s="1350"/>
      <c r="B18" s="1350"/>
      <c r="C18" s="259">
        <v>0.12708333333333333</v>
      </c>
      <c r="D18" s="258"/>
      <c r="E18" s="258"/>
      <c r="F18" s="258"/>
      <c r="G18" s="258">
        <v>85</v>
      </c>
      <c r="H18" s="258">
        <v>1</v>
      </c>
      <c r="I18" s="258">
        <v>85</v>
      </c>
      <c r="J18" s="258">
        <v>80</v>
      </c>
      <c r="K18" s="258">
        <v>2</v>
      </c>
      <c r="L18" s="258">
        <v>160</v>
      </c>
      <c r="M18" s="258">
        <v>80</v>
      </c>
      <c r="N18" s="258">
        <v>3</v>
      </c>
      <c r="O18" s="258">
        <v>240</v>
      </c>
      <c r="P18" s="258"/>
      <c r="Q18" s="258"/>
      <c r="R18" s="258"/>
      <c r="S18" s="258"/>
      <c r="T18" s="258"/>
      <c r="U18" s="258"/>
      <c r="V18" s="258"/>
      <c r="W18" s="258"/>
      <c r="X18" s="258"/>
      <c r="Y18" s="258">
        <v>485</v>
      </c>
      <c r="Z18" s="258">
        <v>6</v>
      </c>
      <c r="AA18" s="258">
        <v>81</v>
      </c>
      <c r="AB18" s="258"/>
    </row>
    <row r="19" spans="1:28" ht="15.75" thickBot="1" x14ac:dyDescent="0.3">
      <c r="A19" s="1350"/>
      <c r="B19" s="1350"/>
      <c r="C19" s="259">
        <v>0.1277777777777778</v>
      </c>
      <c r="D19" s="258"/>
      <c r="E19" s="258"/>
      <c r="F19" s="258"/>
      <c r="G19" s="258"/>
      <c r="H19" s="258"/>
      <c r="I19" s="258"/>
      <c r="J19" s="258"/>
      <c r="K19" s="258"/>
      <c r="L19" s="258"/>
      <c r="M19" s="258"/>
      <c r="N19" s="258"/>
      <c r="O19" s="258"/>
      <c r="P19" s="258">
        <v>85</v>
      </c>
      <c r="Q19" s="258">
        <v>1</v>
      </c>
      <c r="R19" s="258">
        <v>85</v>
      </c>
      <c r="S19" s="258">
        <v>85</v>
      </c>
      <c r="T19" s="258">
        <v>2</v>
      </c>
      <c r="U19" s="258">
        <v>170</v>
      </c>
      <c r="V19" s="258">
        <v>80</v>
      </c>
      <c r="W19" s="258">
        <v>3</v>
      </c>
      <c r="X19" s="258">
        <v>240</v>
      </c>
      <c r="Y19" s="258">
        <v>495</v>
      </c>
      <c r="Z19" s="258">
        <v>6</v>
      </c>
      <c r="AA19" s="258">
        <v>83</v>
      </c>
      <c r="AB19" s="258"/>
    </row>
    <row r="20" spans="1:28" ht="15.75" thickBot="1" x14ac:dyDescent="0.3">
      <c r="A20" s="1351"/>
      <c r="B20" s="1351"/>
      <c r="C20" s="259">
        <v>0.12847222222222224</v>
      </c>
      <c r="D20" s="258"/>
      <c r="E20" s="258"/>
      <c r="F20" s="258"/>
      <c r="G20" s="258"/>
      <c r="H20" s="258"/>
      <c r="I20" s="258"/>
      <c r="J20" s="258"/>
      <c r="K20" s="258"/>
      <c r="L20" s="258"/>
      <c r="M20" s="258"/>
      <c r="N20" s="258"/>
      <c r="O20" s="258"/>
      <c r="P20" s="258"/>
      <c r="Q20" s="258"/>
      <c r="R20" s="258"/>
      <c r="S20" s="258">
        <v>70</v>
      </c>
      <c r="T20" s="258">
        <v>2</v>
      </c>
      <c r="U20" s="258">
        <v>140</v>
      </c>
      <c r="V20" s="258">
        <v>80</v>
      </c>
      <c r="W20" s="258">
        <v>3</v>
      </c>
      <c r="X20" s="258">
        <v>240</v>
      </c>
      <c r="Y20" s="258">
        <v>380</v>
      </c>
      <c r="Z20" s="258">
        <v>5</v>
      </c>
      <c r="AA20" s="258">
        <v>76</v>
      </c>
      <c r="AB20" s="258"/>
    </row>
    <row r="21" spans="1:28" ht="15.75" thickBot="1" x14ac:dyDescent="0.3">
      <c r="A21" s="1349">
        <v>3</v>
      </c>
      <c r="B21" s="1349" t="s">
        <v>452</v>
      </c>
      <c r="C21" s="259">
        <v>0.12569444444444444</v>
      </c>
      <c r="D21" s="258">
        <v>90</v>
      </c>
      <c r="E21" s="258">
        <v>2</v>
      </c>
      <c r="F21" s="258">
        <v>180</v>
      </c>
      <c r="G21" s="258">
        <v>80</v>
      </c>
      <c r="H21" s="258">
        <v>1</v>
      </c>
      <c r="I21" s="258">
        <v>80</v>
      </c>
      <c r="J21" s="258"/>
      <c r="K21" s="258"/>
      <c r="L21" s="258"/>
      <c r="M21" s="258">
        <v>80</v>
      </c>
      <c r="N21" s="258">
        <v>3</v>
      </c>
      <c r="O21" s="258">
        <v>240</v>
      </c>
      <c r="P21" s="258"/>
      <c r="Q21" s="258"/>
      <c r="R21" s="258"/>
      <c r="S21" s="258"/>
      <c r="T21" s="258"/>
      <c r="U21" s="258"/>
      <c r="V21" s="258"/>
      <c r="W21" s="258"/>
      <c r="X21" s="258"/>
      <c r="Y21" s="258">
        <v>500</v>
      </c>
      <c r="Z21" s="258">
        <v>6</v>
      </c>
      <c r="AA21" s="258">
        <v>83</v>
      </c>
      <c r="AB21" s="258">
        <v>82</v>
      </c>
    </row>
    <row r="22" spans="1:28" ht="15.75" thickBot="1" x14ac:dyDescent="0.3">
      <c r="A22" s="1350"/>
      <c r="B22" s="1350"/>
      <c r="C22" s="259">
        <v>0.12638888888888888</v>
      </c>
      <c r="D22" s="258">
        <v>90</v>
      </c>
      <c r="E22" s="258">
        <v>2</v>
      </c>
      <c r="F22" s="258">
        <v>180</v>
      </c>
      <c r="G22" s="258"/>
      <c r="H22" s="258"/>
      <c r="I22" s="258"/>
      <c r="J22" s="258"/>
      <c r="K22" s="258"/>
      <c r="L22" s="258"/>
      <c r="M22" s="258">
        <v>80</v>
      </c>
      <c r="N22" s="258">
        <v>3</v>
      </c>
      <c r="O22" s="258">
        <v>240</v>
      </c>
      <c r="P22" s="258"/>
      <c r="Q22" s="258"/>
      <c r="R22" s="258"/>
      <c r="S22" s="258"/>
      <c r="T22" s="258"/>
      <c r="U22" s="258"/>
      <c r="V22" s="258"/>
      <c r="W22" s="258"/>
      <c r="X22" s="258"/>
      <c r="Y22" s="258">
        <v>420</v>
      </c>
      <c r="Z22" s="258">
        <v>5</v>
      </c>
      <c r="AA22" s="258">
        <v>84</v>
      </c>
      <c r="AB22" s="258"/>
    </row>
    <row r="23" spans="1:28" ht="15.75" thickBot="1" x14ac:dyDescent="0.3">
      <c r="A23" s="1350"/>
      <c r="B23" s="1350"/>
      <c r="C23" s="259">
        <v>0.12708333333333333</v>
      </c>
      <c r="D23" s="258"/>
      <c r="E23" s="258"/>
      <c r="F23" s="258"/>
      <c r="G23" s="258">
        <v>80</v>
      </c>
      <c r="H23" s="258">
        <v>1</v>
      </c>
      <c r="I23" s="258">
        <v>80</v>
      </c>
      <c r="J23" s="258">
        <v>75</v>
      </c>
      <c r="K23" s="258">
        <v>2</v>
      </c>
      <c r="L23" s="258">
        <v>150</v>
      </c>
      <c r="M23" s="258">
        <v>80</v>
      </c>
      <c r="N23" s="258">
        <v>3</v>
      </c>
      <c r="O23" s="258">
        <v>240</v>
      </c>
      <c r="P23" s="258"/>
      <c r="Q23" s="258"/>
      <c r="R23" s="258"/>
      <c r="S23" s="258"/>
      <c r="T23" s="258"/>
      <c r="U23" s="258"/>
      <c r="V23" s="258"/>
      <c r="W23" s="258"/>
      <c r="X23" s="258"/>
      <c r="Y23" s="258">
        <v>470</v>
      </c>
      <c r="Z23" s="258">
        <v>6</v>
      </c>
      <c r="AA23" s="258">
        <v>78</v>
      </c>
      <c r="AB23" s="258"/>
    </row>
    <row r="24" spans="1:28" ht="15.75" thickBot="1" x14ac:dyDescent="0.3">
      <c r="A24" s="1350"/>
      <c r="B24" s="1350"/>
      <c r="C24" s="259">
        <v>0.1277777777777778</v>
      </c>
      <c r="D24" s="258"/>
      <c r="E24" s="258"/>
      <c r="F24" s="258"/>
      <c r="G24" s="258"/>
      <c r="H24" s="258"/>
      <c r="I24" s="258"/>
      <c r="J24" s="258"/>
      <c r="K24" s="258"/>
      <c r="L24" s="258"/>
      <c r="M24" s="258"/>
      <c r="N24" s="258"/>
      <c r="O24" s="258"/>
      <c r="P24" s="258">
        <v>85</v>
      </c>
      <c r="Q24" s="258">
        <v>1</v>
      </c>
      <c r="R24" s="258">
        <v>85</v>
      </c>
      <c r="S24" s="258">
        <v>80</v>
      </c>
      <c r="T24" s="258">
        <v>2</v>
      </c>
      <c r="U24" s="258">
        <v>160</v>
      </c>
      <c r="V24" s="258">
        <v>85</v>
      </c>
      <c r="W24" s="258">
        <v>3</v>
      </c>
      <c r="X24" s="258">
        <v>255</v>
      </c>
      <c r="Y24" s="258">
        <v>500</v>
      </c>
      <c r="Z24" s="258">
        <v>6</v>
      </c>
      <c r="AA24" s="258">
        <v>83</v>
      </c>
      <c r="AB24" s="258"/>
    </row>
    <row r="25" spans="1:28" x14ac:dyDescent="0.25">
      <c r="A25" s="1350"/>
      <c r="B25" s="1350"/>
      <c r="C25" s="261">
        <v>0.12847222222222224</v>
      </c>
      <c r="D25" s="256"/>
      <c r="E25" s="256"/>
      <c r="F25" s="256"/>
      <c r="G25" s="256"/>
      <c r="H25" s="256"/>
      <c r="I25" s="256"/>
      <c r="J25" s="256"/>
      <c r="K25" s="256"/>
      <c r="L25" s="256"/>
      <c r="M25" s="256"/>
      <c r="N25" s="256"/>
      <c r="O25" s="256"/>
      <c r="P25" s="256"/>
      <c r="Q25" s="256"/>
      <c r="R25" s="256"/>
      <c r="S25" s="256">
        <v>80</v>
      </c>
      <c r="T25" s="256">
        <v>2</v>
      </c>
      <c r="U25" s="256">
        <v>160</v>
      </c>
      <c r="V25" s="256">
        <v>80</v>
      </c>
      <c r="W25" s="256">
        <v>3</v>
      </c>
      <c r="X25" s="256">
        <v>240</v>
      </c>
      <c r="Y25" s="256">
        <v>400</v>
      </c>
      <c r="Z25" s="256">
        <v>5</v>
      </c>
      <c r="AA25" s="256">
        <v>80</v>
      </c>
      <c r="AB25" s="256"/>
    </row>
    <row r="26" spans="1:28" x14ac:dyDescent="0.25">
      <c r="A26" s="249" t="s">
        <v>388</v>
      </c>
      <c r="B26" s="249"/>
      <c r="C26" s="249"/>
      <c r="D26" s="249"/>
      <c r="E26" s="249"/>
      <c r="F26" s="249"/>
      <c r="G26" s="249"/>
      <c r="H26" s="249"/>
      <c r="I26" s="249"/>
      <c r="J26" s="249"/>
      <c r="K26" s="249"/>
      <c r="L26" s="249"/>
      <c r="M26" s="249"/>
      <c r="N26" s="249"/>
      <c r="O26" s="249"/>
      <c r="P26" s="249"/>
      <c r="Q26" s="249"/>
      <c r="R26" s="249"/>
      <c r="S26" s="249"/>
      <c r="T26" s="249"/>
      <c r="U26" s="249"/>
      <c r="V26" s="249"/>
      <c r="W26" s="249"/>
      <c r="X26" s="249"/>
      <c r="Y26" s="249"/>
      <c r="Z26" s="249"/>
      <c r="AA26" s="249"/>
      <c r="AB26" s="249"/>
    </row>
    <row r="28" spans="1:28" x14ac:dyDescent="0.25">
      <c r="A28" s="1336" t="s">
        <v>16</v>
      </c>
      <c r="B28" s="1336"/>
    </row>
    <row r="29" spans="1:28" x14ac:dyDescent="0.25">
      <c r="A29" s="252" t="s">
        <v>453</v>
      </c>
      <c r="C29" s="252" t="s">
        <v>454</v>
      </c>
    </row>
    <row r="30" spans="1:28" x14ac:dyDescent="0.25">
      <c r="A30" s="252" t="s">
        <v>455</v>
      </c>
      <c r="C30" s="252" t="s">
        <v>459</v>
      </c>
    </row>
    <row r="31" spans="1:28" x14ac:dyDescent="0.25">
      <c r="A31" s="252" t="s">
        <v>456</v>
      </c>
      <c r="C31" s="252" t="s">
        <v>457</v>
      </c>
    </row>
    <row r="32" spans="1:28" x14ac:dyDescent="0.25">
      <c r="C32" s="252" t="s">
        <v>458</v>
      </c>
    </row>
    <row r="37" spans="1:21" x14ac:dyDescent="0.25">
      <c r="S37" s="27" t="s">
        <v>348</v>
      </c>
      <c r="T37" s="27"/>
      <c r="U37" s="27"/>
    </row>
    <row r="38" spans="1:21" x14ac:dyDescent="0.25">
      <c r="A38" s="27" t="s">
        <v>33</v>
      </c>
      <c r="B38" s="242"/>
      <c r="S38" s="27"/>
      <c r="T38" s="27"/>
      <c r="U38" s="27"/>
    </row>
    <row r="39" spans="1:21" x14ac:dyDescent="0.25">
      <c r="A39" s="28" t="s">
        <v>289</v>
      </c>
      <c r="B39" s="242"/>
      <c r="S39" s="27" t="s">
        <v>41</v>
      </c>
      <c r="T39" s="27"/>
      <c r="U39" s="27"/>
    </row>
    <row r="40" spans="1:21" x14ac:dyDescent="0.25">
      <c r="A40" s="28"/>
      <c r="B40" s="242"/>
      <c r="S40" s="27"/>
      <c r="T40" s="27"/>
      <c r="U40" s="27"/>
    </row>
    <row r="41" spans="1:21" x14ac:dyDescent="0.25">
      <c r="A41" s="28"/>
      <c r="B41" s="242"/>
      <c r="S41" s="146"/>
      <c r="T41" s="27"/>
      <c r="U41" s="27"/>
    </row>
    <row r="42" spans="1:21" x14ac:dyDescent="0.25">
      <c r="A42" s="28"/>
      <c r="B42" s="242"/>
      <c r="S42" s="27"/>
      <c r="T42" s="27"/>
      <c r="U42" s="27"/>
    </row>
    <row r="43" spans="1:21" x14ac:dyDescent="0.25">
      <c r="A43" s="167"/>
      <c r="B43" s="242"/>
      <c r="S43" s="167"/>
      <c r="T43" s="27"/>
      <c r="U43" s="27"/>
    </row>
    <row r="44" spans="1:21" x14ac:dyDescent="0.25">
      <c r="A44" s="28" t="s">
        <v>333</v>
      </c>
      <c r="B44" s="242"/>
      <c r="S44" s="28" t="s">
        <v>333</v>
      </c>
      <c r="T44" s="27"/>
      <c r="U44" s="27"/>
    </row>
    <row r="45" spans="1:21" x14ac:dyDescent="0.25">
      <c r="A45" s="27"/>
      <c r="B45" s="242"/>
      <c r="S45" s="27"/>
      <c r="T45" s="27"/>
      <c r="U45" s="27"/>
    </row>
    <row r="46" spans="1:21" x14ac:dyDescent="0.25">
      <c r="A46" s="143" t="s">
        <v>137</v>
      </c>
      <c r="B46" s="242"/>
      <c r="S46" s="143" t="s">
        <v>285</v>
      </c>
      <c r="T46" s="27"/>
      <c r="U46" s="144"/>
    </row>
    <row r="47" spans="1:21" x14ac:dyDescent="0.25">
      <c r="A47" s="143"/>
      <c r="B47" s="242"/>
      <c r="S47" s="143"/>
      <c r="T47" s="27"/>
      <c r="U47" s="144"/>
    </row>
    <row r="48" spans="1:21" x14ac:dyDescent="0.25">
      <c r="A48" s="143"/>
      <c r="B48" s="242"/>
      <c r="S48" s="143"/>
      <c r="T48" s="27"/>
      <c r="U48" s="144"/>
    </row>
    <row r="49" spans="1:21" x14ac:dyDescent="0.25">
      <c r="A49" s="28"/>
      <c r="B49" s="242"/>
      <c r="S49" s="28"/>
      <c r="T49" s="27"/>
      <c r="U49" s="28"/>
    </row>
    <row r="50" spans="1:21" x14ac:dyDescent="0.25">
      <c r="A50" s="143" t="s">
        <v>290</v>
      </c>
      <c r="B50" s="242"/>
      <c r="S50" s="38" t="s">
        <v>297</v>
      </c>
      <c r="T50" s="27"/>
      <c r="U50" s="144"/>
    </row>
    <row r="51" spans="1:21" x14ac:dyDescent="0.25">
      <c r="A51" s="143" t="s">
        <v>283</v>
      </c>
      <c r="B51" s="242"/>
      <c r="S51" s="38" t="s">
        <v>298</v>
      </c>
      <c r="T51" s="27"/>
      <c r="U51" s="144"/>
    </row>
  </sheetData>
  <mergeCells count="34">
    <mergeCell ref="A21:A25"/>
    <mergeCell ref="B21:B25"/>
    <mergeCell ref="A28:B28"/>
    <mergeCell ref="A3:AB3"/>
    <mergeCell ref="AA8:AA10"/>
    <mergeCell ref="S8:U9"/>
    <mergeCell ref="V8:X8"/>
    <mergeCell ref="V9:X9"/>
    <mergeCell ref="A11:A15"/>
    <mergeCell ref="B11:B15"/>
    <mergeCell ref="A16:A20"/>
    <mergeCell ref="B16:B20"/>
    <mergeCell ref="J8:L8"/>
    <mergeCell ref="J9:L9"/>
    <mergeCell ref="M8:O8"/>
    <mergeCell ref="M9:O9"/>
    <mergeCell ref="Y1:AB1"/>
    <mergeCell ref="Y2:AB2"/>
    <mergeCell ref="AG8:AH8"/>
    <mergeCell ref="AG9:AH9"/>
    <mergeCell ref="AG10:AH10"/>
    <mergeCell ref="AG11:AH11"/>
    <mergeCell ref="A4:B4"/>
    <mergeCell ref="A5:B5"/>
    <mergeCell ref="A6:B6"/>
    <mergeCell ref="A7:B7"/>
    <mergeCell ref="P8:R8"/>
    <mergeCell ref="P9:R9"/>
    <mergeCell ref="A8:A10"/>
    <mergeCell ref="B8:B10"/>
    <mergeCell ref="D8:F8"/>
    <mergeCell ref="D9:F9"/>
    <mergeCell ref="G8:I8"/>
    <mergeCell ref="G9:I9"/>
  </mergeCells>
  <pageMargins left="0.31496062992125984" right="0.31496062992125984" top="0.74803149606299213" bottom="1.3385826771653544" header="0.31496062992125984" footer="0.31496062992125984"/>
  <pageSetup paperSize="5" scale="90" orientation="portrait" horizontalDpi="0" verticalDpi="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B56"/>
  <sheetViews>
    <sheetView workbookViewId="0">
      <selection activeCell="A5" sqref="A5:B5"/>
    </sheetView>
  </sheetViews>
  <sheetFormatPr defaultRowHeight="15" x14ac:dyDescent="0.25"/>
  <cols>
    <col min="1" max="1" width="4" customWidth="1"/>
    <col min="2" max="2" width="27.42578125" customWidth="1"/>
    <col min="3" max="3" width="8.42578125" customWidth="1"/>
    <col min="4" max="4" width="3.42578125" customWidth="1"/>
    <col min="5" max="5" width="2.42578125" customWidth="1"/>
    <col min="6" max="6" width="3.5703125" customWidth="1"/>
    <col min="7" max="7" width="3" customWidth="1"/>
    <col min="8" max="8" width="2.42578125" customWidth="1"/>
    <col min="9" max="9" width="3.42578125" customWidth="1"/>
    <col min="10" max="10" width="3.85546875" customWidth="1"/>
    <col min="11" max="11" width="2.42578125" customWidth="1"/>
    <col min="12" max="12" width="3.5703125" customWidth="1"/>
    <col min="13" max="13" width="3.42578125" customWidth="1"/>
    <col min="14" max="14" width="2.140625" customWidth="1"/>
    <col min="15" max="15" width="3.85546875" customWidth="1"/>
    <col min="16" max="16" width="3.5703125" customWidth="1"/>
    <col min="17" max="17" width="2.140625" customWidth="1"/>
    <col min="18" max="18" width="3.85546875" customWidth="1"/>
    <col min="19" max="19" width="2.85546875" customWidth="1"/>
    <col min="20" max="20" width="2.42578125" customWidth="1"/>
    <col min="21" max="21" width="3.42578125" customWidth="1"/>
    <col min="22" max="22" width="3.5703125" customWidth="1"/>
    <col min="23" max="23" width="1.85546875" customWidth="1"/>
    <col min="24" max="24" width="3.42578125" customWidth="1"/>
    <col min="25" max="25" width="4.42578125" customWidth="1"/>
    <col min="26" max="26" width="3.42578125" customWidth="1"/>
    <col min="27" max="27" width="4.140625" customWidth="1"/>
    <col min="28" max="28" width="5.42578125" customWidth="1"/>
  </cols>
  <sheetData>
    <row r="1" spans="1:28" x14ac:dyDescent="0.25">
      <c r="Y1" s="1223" t="s">
        <v>471</v>
      </c>
      <c r="Z1" s="1352"/>
      <c r="AA1" s="1352"/>
      <c r="AB1" s="1224"/>
    </row>
    <row r="2" spans="1:28" x14ac:dyDescent="0.25">
      <c r="Y2" s="1317">
        <v>43636</v>
      </c>
      <c r="Z2" s="1317"/>
      <c r="AA2" s="1317"/>
      <c r="AB2" s="1317"/>
    </row>
    <row r="3" spans="1:28" x14ac:dyDescent="0.25">
      <c r="A3" s="1353" t="s">
        <v>469</v>
      </c>
      <c r="B3" s="1353"/>
      <c r="C3" s="1353"/>
      <c r="D3" s="1353"/>
      <c r="E3" s="1353"/>
      <c r="F3" s="1353"/>
      <c r="G3" s="1353"/>
      <c r="H3" s="1353"/>
      <c r="I3" s="1353"/>
      <c r="J3" s="1353"/>
      <c r="K3" s="1353"/>
      <c r="L3" s="1353"/>
      <c r="M3" s="1353"/>
      <c r="N3" s="1353"/>
      <c r="O3" s="1353"/>
      <c r="P3" s="1353"/>
      <c r="Q3" s="1353"/>
      <c r="R3" s="1353"/>
      <c r="S3" s="1353"/>
      <c r="T3" s="1353"/>
      <c r="U3" s="1353"/>
      <c r="V3" s="1353"/>
      <c r="W3" s="1353"/>
      <c r="X3" s="1353"/>
      <c r="Y3" s="1353"/>
      <c r="Z3" s="1353"/>
      <c r="AA3" s="1353"/>
      <c r="AB3" s="1353"/>
    </row>
    <row r="4" spans="1:28" x14ac:dyDescent="0.25">
      <c r="A4" s="1336" t="s">
        <v>594</v>
      </c>
      <c r="B4" s="1336"/>
      <c r="C4" s="265" t="s">
        <v>65</v>
      </c>
      <c r="D4" s="260"/>
      <c r="E4" s="260"/>
      <c r="F4" s="260"/>
      <c r="G4" s="260"/>
      <c r="H4" s="260"/>
      <c r="I4" s="260"/>
      <c r="J4" s="260"/>
      <c r="K4" s="260"/>
      <c r="L4" s="260"/>
      <c r="M4" s="260"/>
      <c r="N4" s="260"/>
      <c r="O4" s="260"/>
      <c r="P4" s="260"/>
      <c r="Q4" s="260"/>
      <c r="R4" s="260"/>
      <c r="S4" s="260"/>
      <c r="T4" s="260"/>
      <c r="U4" s="260"/>
      <c r="V4" s="260"/>
      <c r="W4" s="260"/>
      <c r="X4" s="260"/>
      <c r="Y4" s="260"/>
      <c r="Z4" s="260"/>
      <c r="AA4" s="260"/>
      <c r="AB4" s="260"/>
    </row>
    <row r="5" spans="1:28" x14ac:dyDescent="0.25">
      <c r="A5" s="1336" t="s">
        <v>38</v>
      </c>
      <c r="B5" s="1336"/>
      <c r="C5" s="265" t="s">
        <v>65</v>
      </c>
      <c r="D5" s="260"/>
      <c r="E5" s="260"/>
      <c r="F5" s="260"/>
      <c r="G5" s="260"/>
      <c r="H5" s="260"/>
      <c r="I5" s="260"/>
      <c r="J5" s="260"/>
      <c r="K5" s="260"/>
      <c r="L5" s="260"/>
      <c r="M5" s="260"/>
      <c r="N5" s="260"/>
      <c r="O5" s="260"/>
      <c r="P5" s="260"/>
      <c r="Q5" s="260"/>
      <c r="R5" s="260"/>
      <c r="S5" s="260"/>
      <c r="T5" s="260"/>
      <c r="U5" s="260"/>
      <c r="V5" s="260"/>
      <c r="W5" s="260"/>
      <c r="X5" s="260"/>
      <c r="Y5" s="260"/>
      <c r="Z5" s="260"/>
      <c r="AA5" s="260"/>
      <c r="AB5" s="260"/>
    </row>
    <row r="6" spans="1:28" x14ac:dyDescent="0.25">
      <c r="A6" s="1336" t="s">
        <v>416</v>
      </c>
      <c r="B6" s="1336"/>
      <c r="C6" s="265" t="s">
        <v>65</v>
      </c>
      <c r="D6" s="260"/>
      <c r="E6" s="260"/>
      <c r="F6" s="260"/>
      <c r="G6" s="260"/>
      <c r="H6" s="260"/>
      <c r="I6" s="260"/>
      <c r="J6" s="260"/>
      <c r="K6" s="260"/>
      <c r="L6" s="260"/>
      <c r="M6" s="260"/>
      <c r="N6" s="260"/>
      <c r="O6" s="260"/>
      <c r="P6" s="260"/>
      <c r="Q6" s="260"/>
      <c r="R6" s="260"/>
      <c r="S6" s="260"/>
      <c r="T6" s="260"/>
      <c r="U6" s="260"/>
      <c r="V6" s="260"/>
      <c r="W6" s="260"/>
      <c r="X6" s="260"/>
      <c r="Y6" s="260"/>
      <c r="Z6" s="260"/>
      <c r="AA6" s="260"/>
      <c r="AB6" s="260"/>
    </row>
    <row r="7" spans="1:28" ht="15.75" thickBot="1" x14ac:dyDescent="0.3">
      <c r="A7" s="1331" t="s">
        <v>104</v>
      </c>
      <c r="B7" s="1331"/>
      <c r="C7" s="265" t="s">
        <v>65</v>
      </c>
    </row>
    <row r="8" spans="1:28" ht="15" customHeight="1" x14ac:dyDescent="0.25">
      <c r="A8" s="1349" t="s">
        <v>4</v>
      </c>
      <c r="B8" s="1349" t="s">
        <v>126</v>
      </c>
      <c r="C8" s="1349" t="s">
        <v>327</v>
      </c>
      <c r="D8" s="1354" t="s">
        <v>422</v>
      </c>
      <c r="E8" s="1355"/>
      <c r="F8" s="1356"/>
      <c r="G8" s="1354" t="s">
        <v>423</v>
      </c>
      <c r="H8" s="1355"/>
      <c r="I8" s="1356"/>
      <c r="J8" s="1360" t="s">
        <v>463</v>
      </c>
      <c r="K8" s="1361"/>
      <c r="L8" s="1362"/>
      <c r="M8" s="1354" t="s">
        <v>424</v>
      </c>
      <c r="N8" s="1355"/>
      <c r="O8" s="1356"/>
      <c r="P8" s="1360" t="s">
        <v>463</v>
      </c>
      <c r="Q8" s="1361"/>
      <c r="R8" s="1362"/>
      <c r="S8" s="1354" t="s">
        <v>466</v>
      </c>
      <c r="T8" s="1355"/>
      <c r="U8" s="1356"/>
      <c r="V8" s="1360" t="s">
        <v>463</v>
      </c>
      <c r="W8" s="1361"/>
      <c r="X8" s="1362"/>
      <c r="Y8" s="262"/>
      <c r="Z8" s="262"/>
      <c r="AA8" s="1349" t="s">
        <v>460</v>
      </c>
      <c r="AB8" s="262"/>
    </row>
    <row r="9" spans="1:28" ht="15.75" customHeight="1" thickBot="1" x14ac:dyDescent="0.3">
      <c r="A9" s="1350"/>
      <c r="B9" s="1350"/>
      <c r="C9" s="1350"/>
      <c r="D9" s="1357" t="s">
        <v>461</v>
      </c>
      <c r="E9" s="1358"/>
      <c r="F9" s="1359"/>
      <c r="G9" s="1357" t="s">
        <v>462</v>
      </c>
      <c r="H9" s="1358"/>
      <c r="I9" s="1359"/>
      <c r="J9" s="1363" t="s">
        <v>464</v>
      </c>
      <c r="K9" s="1364"/>
      <c r="L9" s="1365"/>
      <c r="M9" s="1357" t="s">
        <v>465</v>
      </c>
      <c r="N9" s="1358"/>
      <c r="O9" s="1359"/>
      <c r="P9" s="1363" t="s">
        <v>465</v>
      </c>
      <c r="Q9" s="1364"/>
      <c r="R9" s="1365"/>
      <c r="S9" s="1357" t="s">
        <v>467</v>
      </c>
      <c r="T9" s="1358"/>
      <c r="U9" s="1359"/>
      <c r="V9" s="1363" t="s">
        <v>467</v>
      </c>
      <c r="W9" s="1364"/>
      <c r="X9" s="1365"/>
      <c r="Y9" s="263" t="s">
        <v>447</v>
      </c>
      <c r="Z9" s="263" t="s">
        <v>448</v>
      </c>
      <c r="AA9" s="1350"/>
      <c r="AB9" s="263" t="s">
        <v>449</v>
      </c>
    </row>
    <row r="10" spans="1:28" ht="30.75" thickBot="1" x14ac:dyDescent="0.3">
      <c r="A10" s="1351"/>
      <c r="B10" s="1351"/>
      <c r="C10" s="1351"/>
      <c r="D10" s="258" t="s">
        <v>30</v>
      </c>
      <c r="E10" s="258" t="s">
        <v>2</v>
      </c>
      <c r="F10" s="258" t="s">
        <v>185</v>
      </c>
      <c r="G10" s="258" t="s">
        <v>30</v>
      </c>
      <c r="H10" s="258" t="s">
        <v>2</v>
      </c>
      <c r="I10" s="258" t="s">
        <v>185</v>
      </c>
      <c r="J10" s="258" t="s">
        <v>0</v>
      </c>
      <c r="K10" s="258" t="s">
        <v>2</v>
      </c>
      <c r="L10" s="258" t="s">
        <v>185</v>
      </c>
      <c r="M10" s="258" t="s">
        <v>30</v>
      </c>
      <c r="N10" s="258" t="s">
        <v>2</v>
      </c>
      <c r="O10" s="258" t="s">
        <v>185</v>
      </c>
      <c r="P10" s="258" t="s">
        <v>0</v>
      </c>
      <c r="Q10" s="258" t="s">
        <v>2</v>
      </c>
      <c r="R10" s="258" t="s">
        <v>185</v>
      </c>
      <c r="S10" s="258" t="s">
        <v>30</v>
      </c>
      <c r="T10" s="258" t="s">
        <v>2</v>
      </c>
      <c r="U10" s="258" t="s">
        <v>185</v>
      </c>
      <c r="V10" s="258" t="s">
        <v>0</v>
      </c>
      <c r="W10" s="258" t="s">
        <v>2</v>
      </c>
      <c r="X10" s="258" t="s">
        <v>185</v>
      </c>
      <c r="Y10" s="257"/>
      <c r="Z10" s="257"/>
      <c r="AA10" s="1351"/>
      <c r="AB10" s="257"/>
    </row>
    <row r="11" spans="1:28" ht="15.75" thickBot="1" x14ac:dyDescent="0.3">
      <c r="A11" s="1349">
        <v>1</v>
      </c>
      <c r="B11" s="1349" t="s">
        <v>450</v>
      </c>
      <c r="C11" s="259">
        <v>0.12569444444444444</v>
      </c>
      <c r="D11" s="258">
        <v>80</v>
      </c>
      <c r="E11" s="258">
        <v>1</v>
      </c>
      <c r="F11" s="258">
        <v>80</v>
      </c>
      <c r="G11" s="258"/>
      <c r="H11" s="258"/>
      <c r="I11" s="258"/>
      <c r="J11" s="258"/>
      <c r="K11" s="258"/>
      <c r="L11" s="258"/>
      <c r="M11" s="258"/>
      <c r="N11" s="258"/>
      <c r="O11" s="258"/>
      <c r="P11" s="258"/>
      <c r="Q11" s="258"/>
      <c r="R11" s="258"/>
      <c r="S11" s="258"/>
      <c r="T11" s="258"/>
      <c r="U11" s="258"/>
      <c r="V11" s="258"/>
      <c r="W11" s="258"/>
      <c r="X11" s="258"/>
      <c r="Y11" s="258">
        <v>80</v>
      </c>
      <c r="Z11" s="258">
        <v>1</v>
      </c>
      <c r="AA11" s="258">
        <v>80</v>
      </c>
      <c r="AB11" s="258">
        <v>82</v>
      </c>
    </row>
    <row r="12" spans="1:28" ht="15.75" thickBot="1" x14ac:dyDescent="0.3">
      <c r="A12" s="1350"/>
      <c r="B12" s="1350"/>
      <c r="C12" s="259">
        <v>0.12638888888888888</v>
      </c>
      <c r="D12" s="258"/>
      <c r="E12" s="258"/>
      <c r="F12" s="258"/>
      <c r="G12" s="258">
        <v>80</v>
      </c>
      <c r="H12" s="258">
        <v>1</v>
      </c>
      <c r="I12" s="258">
        <v>80</v>
      </c>
      <c r="J12" s="258"/>
      <c r="K12" s="258"/>
      <c r="L12" s="258"/>
      <c r="M12" s="258"/>
      <c r="N12" s="258"/>
      <c r="O12" s="258"/>
      <c r="P12" s="258"/>
      <c r="Q12" s="258"/>
      <c r="R12" s="258"/>
      <c r="S12" s="258"/>
      <c r="T12" s="258"/>
      <c r="U12" s="258"/>
      <c r="V12" s="258"/>
      <c r="W12" s="258"/>
      <c r="X12" s="258"/>
      <c r="Y12" s="258">
        <v>80</v>
      </c>
      <c r="Z12" s="258">
        <v>1</v>
      </c>
      <c r="AA12" s="258">
        <v>80</v>
      </c>
      <c r="AB12" s="258"/>
    </row>
    <row r="13" spans="1:28" ht="15.75" thickBot="1" x14ac:dyDescent="0.3">
      <c r="A13" s="1350"/>
      <c r="B13" s="1350"/>
      <c r="C13" s="259">
        <v>0.12708333333333333</v>
      </c>
      <c r="D13" s="258"/>
      <c r="E13" s="258"/>
      <c r="F13" s="258"/>
      <c r="G13" s="258"/>
      <c r="H13" s="258"/>
      <c r="I13" s="258"/>
      <c r="J13" s="258">
        <v>80</v>
      </c>
      <c r="K13" s="258">
        <v>1</v>
      </c>
      <c r="L13" s="258">
        <v>80</v>
      </c>
      <c r="M13" s="258"/>
      <c r="N13" s="258"/>
      <c r="O13" s="258"/>
      <c r="P13" s="258"/>
      <c r="Q13" s="258"/>
      <c r="R13" s="258"/>
      <c r="S13" s="258"/>
      <c r="T13" s="258"/>
      <c r="U13" s="258"/>
      <c r="V13" s="258"/>
      <c r="W13" s="258"/>
      <c r="X13" s="258"/>
      <c r="Y13" s="258">
        <v>80</v>
      </c>
      <c r="Z13" s="258">
        <v>1</v>
      </c>
      <c r="AA13" s="258">
        <v>80</v>
      </c>
      <c r="AB13" s="258"/>
    </row>
    <row r="14" spans="1:28" ht="15.75" thickBot="1" x14ac:dyDescent="0.3">
      <c r="A14" s="1350"/>
      <c r="B14" s="1350"/>
      <c r="C14" s="259">
        <v>0.1277777777777778</v>
      </c>
      <c r="D14" s="258"/>
      <c r="E14" s="258"/>
      <c r="F14" s="258"/>
      <c r="G14" s="258"/>
      <c r="H14" s="258"/>
      <c r="I14" s="258"/>
      <c r="J14" s="258"/>
      <c r="K14" s="258"/>
      <c r="L14" s="258"/>
      <c r="M14" s="258">
        <v>80</v>
      </c>
      <c r="N14" s="258">
        <v>2</v>
      </c>
      <c r="O14" s="258">
        <v>160</v>
      </c>
      <c r="P14" s="258">
        <v>80</v>
      </c>
      <c r="Q14" s="258">
        <v>2</v>
      </c>
      <c r="R14" s="258">
        <v>160</v>
      </c>
      <c r="S14" s="258"/>
      <c r="T14" s="258"/>
      <c r="U14" s="258"/>
      <c r="V14" s="258"/>
      <c r="W14" s="258"/>
      <c r="X14" s="258"/>
      <c r="Y14" s="258">
        <v>80</v>
      </c>
      <c r="Z14" s="258">
        <v>2</v>
      </c>
      <c r="AA14" s="258">
        <v>160</v>
      </c>
      <c r="AB14" s="258"/>
    </row>
    <row r="15" spans="1:28" ht="15.75" thickBot="1" x14ac:dyDescent="0.3">
      <c r="A15" s="1351"/>
      <c r="B15" s="1351"/>
      <c r="C15" s="259">
        <v>0.12847222222222224</v>
      </c>
      <c r="D15" s="258"/>
      <c r="E15" s="258"/>
      <c r="F15" s="258"/>
      <c r="G15" s="258"/>
      <c r="H15" s="258"/>
      <c r="I15" s="258"/>
      <c r="J15" s="258"/>
      <c r="K15" s="258"/>
      <c r="L15" s="258"/>
      <c r="M15" s="258"/>
      <c r="N15" s="258"/>
      <c r="O15" s="258"/>
      <c r="P15" s="258"/>
      <c r="Q15" s="258"/>
      <c r="R15" s="264"/>
      <c r="S15" s="258">
        <v>90</v>
      </c>
      <c r="T15" s="258">
        <v>1</v>
      </c>
      <c r="U15" s="258">
        <v>90</v>
      </c>
      <c r="V15" s="258">
        <v>90</v>
      </c>
      <c r="W15" s="258">
        <v>1</v>
      </c>
      <c r="X15" s="258">
        <v>90</v>
      </c>
      <c r="Y15" s="258">
        <v>90</v>
      </c>
      <c r="Z15" s="258">
        <v>1</v>
      </c>
      <c r="AA15" s="258">
        <v>90</v>
      </c>
      <c r="AB15" s="258"/>
    </row>
    <row r="16" spans="1:28" ht="15.75" thickBot="1" x14ac:dyDescent="0.3">
      <c r="A16" s="1349">
        <v>2</v>
      </c>
      <c r="B16" s="1349" t="s">
        <v>451</v>
      </c>
      <c r="C16" s="259">
        <v>0.12569444444444444</v>
      </c>
      <c r="D16" s="258">
        <v>80</v>
      </c>
      <c r="E16" s="258">
        <v>1</v>
      </c>
      <c r="F16" s="258">
        <v>80</v>
      </c>
      <c r="G16" s="258"/>
      <c r="H16" s="258"/>
      <c r="I16" s="258"/>
      <c r="J16" s="258"/>
      <c r="K16" s="258"/>
      <c r="L16" s="258"/>
      <c r="M16" s="258"/>
      <c r="N16" s="258"/>
      <c r="O16" s="258"/>
      <c r="P16" s="258"/>
      <c r="Q16" s="258"/>
      <c r="R16" s="258"/>
      <c r="S16" s="258"/>
      <c r="T16" s="258"/>
      <c r="U16" s="258"/>
      <c r="V16" s="258"/>
      <c r="W16" s="258"/>
      <c r="X16" s="258"/>
      <c r="Y16" s="258">
        <v>80</v>
      </c>
      <c r="Z16" s="258">
        <v>1</v>
      </c>
      <c r="AA16" s="258">
        <v>80</v>
      </c>
      <c r="AB16" s="258">
        <v>78</v>
      </c>
    </row>
    <row r="17" spans="1:28" ht="15.75" thickBot="1" x14ac:dyDescent="0.3">
      <c r="A17" s="1350"/>
      <c r="B17" s="1350"/>
      <c r="C17" s="259">
        <v>0.12638888888888888</v>
      </c>
      <c r="D17" s="258"/>
      <c r="E17" s="258"/>
      <c r="F17" s="258"/>
      <c r="G17" s="258">
        <v>80</v>
      </c>
      <c r="H17" s="258">
        <v>1</v>
      </c>
      <c r="I17" s="258">
        <v>80</v>
      </c>
      <c r="J17" s="258"/>
      <c r="K17" s="258"/>
      <c r="L17" s="258"/>
      <c r="M17" s="258"/>
      <c r="N17" s="258"/>
      <c r="O17" s="258"/>
      <c r="P17" s="258"/>
      <c r="Q17" s="258"/>
      <c r="R17" s="258"/>
      <c r="S17" s="258"/>
      <c r="T17" s="258"/>
      <c r="U17" s="258"/>
      <c r="V17" s="258"/>
      <c r="W17" s="258"/>
      <c r="X17" s="258"/>
      <c r="Y17" s="258">
        <v>80</v>
      </c>
      <c r="Z17" s="258">
        <v>1</v>
      </c>
      <c r="AA17" s="258">
        <v>80</v>
      </c>
      <c r="AB17" s="258"/>
    </row>
    <row r="18" spans="1:28" ht="15.75" thickBot="1" x14ac:dyDescent="0.3">
      <c r="A18" s="1350"/>
      <c r="B18" s="1350"/>
      <c r="C18" s="259">
        <v>0.12708333333333333</v>
      </c>
      <c r="D18" s="258"/>
      <c r="E18" s="258"/>
      <c r="F18" s="258"/>
      <c r="G18" s="258"/>
      <c r="H18" s="258"/>
      <c r="I18" s="258"/>
      <c r="J18" s="258">
        <v>80</v>
      </c>
      <c r="K18" s="258">
        <v>1</v>
      </c>
      <c r="L18" s="258">
        <v>80</v>
      </c>
      <c r="M18" s="258"/>
      <c r="N18" s="258"/>
      <c r="O18" s="258"/>
      <c r="P18" s="258"/>
      <c r="Q18" s="258"/>
      <c r="R18" s="258"/>
      <c r="S18" s="258"/>
      <c r="T18" s="258"/>
      <c r="U18" s="258"/>
      <c r="V18" s="258"/>
      <c r="W18" s="258"/>
      <c r="X18" s="258"/>
      <c r="Y18" s="258">
        <v>80</v>
      </c>
      <c r="Z18" s="258">
        <v>1</v>
      </c>
      <c r="AA18" s="258">
        <v>80</v>
      </c>
      <c r="AB18" s="258"/>
    </row>
    <row r="19" spans="1:28" ht="15.75" thickBot="1" x14ac:dyDescent="0.3">
      <c r="A19" s="1350"/>
      <c r="B19" s="1350"/>
      <c r="C19" s="259">
        <v>0.1277777777777778</v>
      </c>
      <c r="D19" s="258"/>
      <c r="E19" s="258"/>
      <c r="F19" s="258"/>
      <c r="G19" s="258"/>
      <c r="H19" s="258"/>
      <c r="I19" s="258"/>
      <c r="J19" s="258"/>
      <c r="K19" s="258"/>
      <c r="L19" s="258"/>
      <c r="M19" s="258">
        <v>80</v>
      </c>
      <c r="N19" s="258">
        <v>2</v>
      </c>
      <c r="O19" s="258">
        <v>160</v>
      </c>
      <c r="P19" s="258">
        <v>75</v>
      </c>
      <c r="Q19" s="258">
        <v>2</v>
      </c>
      <c r="R19" s="258">
        <v>150</v>
      </c>
      <c r="S19" s="258"/>
      <c r="T19" s="258"/>
      <c r="U19" s="258"/>
      <c r="V19" s="258"/>
      <c r="W19" s="258"/>
      <c r="X19" s="258"/>
      <c r="Y19" s="258">
        <v>75</v>
      </c>
      <c r="Z19" s="258">
        <v>2</v>
      </c>
      <c r="AA19" s="258">
        <v>150</v>
      </c>
      <c r="AB19" s="258"/>
    </row>
    <row r="20" spans="1:28" ht="15.75" thickBot="1" x14ac:dyDescent="0.3">
      <c r="A20" s="1351"/>
      <c r="B20" s="1351"/>
      <c r="C20" s="259">
        <v>0.12847222222222224</v>
      </c>
      <c r="D20" s="258"/>
      <c r="E20" s="258"/>
      <c r="F20" s="258"/>
      <c r="G20" s="258"/>
      <c r="H20" s="258"/>
      <c r="I20" s="258"/>
      <c r="J20" s="258"/>
      <c r="K20" s="258"/>
      <c r="L20" s="258"/>
      <c r="M20" s="258"/>
      <c r="N20" s="258"/>
      <c r="O20" s="258"/>
      <c r="P20" s="258"/>
      <c r="Q20" s="258"/>
      <c r="R20" s="264"/>
      <c r="S20" s="258">
        <v>80</v>
      </c>
      <c r="T20" s="258">
        <v>1</v>
      </c>
      <c r="U20" s="258">
        <v>80</v>
      </c>
      <c r="V20" s="258">
        <v>80</v>
      </c>
      <c r="W20" s="258">
        <v>1</v>
      </c>
      <c r="X20" s="258">
        <v>80</v>
      </c>
      <c r="Y20" s="258">
        <v>80</v>
      </c>
      <c r="Z20" s="258">
        <v>1</v>
      </c>
      <c r="AA20" s="258">
        <v>80</v>
      </c>
      <c r="AB20" s="258"/>
    </row>
    <row r="21" spans="1:28" ht="15.75" thickBot="1" x14ac:dyDescent="0.3">
      <c r="A21" s="1349">
        <v>3</v>
      </c>
      <c r="B21" s="1349" t="s">
        <v>452</v>
      </c>
      <c r="C21" s="259">
        <v>0.12569444444444444</v>
      </c>
      <c r="D21" s="258">
        <v>85</v>
      </c>
      <c r="E21" s="258">
        <v>1</v>
      </c>
      <c r="F21" s="258">
        <v>85</v>
      </c>
      <c r="G21" s="258"/>
      <c r="H21" s="258"/>
      <c r="I21" s="258"/>
      <c r="J21" s="258"/>
      <c r="K21" s="258"/>
      <c r="L21" s="258"/>
      <c r="M21" s="258"/>
      <c r="N21" s="258"/>
      <c r="O21" s="258"/>
      <c r="P21" s="258"/>
      <c r="Q21" s="258"/>
      <c r="R21" s="258"/>
      <c r="S21" s="258"/>
      <c r="T21" s="258"/>
      <c r="U21" s="258"/>
      <c r="V21" s="258"/>
      <c r="W21" s="258"/>
      <c r="X21" s="258"/>
      <c r="Y21" s="258">
        <v>85</v>
      </c>
      <c r="Z21" s="258">
        <v>1</v>
      </c>
      <c r="AA21" s="258">
        <v>85</v>
      </c>
      <c r="AB21" s="258">
        <v>84</v>
      </c>
    </row>
    <row r="22" spans="1:28" ht="15.75" thickBot="1" x14ac:dyDescent="0.3">
      <c r="A22" s="1350"/>
      <c r="B22" s="1350"/>
      <c r="C22" s="259">
        <v>0.12638888888888888</v>
      </c>
      <c r="D22" s="258"/>
      <c r="E22" s="258"/>
      <c r="F22" s="258"/>
      <c r="G22" s="258">
        <v>80</v>
      </c>
      <c r="H22" s="258">
        <v>1</v>
      </c>
      <c r="I22" s="258">
        <v>80</v>
      </c>
      <c r="J22" s="258"/>
      <c r="K22" s="258"/>
      <c r="L22" s="258"/>
      <c r="M22" s="258"/>
      <c r="N22" s="258"/>
      <c r="O22" s="258"/>
      <c r="P22" s="258"/>
      <c r="Q22" s="258"/>
      <c r="R22" s="258"/>
      <c r="S22" s="258"/>
      <c r="T22" s="258"/>
      <c r="U22" s="258"/>
      <c r="V22" s="258"/>
      <c r="W22" s="258"/>
      <c r="X22" s="258"/>
      <c r="Y22" s="258">
        <v>80</v>
      </c>
      <c r="Z22" s="258">
        <v>1</v>
      </c>
      <c r="AA22" s="258">
        <v>80</v>
      </c>
      <c r="AB22" s="258"/>
    </row>
    <row r="23" spans="1:28" ht="15.75" thickBot="1" x14ac:dyDescent="0.3">
      <c r="A23" s="1350"/>
      <c r="B23" s="1350"/>
      <c r="C23" s="259">
        <v>0.12708333333333333</v>
      </c>
      <c r="D23" s="258"/>
      <c r="E23" s="258"/>
      <c r="F23" s="258"/>
      <c r="G23" s="258"/>
      <c r="H23" s="258"/>
      <c r="I23" s="258"/>
      <c r="J23" s="258">
        <v>90</v>
      </c>
      <c r="K23" s="258">
        <v>1</v>
      </c>
      <c r="L23" s="258">
        <v>90</v>
      </c>
      <c r="M23" s="258"/>
      <c r="N23" s="258"/>
      <c r="O23" s="258"/>
      <c r="P23" s="258"/>
      <c r="Q23" s="258"/>
      <c r="R23" s="258"/>
      <c r="S23" s="258"/>
      <c r="T23" s="258"/>
      <c r="U23" s="258"/>
      <c r="V23" s="258"/>
      <c r="W23" s="258"/>
      <c r="X23" s="258"/>
      <c r="Y23" s="258">
        <v>90</v>
      </c>
      <c r="Z23" s="258">
        <v>1</v>
      </c>
      <c r="AA23" s="258">
        <v>90</v>
      </c>
      <c r="AB23" s="258"/>
    </row>
    <row r="24" spans="1:28" ht="15.75" thickBot="1" x14ac:dyDescent="0.3">
      <c r="A24" s="1350"/>
      <c r="B24" s="1350"/>
      <c r="C24" s="259">
        <v>0.1277777777777778</v>
      </c>
      <c r="D24" s="258"/>
      <c r="E24" s="258"/>
      <c r="F24" s="258"/>
      <c r="G24" s="258"/>
      <c r="H24" s="258"/>
      <c r="I24" s="258"/>
      <c r="J24" s="258"/>
      <c r="K24" s="258"/>
      <c r="L24" s="258"/>
      <c r="M24" s="258">
        <v>80</v>
      </c>
      <c r="N24" s="258">
        <v>2</v>
      </c>
      <c r="O24" s="258">
        <v>160</v>
      </c>
      <c r="P24" s="258">
        <v>80</v>
      </c>
      <c r="Q24" s="258">
        <v>2</v>
      </c>
      <c r="R24" s="258">
        <v>160</v>
      </c>
      <c r="S24" s="258"/>
      <c r="T24" s="258"/>
      <c r="U24" s="258"/>
      <c r="V24" s="258"/>
      <c r="W24" s="258"/>
      <c r="X24" s="258"/>
      <c r="Y24" s="258">
        <v>80</v>
      </c>
      <c r="Z24" s="258">
        <v>2</v>
      </c>
      <c r="AA24" s="258">
        <v>160</v>
      </c>
      <c r="AB24" s="258"/>
    </row>
    <row r="25" spans="1:28" ht="15.75" thickBot="1" x14ac:dyDescent="0.3">
      <c r="A25" s="1351"/>
      <c r="B25" s="1351"/>
      <c r="C25" s="259">
        <v>0.12847222222222224</v>
      </c>
      <c r="D25" s="258"/>
      <c r="E25" s="258"/>
      <c r="F25" s="258"/>
      <c r="G25" s="258"/>
      <c r="H25" s="258"/>
      <c r="I25" s="258"/>
      <c r="J25" s="258"/>
      <c r="K25" s="258"/>
      <c r="L25" s="258"/>
      <c r="M25" s="258"/>
      <c r="N25" s="258"/>
      <c r="O25" s="258"/>
      <c r="P25" s="258"/>
      <c r="Q25" s="258"/>
      <c r="R25" s="264"/>
      <c r="S25" s="258">
        <v>90</v>
      </c>
      <c r="T25" s="258">
        <v>1</v>
      </c>
      <c r="U25" s="258">
        <v>90</v>
      </c>
      <c r="V25" s="258">
        <v>90</v>
      </c>
      <c r="W25" s="258">
        <v>1</v>
      </c>
      <c r="X25" s="258">
        <v>90</v>
      </c>
      <c r="Y25" s="258">
        <v>90</v>
      </c>
      <c r="Z25" s="258">
        <v>1</v>
      </c>
      <c r="AA25" s="258">
        <v>90</v>
      </c>
      <c r="AB25" s="258"/>
    </row>
    <row r="27" spans="1:28" x14ac:dyDescent="0.25">
      <c r="A27" s="1336" t="s">
        <v>16</v>
      </c>
      <c r="B27" s="1336"/>
    </row>
    <row r="28" spans="1:28" x14ac:dyDescent="0.25">
      <c r="A28" s="252" t="s">
        <v>453</v>
      </c>
      <c r="C28" s="252" t="s">
        <v>454</v>
      </c>
    </row>
    <row r="29" spans="1:28" x14ac:dyDescent="0.25">
      <c r="A29" s="252" t="s">
        <v>455</v>
      </c>
      <c r="C29" s="252" t="s">
        <v>459</v>
      </c>
    </row>
    <row r="30" spans="1:28" x14ac:dyDescent="0.25">
      <c r="A30" s="252" t="s">
        <v>456</v>
      </c>
      <c r="C30" s="252" t="s">
        <v>457</v>
      </c>
    </row>
    <row r="31" spans="1:28" x14ac:dyDescent="0.25">
      <c r="C31" s="252" t="s">
        <v>458</v>
      </c>
    </row>
    <row r="36" spans="1:28" x14ac:dyDescent="0.25">
      <c r="S36" s="27" t="s">
        <v>348</v>
      </c>
      <c r="T36" s="27"/>
      <c r="U36" s="27"/>
    </row>
    <row r="37" spans="1:28" x14ac:dyDescent="0.25">
      <c r="A37" s="27" t="s">
        <v>33</v>
      </c>
      <c r="B37" s="242"/>
      <c r="S37" s="27"/>
      <c r="T37" s="27"/>
      <c r="U37" s="27"/>
    </row>
    <row r="38" spans="1:28" x14ac:dyDescent="0.25">
      <c r="A38" s="28" t="s">
        <v>289</v>
      </c>
      <c r="B38" s="242"/>
      <c r="S38" s="27" t="s">
        <v>41</v>
      </c>
      <c r="T38" s="27"/>
      <c r="U38" s="27"/>
      <c r="AB38" s="266"/>
    </row>
    <row r="39" spans="1:28" x14ac:dyDescent="0.25">
      <c r="A39" s="28"/>
      <c r="B39" s="242"/>
      <c r="S39" s="27"/>
      <c r="T39" s="27"/>
      <c r="U39" s="27"/>
    </row>
    <row r="40" spans="1:28" x14ac:dyDescent="0.25">
      <c r="A40" s="28"/>
      <c r="B40" s="242"/>
      <c r="S40" s="146"/>
      <c r="T40" s="27"/>
      <c r="U40" s="27"/>
    </row>
    <row r="41" spans="1:28" x14ac:dyDescent="0.25">
      <c r="A41" s="28"/>
      <c r="B41" s="242"/>
      <c r="S41" s="27"/>
      <c r="T41" s="27"/>
      <c r="U41" s="27"/>
    </row>
    <row r="42" spans="1:28" x14ac:dyDescent="0.25">
      <c r="A42" s="167"/>
      <c r="B42" s="242"/>
      <c r="S42" s="167"/>
      <c r="T42" s="27"/>
      <c r="U42" s="27"/>
    </row>
    <row r="43" spans="1:28" x14ac:dyDescent="0.25">
      <c r="A43" s="28" t="s">
        <v>333</v>
      </c>
      <c r="B43" s="242"/>
      <c r="S43" s="28" t="s">
        <v>333</v>
      </c>
      <c r="T43" s="27"/>
      <c r="U43" s="27"/>
    </row>
    <row r="44" spans="1:28" x14ac:dyDescent="0.25">
      <c r="A44" s="27"/>
      <c r="B44" s="242"/>
      <c r="S44" s="27"/>
      <c r="T44" s="27"/>
      <c r="U44" s="27"/>
    </row>
    <row r="45" spans="1:28" x14ac:dyDescent="0.25">
      <c r="A45" s="143" t="s">
        <v>137</v>
      </c>
      <c r="B45" s="242"/>
      <c r="S45" s="143" t="s">
        <v>285</v>
      </c>
      <c r="T45" s="27"/>
      <c r="U45" s="144"/>
    </row>
    <row r="46" spans="1:28" x14ac:dyDescent="0.25">
      <c r="A46" s="143"/>
      <c r="B46" s="242"/>
      <c r="S46" s="143"/>
      <c r="T46" s="27"/>
      <c r="U46" s="144"/>
    </row>
    <row r="47" spans="1:28" x14ac:dyDescent="0.25">
      <c r="A47" s="143"/>
      <c r="B47" s="242"/>
      <c r="S47" s="143"/>
      <c r="T47" s="27"/>
      <c r="U47" s="144"/>
    </row>
    <row r="48" spans="1:28" x14ac:dyDescent="0.25">
      <c r="A48" s="28"/>
      <c r="B48" s="242"/>
      <c r="S48" s="28"/>
      <c r="T48" s="27"/>
      <c r="U48" s="28"/>
    </row>
    <row r="49" spans="1:21" x14ac:dyDescent="0.25">
      <c r="A49" s="143" t="s">
        <v>290</v>
      </c>
      <c r="B49" s="242"/>
      <c r="S49" s="38" t="s">
        <v>297</v>
      </c>
      <c r="T49" s="27"/>
      <c r="U49" s="144"/>
    </row>
    <row r="50" spans="1:21" x14ac:dyDescent="0.25">
      <c r="A50" s="143" t="s">
        <v>283</v>
      </c>
      <c r="B50" s="242"/>
      <c r="S50" s="38" t="s">
        <v>298</v>
      </c>
      <c r="T50" s="27"/>
      <c r="U50" s="144"/>
    </row>
    <row r="54" spans="1:21" x14ac:dyDescent="0.25">
      <c r="B54" t="s">
        <v>589</v>
      </c>
    </row>
    <row r="55" spans="1:21" x14ac:dyDescent="0.25">
      <c r="B55" t="s">
        <v>590</v>
      </c>
      <c r="C55" t="s">
        <v>592</v>
      </c>
    </row>
    <row r="56" spans="1:21" x14ac:dyDescent="0.25">
      <c r="B56" t="s">
        <v>591</v>
      </c>
      <c r="C56" t="s">
        <v>593</v>
      </c>
    </row>
  </sheetData>
  <mergeCells count="32">
    <mergeCell ref="V8:X8"/>
    <mergeCell ref="V9:X9"/>
    <mergeCell ref="A11:A15"/>
    <mergeCell ref="B11:B15"/>
    <mergeCell ref="J8:L8"/>
    <mergeCell ref="J9:L9"/>
    <mergeCell ref="M8:O8"/>
    <mergeCell ref="M9:O9"/>
    <mergeCell ref="P8:R8"/>
    <mergeCell ref="P9:R9"/>
    <mergeCell ref="A8:A10"/>
    <mergeCell ref="B8:B10"/>
    <mergeCell ref="D8:F8"/>
    <mergeCell ref="D9:F9"/>
    <mergeCell ref="G8:I8"/>
    <mergeCell ref="G9:I9"/>
    <mergeCell ref="Y2:AB2"/>
    <mergeCell ref="A27:B27"/>
    <mergeCell ref="Y1:AB1"/>
    <mergeCell ref="A3:AB3"/>
    <mergeCell ref="A4:B4"/>
    <mergeCell ref="A5:B5"/>
    <mergeCell ref="A6:B6"/>
    <mergeCell ref="A7:B7"/>
    <mergeCell ref="C8:C10"/>
    <mergeCell ref="AA8:AA10"/>
    <mergeCell ref="A16:A20"/>
    <mergeCell ref="B16:B20"/>
    <mergeCell ref="A21:A25"/>
    <mergeCell ref="B21:B25"/>
    <mergeCell ref="S8:U8"/>
    <mergeCell ref="S9:U9"/>
  </mergeCells>
  <pageMargins left="0.31496062992125984" right="0.31496062992125984" top="0.35433070866141736" bottom="1.3385826771653544" header="0.31496062992125984" footer="0.31496062992125984"/>
  <pageSetup paperSize="5" scale="80" orientation="portrait" horizontalDpi="0" verticalDpi="0"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Q73"/>
  <sheetViews>
    <sheetView zoomScale="70" zoomScaleNormal="70" workbookViewId="0">
      <selection activeCell="D68" sqref="D68:D73"/>
    </sheetView>
  </sheetViews>
  <sheetFormatPr defaultRowHeight="15" x14ac:dyDescent="0.25"/>
  <cols>
    <col min="1" max="1" width="6.140625" customWidth="1"/>
    <col min="2" max="2" width="44.85546875" customWidth="1"/>
    <col min="3" max="3" width="64.140625" customWidth="1"/>
    <col min="4" max="5" width="3.42578125" customWidth="1"/>
    <col min="6" max="7" width="3.140625" customWidth="1"/>
    <col min="8" max="8" width="2.85546875" customWidth="1"/>
    <col min="9" max="9" width="3.5703125" customWidth="1"/>
    <col min="10" max="12" width="3.85546875" customWidth="1"/>
    <col min="13" max="13" width="4" customWidth="1"/>
    <col min="14" max="14" width="4.42578125" customWidth="1"/>
    <col min="15" max="15" width="4.140625" customWidth="1"/>
    <col min="16" max="16" width="4.85546875" customWidth="1"/>
    <col min="17" max="17" width="3.85546875" customWidth="1"/>
    <col min="18" max="18" width="4.42578125" customWidth="1"/>
    <col min="19" max="20" width="4" customWidth="1"/>
    <col min="21" max="21" width="4.42578125" customWidth="1"/>
    <col min="22" max="22" width="4.5703125" customWidth="1"/>
    <col min="23" max="23" width="4.140625" customWidth="1"/>
    <col min="24" max="24" width="4.42578125" customWidth="1"/>
    <col min="25" max="25" width="4.5703125" customWidth="1"/>
    <col min="26" max="26" width="4.42578125" customWidth="1"/>
    <col min="27" max="32" width="5.140625" customWidth="1"/>
    <col min="33" max="36" width="4.42578125" customWidth="1"/>
    <col min="37" max="37" width="3.85546875" customWidth="1"/>
    <col min="38" max="38" width="4.140625" customWidth="1"/>
    <col min="39" max="39" width="4.5703125" customWidth="1"/>
    <col min="40" max="41" width="4.140625" customWidth="1"/>
    <col min="42" max="42" width="4.5703125" customWidth="1"/>
    <col min="43" max="43" width="4.85546875" customWidth="1"/>
  </cols>
  <sheetData>
    <row r="1" spans="1:43" x14ac:dyDescent="0.25">
      <c r="G1" s="1223" t="s">
        <v>393</v>
      </c>
      <c r="H1" s="1352"/>
      <c r="I1" s="1352"/>
      <c r="J1" s="1224"/>
    </row>
    <row r="2" spans="1:43" x14ac:dyDescent="0.25">
      <c r="G2" s="1317">
        <v>45852</v>
      </c>
      <c r="H2" s="1317"/>
      <c r="I2" s="1317"/>
      <c r="J2" s="1317"/>
    </row>
    <row r="4" spans="1:43" x14ac:dyDescent="0.25">
      <c r="A4" s="1366" t="s">
        <v>546</v>
      </c>
      <c r="B4" s="1366"/>
      <c r="C4" s="1366"/>
      <c r="D4" s="1366"/>
      <c r="E4" s="1366"/>
      <c r="F4" s="1366"/>
      <c r="G4" s="1366"/>
      <c r="H4" s="1366"/>
      <c r="I4" s="1366"/>
      <c r="J4" s="1366"/>
    </row>
    <row r="5" spans="1:43" x14ac:dyDescent="0.25">
      <c r="A5" s="1336" t="s">
        <v>547</v>
      </c>
      <c r="B5" s="1336"/>
      <c r="C5" t="s">
        <v>841</v>
      </c>
      <c r="D5" s="251"/>
      <c r="E5" s="270"/>
      <c r="F5" s="270"/>
      <c r="G5" s="270"/>
      <c r="H5" s="270"/>
      <c r="I5" s="270"/>
      <c r="J5" s="270"/>
    </row>
    <row r="6" spans="1:43" x14ac:dyDescent="0.25">
      <c r="A6" s="1336" t="s">
        <v>280</v>
      </c>
      <c r="B6" s="1336"/>
      <c r="C6" s="352" t="s">
        <v>703</v>
      </c>
      <c r="D6" s="270"/>
      <c r="E6" s="270"/>
      <c r="F6" s="270"/>
      <c r="G6" s="270"/>
      <c r="H6" s="270"/>
      <c r="I6" s="270"/>
      <c r="J6" s="270"/>
    </row>
    <row r="7" spans="1:43" x14ac:dyDescent="0.25">
      <c r="A7" s="1336" t="s">
        <v>38</v>
      </c>
      <c r="B7" s="1336"/>
      <c r="C7" s="352" t="s">
        <v>701</v>
      </c>
      <c r="D7" s="270"/>
      <c r="E7" s="270"/>
      <c r="F7" s="270"/>
      <c r="G7" s="270"/>
      <c r="H7" s="270"/>
      <c r="I7" s="270"/>
      <c r="J7" s="270"/>
    </row>
    <row r="8" spans="1:43" x14ac:dyDescent="0.25">
      <c r="A8" s="1336" t="s">
        <v>416</v>
      </c>
      <c r="B8" s="1336"/>
      <c r="C8" s="375" t="s">
        <v>920</v>
      </c>
    </row>
    <row r="9" spans="1:43" x14ac:dyDescent="0.25">
      <c r="A9" s="1331" t="s">
        <v>104</v>
      </c>
      <c r="B9" s="1331"/>
      <c r="C9" s="375" t="s">
        <v>788</v>
      </c>
    </row>
    <row r="10" spans="1:43" ht="15.75" thickBot="1" x14ac:dyDescent="0.3">
      <c r="A10" t="s">
        <v>696</v>
      </c>
      <c r="C10" s="352" t="s">
        <v>699</v>
      </c>
    </row>
    <row r="11" spans="1:43" ht="21" customHeight="1" thickBot="1" x14ac:dyDescent="0.3">
      <c r="A11" s="275" t="s">
        <v>0</v>
      </c>
      <c r="B11" s="276" t="s">
        <v>483</v>
      </c>
      <c r="C11" s="357" t="s">
        <v>484</v>
      </c>
      <c r="D11" s="1370" t="s">
        <v>485</v>
      </c>
      <c r="E11" s="1371"/>
      <c r="F11" s="1371"/>
      <c r="G11" s="1371"/>
      <c r="H11" s="1371"/>
      <c r="I11" s="1371"/>
      <c r="J11" s="1371"/>
      <c r="K11" s="1371"/>
      <c r="L11" s="1371"/>
      <c r="M11" s="1371"/>
      <c r="N11" s="1371"/>
      <c r="O11" s="1371"/>
      <c r="P11" s="1371"/>
      <c r="Q11" s="1371"/>
      <c r="R11" s="1371"/>
      <c r="S11" s="1371"/>
      <c r="T11" s="1371"/>
      <c r="U11" s="1371"/>
      <c r="V11" s="1371"/>
      <c r="W11" s="1371"/>
      <c r="X11" s="1371"/>
      <c r="Y11" s="1371"/>
      <c r="Z11" s="1371"/>
      <c r="AA11" s="1371"/>
      <c r="AB11" s="1371"/>
      <c r="AC11" s="1371"/>
      <c r="AD11" s="1371"/>
      <c r="AE11" s="1371"/>
      <c r="AF11" s="1371"/>
      <c r="AG11" s="1371"/>
      <c r="AH11" s="1371"/>
      <c r="AI11" s="1371"/>
      <c r="AJ11" s="1371"/>
      <c r="AK11" s="1371"/>
      <c r="AL11" s="1371"/>
      <c r="AM11" s="1371"/>
      <c r="AN11" s="1371"/>
      <c r="AO11" s="1371"/>
      <c r="AP11" s="1371"/>
      <c r="AQ11" s="1372"/>
    </row>
    <row r="12" spans="1:43" x14ac:dyDescent="0.25">
      <c r="A12" s="272" t="s">
        <v>29</v>
      </c>
      <c r="B12" s="273" t="s">
        <v>486</v>
      </c>
      <c r="C12" s="274"/>
      <c r="D12" s="272">
        <v>1</v>
      </c>
      <c r="E12" s="272">
        <v>2</v>
      </c>
      <c r="F12" s="272">
        <v>3</v>
      </c>
      <c r="G12" s="272">
        <v>4</v>
      </c>
      <c r="H12" s="272">
        <v>5</v>
      </c>
      <c r="I12" s="272">
        <v>6</v>
      </c>
      <c r="J12" s="358">
        <v>7</v>
      </c>
      <c r="K12" s="359">
        <v>8</v>
      </c>
      <c r="L12" s="359">
        <v>9</v>
      </c>
      <c r="M12" s="359">
        <v>10</v>
      </c>
      <c r="N12" s="359">
        <v>11</v>
      </c>
      <c r="O12" s="359">
        <v>12</v>
      </c>
      <c r="P12" s="359">
        <v>13</v>
      </c>
      <c r="Q12" s="359">
        <v>14</v>
      </c>
      <c r="R12" s="359">
        <v>15</v>
      </c>
      <c r="S12" s="359">
        <v>16</v>
      </c>
      <c r="T12" s="359">
        <v>17</v>
      </c>
      <c r="U12" s="359">
        <v>18</v>
      </c>
      <c r="V12" s="359">
        <v>19</v>
      </c>
      <c r="W12" s="359">
        <v>20</v>
      </c>
      <c r="X12" s="359">
        <v>21</v>
      </c>
      <c r="Y12" s="359">
        <v>22</v>
      </c>
      <c r="Z12" s="359">
        <v>23</v>
      </c>
      <c r="AA12" s="359">
        <v>24</v>
      </c>
      <c r="AB12" s="359">
        <v>25</v>
      </c>
      <c r="AC12" s="359">
        <v>26</v>
      </c>
      <c r="AD12" s="359">
        <v>27</v>
      </c>
      <c r="AE12" s="359">
        <v>28</v>
      </c>
      <c r="AF12" s="359">
        <v>29</v>
      </c>
      <c r="AG12" s="359">
        <v>30</v>
      </c>
      <c r="AH12" s="359">
        <v>31</v>
      </c>
      <c r="AI12" s="359">
        <v>32</v>
      </c>
      <c r="AJ12" s="359">
        <v>33</v>
      </c>
      <c r="AK12" s="359">
        <v>34</v>
      </c>
      <c r="AL12" s="359">
        <v>35</v>
      </c>
      <c r="AM12" s="359">
        <v>36</v>
      </c>
      <c r="AN12" s="359">
        <v>37</v>
      </c>
      <c r="AO12" s="359">
        <v>38</v>
      </c>
      <c r="AP12" s="359">
        <v>39</v>
      </c>
      <c r="AQ12" s="359">
        <v>40</v>
      </c>
    </row>
    <row r="13" spans="1:43" ht="15.75" customHeight="1" x14ac:dyDescent="0.25">
      <c r="A13" s="1367"/>
      <c r="B13" s="1369" t="s">
        <v>487</v>
      </c>
      <c r="C13" s="268" t="s">
        <v>488</v>
      </c>
      <c r="D13" s="1367"/>
      <c r="E13" s="1367"/>
      <c r="F13" s="1367"/>
      <c r="G13" s="1367"/>
      <c r="H13" s="1367"/>
      <c r="I13" s="1367"/>
      <c r="J13" s="1367"/>
      <c r="K13" s="1367"/>
      <c r="L13" s="1367"/>
      <c r="M13" s="1367"/>
      <c r="N13" s="1367"/>
      <c r="O13" s="1367"/>
      <c r="P13" s="1367"/>
      <c r="Q13" s="1367"/>
      <c r="R13" s="1367"/>
      <c r="S13" s="1367"/>
      <c r="T13" s="1367"/>
      <c r="U13" s="1367"/>
      <c r="V13" s="1367"/>
      <c r="W13" s="1367"/>
      <c r="X13" s="1367"/>
      <c r="Y13" s="1367"/>
      <c r="Z13" s="1367"/>
      <c r="AA13" s="1367"/>
      <c r="AB13" s="1367"/>
      <c r="AC13" s="1367"/>
      <c r="AD13" s="1367"/>
      <c r="AE13" s="1367"/>
      <c r="AF13" s="1367"/>
      <c r="AG13" s="1367"/>
      <c r="AH13" s="1367"/>
      <c r="AI13" s="1367"/>
      <c r="AJ13" s="1367"/>
      <c r="AK13" s="1367"/>
      <c r="AL13" s="1367"/>
      <c r="AM13" s="1367"/>
      <c r="AN13" s="1367"/>
      <c r="AO13" s="1367"/>
      <c r="AP13" s="1367"/>
      <c r="AQ13" s="1367"/>
    </row>
    <row r="14" spans="1:43" ht="16.5" customHeight="1" x14ac:dyDescent="0.25">
      <c r="A14" s="1367"/>
      <c r="B14" s="1369"/>
      <c r="C14" s="268" t="s">
        <v>489</v>
      </c>
      <c r="D14" s="1367"/>
      <c r="E14" s="1367"/>
      <c r="F14" s="1367"/>
      <c r="G14" s="1367"/>
      <c r="H14" s="1367"/>
      <c r="I14" s="1367"/>
      <c r="J14" s="1367"/>
      <c r="K14" s="1367"/>
      <c r="L14" s="1367"/>
      <c r="M14" s="1367"/>
      <c r="N14" s="1367"/>
      <c r="O14" s="1367"/>
      <c r="P14" s="1367"/>
      <c r="Q14" s="1367"/>
      <c r="R14" s="1367"/>
      <c r="S14" s="1367"/>
      <c r="T14" s="1367"/>
      <c r="U14" s="1367"/>
      <c r="V14" s="1367"/>
      <c r="W14" s="1367"/>
      <c r="X14" s="1367"/>
      <c r="Y14" s="1367"/>
      <c r="Z14" s="1367"/>
      <c r="AA14" s="1367"/>
      <c r="AB14" s="1367"/>
      <c r="AC14" s="1367"/>
      <c r="AD14" s="1367"/>
      <c r="AE14" s="1367"/>
      <c r="AF14" s="1367"/>
      <c r="AG14" s="1367"/>
      <c r="AH14" s="1367"/>
      <c r="AI14" s="1367"/>
      <c r="AJ14" s="1367"/>
      <c r="AK14" s="1367"/>
      <c r="AL14" s="1367"/>
      <c r="AM14" s="1367"/>
      <c r="AN14" s="1367"/>
      <c r="AO14" s="1367"/>
      <c r="AP14" s="1367"/>
      <c r="AQ14" s="1367"/>
    </row>
    <row r="15" spans="1:43" ht="31.5" customHeight="1" x14ac:dyDescent="0.25">
      <c r="A15" s="1367"/>
      <c r="B15" s="1369" t="s">
        <v>490</v>
      </c>
      <c r="C15" s="268" t="s">
        <v>491</v>
      </c>
      <c r="D15" s="1367"/>
      <c r="E15" s="1367"/>
      <c r="F15" s="1367"/>
      <c r="G15" s="1367"/>
      <c r="H15" s="1367"/>
      <c r="I15" s="1367"/>
      <c r="J15" s="1367"/>
      <c r="K15" s="1367"/>
      <c r="L15" s="1367"/>
      <c r="M15" s="1367"/>
      <c r="N15" s="1367"/>
      <c r="O15" s="1367"/>
      <c r="P15" s="1367"/>
      <c r="Q15" s="1367"/>
      <c r="R15" s="1367"/>
      <c r="S15" s="1367"/>
      <c r="T15" s="1367"/>
      <c r="U15" s="1367"/>
      <c r="V15" s="1367"/>
      <c r="W15" s="1367"/>
      <c r="X15" s="1367"/>
      <c r="Y15" s="1367"/>
      <c r="Z15" s="1367"/>
      <c r="AA15" s="1367"/>
      <c r="AB15" s="1367"/>
      <c r="AC15" s="1367"/>
      <c r="AD15" s="1367"/>
      <c r="AE15" s="1367"/>
      <c r="AF15" s="1367"/>
      <c r="AG15" s="1367"/>
      <c r="AH15" s="1367"/>
      <c r="AI15" s="1367"/>
      <c r="AJ15" s="1367"/>
      <c r="AK15" s="1367"/>
      <c r="AL15" s="1367"/>
      <c r="AM15" s="1367"/>
      <c r="AN15" s="1367"/>
      <c r="AO15" s="1367"/>
      <c r="AP15" s="1367"/>
      <c r="AQ15" s="1367"/>
    </row>
    <row r="16" spans="1:43" ht="24.75" customHeight="1" x14ac:dyDescent="0.25">
      <c r="A16" s="1367"/>
      <c r="B16" s="1369"/>
      <c r="C16" s="268" t="s">
        <v>492</v>
      </c>
      <c r="D16" s="1367"/>
      <c r="E16" s="1367"/>
      <c r="F16" s="1367"/>
      <c r="G16" s="1367"/>
      <c r="H16" s="1367"/>
      <c r="I16" s="1367"/>
      <c r="J16" s="1367"/>
      <c r="K16" s="1367"/>
      <c r="L16" s="1367"/>
      <c r="M16" s="1367"/>
      <c r="N16" s="1367"/>
      <c r="O16" s="1367"/>
      <c r="P16" s="1367"/>
      <c r="Q16" s="1367"/>
      <c r="R16" s="1367"/>
      <c r="S16" s="1367"/>
      <c r="T16" s="1367"/>
      <c r="U16" s="1367"/>
      <c r="V16" s="1367"/>
      <c r="W16" s="1367"/>
      <c r="X16" s="1367"/>
      <c r="Y16" s="1367"/>
      <c r="Z16" s="1367"/>
      <c r="AA16" s="1367"/>
      <c r="AB16" s="1367"/>
      <c r="AC16" s="1367"/>
      <c r="AD16" s="1367"/>
      <c r="AE16" s="1367"/>
      <c r="AF16" s="1367"/>
      <c r="AG16" s="1367"/>
      <c r="AH16" s="1367"/>
      <c r="AI16" s="1367"/>
      <c r="AJ16" s="1367"/>
      <c r="AK16" s="1367"/>
      <c r="AL16" s="1367"/>
      <c r="AM16" s="1367"/>
      <c r="AN16" s="1367"/>
      <c r="AO16" s="1367"/>
      <c r="AP16" s="1367"/>
      <c r="AQ16" s="1367"/>
    </row>
    <row r="17" spans="1:43" ht="15" customHeight="1" x14ac:dyDescent="0.25">
      <c r="A17" s="1367"/>
      <c r="B17" s="1368" t="s">
        <v>493</v>
      </c>
      <c r="C17" s="268" t="s">
        <v>494</v>
      </c>
      <c r="D17" s="1367"/>
      <c r="E17" s="1367"/>
      <c r="F17" s="1367"/>
      <c r="G17" s="1367"/>
      <c r="H17" s="1367"/>
      <c r="I17" s="1367"/>
      <c r="J17" s="1367"/>
      <c r="K17" s="1367"/>
      <c r="L17" s="1367"/>
      <c r="M17" s="1367"/>
      <c r="N17" s="1367"/>
      <c r="O17" s="1367"/>
      <c r="P17" s="1367"/>
      <c r="Q17" s="1367"/>
      <c r="R17" s="1367"/>
      <c r="S17" s="1367"/>
      <c r="T17" s="1367"/>
      <c r="U17" s="1367"/>
      <c r="V17" s="1367"/>
      <c r="W17" s="1367"/>
      <c r="X17" s="1367"/>
      <c r="Y17" s="1367"/>
      <c r="Z17" s="1367"/>
      <c r="AA17" s="1367"/>
      <c r="AB17" s="1367"/>
      <c r="AC17" s="1367"/>
      <c r="AD17" s="1367"/>
      <c r="AE17" s="1367"/>
      <c r="AF17" s="1367"/>
      <c r="AG17" s="1367"/>
      <c r="AH17" s="1367"/>
      <c r="AI17" s="1367"/>
      <c r="AJ17" s="1367"/>
      <c r="AK17" s="1367"/>
      <c r="AL17" s="1367"/>
      <c r="AM17" s="1367"/>
      <c r="AN17" s="1367"/>
      <c r="AO17" s="1367"/>
      <c r="AP17" s="1367"/>
      <c r="AQ17" s="1367"/>
    </row>
    <row r="18" spans="1:43" ht="17.25" customHeight="1" x14ac:dyDescent="0.25">
      <c r="A18" s="1367"/>
      <c r="B18" s="1368"/>
      <c r="C18" s="268" t="s">
        <v>495</v>
      </c>
      <c r="D18" s="1367"/>
      <c r="E18" s="1367"/>
      <c r="F18" s="1367"/>
      <c r="G18" s="1367"/>
      <c r="H18" s="1367"/>
      <c r="I18" s="1367"/>
      <c r="J18" s="1367"/>
      <c r="K18" s="1367"/>
      <c r="L18" s="1367"/>
      <c r="M18" s="1367"/>
      <c r="N18" s="1367"/>
      <c r="O18" s="1367"/>
      <c r="P18" s="1367"/>
      <c r="Q18" s="1367"/>
      <c r="R18" s="1367"/>
      <c r="S18" s="1367"/>
      <c r="T18" s="1367"/>
      <c r="U18" s="1367"/>
      <c r="V18" s="1367"/>
      <c r="W18" s="1367"/>
      <c r="X18" s="1367"/>
      <c r="Y18" s="1367"/>
      <c r="Z18" s="1367"/>
      <c r="AA18" s="1367"/>
      <c r="AB18" s="1367"/>
      <c r="AC18" s="1367"/>
      <c r="AD18" s="1367"/>
      <c r="AE18" s="1367"/>
      <c r="AF18" s="1367"/>
      <c r="AG18" s="1367"/>
      <c r="AH18" s="1367"/>
      <c r="AI18" s="1367"/>
      <c r="AJ18" s="1367"/>
      <c r="AK18" s="1367"/>
      <c r="AL18" s="1367"/>
      <c r="AM18" s="1367"/>
      <c r="AN18" s="1367"/>
      <c r="AO18" s="1367"/>
      <c r="AP18" s="1367"/>
      <c r="AQ18" s="1367"/>
    </row>
    <row r="19" spans="1:43" ht="18" customHeight="1" x14ac:dyDescent="0.25">
      <c r="A19" s="1367"/>
      <c r="B19" s="1368"/>
      <c r="C19" s="268" t="s">
        <v>496</v>
      </c>
      <c r="D19" s="1367"/>
      <c r="E19" s="1367"/>
      <c r="F19" s="1367"/>
      <c r="G19" s="1367"/>
      <c r="H19" s="1367"/>
      <c r="I19" s="1367"/>
      <c r="J19" s="1367"/>
      <c r="K19" s="1367"/>
      <c r="L19" s="1367"/>
      <c r="M19" s="1367"/>
      <c r="N19" s="1367"/>
      <c r="O19" s="1367"/>
      <c r="P19" s="1367"/>
      <c r="Q19" s="1367"/>
      <c r="R19" s="1367"/>
      <c r="S19" s="1367"/>
      <c r="T19" s="1367"/>
      <c r="U19" s="1367"/>
      <c r="V19" s="1367"/>
      <c r="W19" s="1367"/>
      <c r="X19" s="1367"/>
      <c r="Y19" s="1367"/>
      <c r="Z19" s="1367"/>
      <c r="AA19" s="1367"/>
      <c r="AB19" s="1367"/>
      <c r="AC19" s="1367"/>
      <c r="AD19" s="1367"/>
      <c r="AE19" s="1367"/>
      <c r="AF19" s="1367"/>
      <c r="AG19" s="1367"/>
      <c r="AH19" s="1367"/>
      <c r="AI19" s="1367"/>
      <c r="AJ19" s="1367"/>
      <c r="AK19" s="1367"/>
      <c r="AL19" s="1367"/>
      <c r="AM19" s="1367"/>
      <c r="AN19" s="1367"/>
      <c r="AO19" s="1367"/>
      <c r="AP19" s="1367"/>
      <c r="AQ19" s="1367"/>
    </row>
    <row r="20" spans="1:43" ht="12.75" customHeight="1" x14ac:dyDescent="0.25">
      <c r="A20" s="1367"/>
      <c r="B20" s="1368" t="s">
        <v>497</v>
      </c>
      <c r="C20" s="268" t="s">
        <v>498</v>
      </c>
      <c r="D20" s="1367"/>
      <c r="E20" s="1367"/>
      <c r="F20" s="1367"/>
      <c r="G20" s="1367"/>
      <c r="H20" s="1367"/>
      <c r="I20" s="1367"/>
      <c r="J20" s="1367"/>
      <c r="K20" s="1367"/>
      <c r="L20" s="1367"/>
      <c r="M20" s="1367"/>
      <c r="N20" s="1367"/>
      <c r="O20" s="1367"/>
      <c r="P20" s="1367"/>
      <c r="Q20" s="1367"/>
      <c r="R20" s="1367"/>
      <c r="S20" s="1367"/>
      <c r="T20" s="1367"/>
      <c r="U20" s="1367"/>
      <c r="V20" s="1367"/>
      <c r="W20" s="1367"/>
      <c r="X20" s="1367"/>
      <c r="Y20" s="1367"/>
      <c r="Z20" s="1367"/>
      <c r="AA20" s="1367"/>
      <c r="AB20" s="1367"/>
      <c r="AC20" s="1367"/>
      <c r="AD20" s="1367"/>
      <c r="AE20" s="1367"/>
      <c r="AF20" s="1367"/>
      <c r="AG20" s="1367"/>
      <c r="AH20" s="1367"/>
      <c r="AI20" s="1367"/>
      <c r="AJ20" s="1367"/>
      <c r="AK20" s="1367"/>
      <c r="AL20" s="1367"/>
      <c r="AM20" s="1367"/>
      <c r="AN20" s="1367"/>
      <c r="AO20" s="1367"/>
      <c r="AP20" s="1367"/>
      <c r="AQ20" s="1367"/>
    </row>
    <row r="21" spans="1:43" ht="19.5" customHeight="1" x14ac:dyDescent="0.25">
      <c r="A21" s="1367"/>
      <c r="B21" s="1368"/>
      <c r="C21" s="268" t="s">
        <v>499</v>
      </c>
      <c r="D21" s="1367"/>
      <c r="E21" s="1367"/>
      <c r="F21" s="1367"/>
      <c r="G21" s="1367"/>
      <c r="H21" s="1367"/>
      <c r="I21" s="1367"/>
      <c r="J21" s="1367"/>
      <c r="K21" s="1367"/>
      <c r="L21" s="1367"/>
      <c r="M21" s="1367"/>
      <c r="N21" s="1367"/>
      <c r="O21" s="1367"/>
      <c r="P21" s="1367"/>
      <c r="Q21" s="1367"/>
      <c r="R21" s="1367"/>
      <c r="S21" s="1367"/>
      <c r="T21" s="1367"/>
      <c r="U21" s="1367"/>
      <c r="V21" s="1367"/>
      <c r="W21" s="1367"/>
      <c r="X21" s="1367"/>
      <c r="Y21" s="1367"/>
      <c r="Z21" s="1367"/>
      <c r="AA21" s="1367"/>
      <c r="AB21" s="1367"/>
      <c r="AC21" s="1367"/>
      <c r="AD21" s="1367"/>
      <c r="AE21" s="1367"/>
      <c r="AF21" s="1367"/>
      <c r="AG21" s="1367"/>
      <c r="AH21" s="1367"/>
      <c r="AI21" s="1367"/>
      <c r="AJ21" s="1367"/>
      <c r="AK21" s="1367"/>
      <c r="AL21" s="1367"/>
      <c r="AM21" s="1367"/>
      <c r="AN21" s="1367"/>
      <c r="AO21" s="1367"/>
      <c r="AP21" s="1367"/>
      <c r="AQ21" s="1367"/>
    </row>
    <row r="22" spans="1:43" ht="16.5" customHeight="1" x14ac:dyDescent="0.25">
      <c r="A22" s="271" t="s">
        <v>500</v>
      </c>
      <c r="B22" s="268" t="s">
        <v>501</v>
      </c>
      <c r="C22" s="268"/>
      <c r="D22" s="271"/>
      <c r="E22" s="271"/>
      <c r="F22" s="271"/>
      <c r="G22" s="271"/>
      <c r="H22" s="271"/>
      <c r="I22" s="271"/>
      <c r="J22" s="300"/>
      <c r="K22" s="248"/>
      <c r="L22" s="248"/>
      <c r="M22" s="248"/>
      <c r="N22" s="248"/>
      <c r="O22" s="248"/>
      <c r="P22" s="248"/>
      <c r="Q22" s="248"/>
      <c r="R22" s="248"/>
      <c r="S22" s="248"/>
      <c r="T22" s="248"/>
      <c r="U22" s="248"/>
      <c r="V22" s="248"/>
      <c r="W22" s="248"/>
      <c r="X22" s="248"/>
      <c r="Y22" s="248"/>
      <c r="Z22" s="248"/>
      <c r="AA22" s="248"/>
      <c r="AB22" s="248"/>
      <c r="AC22" s="248"/>
      <c r="AD22" s="248"/>
      <c r="AE22" s="248"/>
      <c r="AF22" s="248"/>
      <c r="AG22" s="248"/>
      <c r="AH22" s="248"/>
      <c r="AI22" s="248"/>
      <c r="AJ22" s="248"/>
      <c r="AK22" s="248"/>
      <c r="AL22" s="248"/>
      <c r="AM22" s="248"/>
      <c r="AN22" s="248"/>
      <c r="AO22" s="248"/>
      <c r="AP22" s="248"/>
      <c r="AQ22" s="248"/>
    </row>
    <row r="23" spans="1:43" ht="18" customHeight="1" x14ac:dyDescent="0.25">
      <c r="A23" s="1367"/>
      <c r="B23" s="1368" t="s">
        <v>502</v>
      </c>
      <c r="C23" s="268" t="s">
        <v>503</v>
      </c>
      <c r="D23" s="1367"/>
      <c r="E23" s="1367"/>
      <c r="F23" s="1367"/>
      <c r="G23" s="1367"/>
      <c r="H23" s="1367"/>
      <c r="I23" s="1367"/>
      <c r="J23" s="1367"/>
      <c r="K23" s="1367"/>
      <c r="L23" s="1367"/>
      <c r="M23" s="1367"/>
      <c r="N23" s="1367"/>
      <c r="O23" s="1367"/>
      <c r="P23" s="1367"/>
      <c r="Q23" s="1367"/>
      <c r="R23" s="1367"/>
      <c r="S23" s="1367"/>
      <c r="T23" s="1367"/>
      <c r="U23" s="1367"/>
      <c r="V23" s="1367"/>
      <c r="W23" s="1367"/>
      <c r="X23" s="1367"/>
      <c r="Y23" s="1367"/>
      <c r="Z23" s="1367"/>
      <c r="AA23" s="1367"/>
      <c r="AB23" s="1367"/>
      <c r="AC23" s="1367"/>
      <c r="AD23" s="1367"/>
      <c r="AE23" s="1367"/>
      <c r="AF23" s="1367"/>
      <c r="AG23" s="1367"/>
      <c r="AH23" s="1367"/>
      <c r="AI23" s="1367"/>
      <c r="AJ23" s="1367"/>
      <c r="AK23" s="1367"/>
      <c r="AL23" s="1367"/>
      <c r="AM23" s="1367"/>
      <c r="AN23" s="1367"/>
      <c r="AO23" s="1367"/>
      <c r="AP23" s="1367"/>
      <c r="AQ23" s="1367"/>
    </row>
    <row r="24" spans="1:43" ht="14.25" customHeight="1" x14ac:dyDescent="0.25">
      <c r="A24" s="1367"/>
      <c r="B24" s="1368"/>
      <c r="C24" s="268" t="s">
        <v>504</v>
      </c>
      <c r="D24" s="1367"/>
      <c r="E24" s="1367"/>
      <c r="F24" s="1367"/>
      <c r="G24" s="1367"/>
      <c r="H24" s="1367"/>
      <c r="I24" s="1367"/>
      <c r="J24" s="1367"/>
      <c r="K24" s="1367"/>
      <c r="L24" s="1367"/>
      <c r="M24" s="1367"/>
      <c r="N24" s="1367"/>
      <c r="O24" s="1367"/>
      <c r="P24" s="1367"/>
      <c r="Q24" s="1367"/>
      <c r="R24" s="1367"/>
      <c r="S24" s="1367"/>
      <c r="T24" s="1367"/>
      <c r="U24" s="1367"/>
      <c r="V24" s="1367"/>
      <c r="W24" s="1367"/>
      <c r="X24" s="1367"/>
      <c r="Y24" s="1367"/>
      <c r="Z24" s="1367"/>
      <c r="AA24" s="1367"/>
      <c r="AB24" s="1367"/>
      <c r="AC24" s="1367"/>
      <c r="AD24" s="1367"/>
      <c r="AE24" s="1367"/>
      <c r="AF24" s="1367"/>
      <c r="AG24" s="1367"/>
      <c r="AH24" s="1367"/>
      <c r="AI24" s="1367"/>
      <c r="AJ24" s="1367"/>
      <c r="AK24" s="1367"/>
      <c r="AL24" s="1367"/>
      <c r="AM24" s="1367"/>
      <c r="AN24" s="1367"/>
      <c r="AO24" s="1367"/>
      <c r="AP24" s="1367"/>
      <c r="AQ24" s="1367"/>
    </row>
    <row r="25" spans="1:43" ht="18" customHeight="1" x14ac:dyDescent="0.25">
      <c r="A25" s="1367"/>
      <c r="B25" s="1368"/>
      <c r="C25" s="268" t="s">
        <v>505</v>
      </c>
      <c r="D25" s="1367"/>
      <c r="E25" s="1367"/>
      <c r="F25" s="1367"/>
      <c r="G25" s="1367"/>
      <c r="H25" s="1367"/>
      <c r="I25" s="1367"/>
      <c r="J25" s="1367"/>
      <c r="K25" s="1367"/>
      <c r="L25" s="1367"/>
      <c r="M25" s="1367"/>
      <c r="N25" s="1367"/>
      <c r="O25" s="1367"/>
      <c r="P25" s="1367"/>
      <c r="Q25" s="1367"/>
      <c r="R25" s="1367"/>
      <c r="S25" s="1367"/>
      <c r="T25" s="1367"/>
      <c r="U25" s="1367"/>
      <c r="V25" s="1367"/>
      <c r="W25" s="1367"/>
      <c r="X25" s="1367"/>
      <c r="Y25" s="1367"/>
      <c r="Z25" s="1367"/>
      <c r="AA25" s="1367"/>
      <c r="AB25" s="1367"/>
      <c r="AC25" s="1367"/>
      <c r="AD25" s="1367"/>
      <c r="AE25" s="1367"/>
      <c r="AF25" s="1367"/>
      <c r="AG25" s="1367"/>
      <c r="AH25" s="1367"/>
      <c r="AI25" s="1367"/>
      <c r="AJ25" s="1367"/>
      <c r="AK25" s="1367"/>
      <c r="AL25" s="1367"/>
      <c r="AM25" s="1367"/>
      <c r="AN25" s="1367"/>
      <c r="AO25" s="1367"/>
      <c r="AP25" s="1367"/>
      <c r="AQ25" s="1367"/>
    </row>
    <row r="26" spans="1:43" ht="27.75" customHeight="1" x14ac:dyDescent="0.25">
      <c r="A26" s="1367"/>
      <c r="B26" s="1368" t="s">
        <v>506</v>
      </c>
      <c r="C26" s="268" t="s">
        <v>507</v>
      </c>
      <c r="D26" s="1367"/>
      <c r="E26" s="1367"/>
      <c r="F26" s="1367"/>
      <c r="G26" s="1367"/>
      <c r="H26" s="1367"/>
      <c r="I26" s="1367"/>
      <c r="J26" s="1367"/>
      <c r="K26" s="1367"/>
      <c r="L26" s="1367"/>
      <c r="M26" s="1367"/>
      <c r="N26" s="1367"/>
      <c r="O26" s="1367"/>
      <c r="P26" s="1367"/>
      <c r="Q26" s="1367"/>
      <c r="R26" s="1367"/>
      <c r="S26" s="1367"/>
      <c r="T26" s="1367"/>
      <c r="U26" s="1367"/>
      <c r="V26" s="1367"/>
      <c r="W26" s="1367"/>
      <c r="X26" s="1367"/>
      <c r="Y26" s="1367"/>
      <c r="Z26" s="1367"/>
      <c r="AA26" s="1367"/>
      <c r="AB26" s="1367"/>
      <c r="AC26" s="1367"/>
      <c r="AD26" s="1367"/>
      <c r="AE26" s="1367"/>
      <c r="AF26" s="1367"/>
      <c r="AG26" s="1367"/>
      <c r="AH26" s="1367"/>
      <c r="AI26" s="1367"/>
      <c r="AJ26" s="1367"/>
      <c r="AK26" s="1367"/>
      <c r="AL26" s="1367"/>
      <c r="AM26" s="1367"/>
      <c r="AN26" s="1367"/>
      <c r="AO26" s="1367"/>
      <c r="AP26" s="1367"/>
      <c r="AQ26" s="1367"/>
    </row>
    <row r="27" spans="1:43" ht="28.5" customHeight="1" x14ac:dyDescent="0.25">
      <c r="A27" s="1367"/>
      <c r="B27" s="1368"/>
      <c r="C27" s="268" t="s">
        <v>508</v>
      </c>
      <c r="D27" s="1367"/>
      <c r="E27" s="1367"/>
      <c r="F27" s="1367"/>
      <c r="G27" s="1367"/>
      <c r="H27" s="1367"/>
      <c r="I27" s="1367"/>
      <c r="J27" s="1367"/>
      <c r="K27" s="1367"/>
      <c r="L27" s="1367"/>
      <c r="M27" s="1367"/>
      <c r="N27" s="1367"/>
      <c r="O27" s="1367"/>
      <c r="P27" s="1367"/>
      <c r="Q27" s="1367"/>
      <c r="R27" s="1367"/>
      <c r="S27" s="1367"/>
      <c r="T27" s="1367"/>
      <c r="U27" s="1367"/>
      <c r="V27" s="1367"/>
      <c r="W27" s="1367"/>
      <c r="X27" s="1367"/>
      <c r="Y27" s="1367"/>
      <c r="Z27" s="1367"/>
      <c r="AA27" s="1367"/>
      <c r="AB27" s="1367"/>
      <c r="AC27" s="1367"/>
      <c r="AD27" s="1367"/>
      <c r="AE27" s="1367"/>
      <c r="AF27" s="1367"/>
      <c r="AG27" s="1367"/>
      <c r="AH27" s="1367"/>
      <c r="AI27" s="1367"/>
      <c r="AJ27" s="1367"/>
      <c r="AK27" s="1367"/>
      <c r="AL27" s="1367"/>
      <c r="AM27" s="1367"/>
      <c r="AN27" s="1367"/>
      <c r="AO27" s="1367"/>
      <c r="AP27" s="1367"/>
      <c r="AQ27" s="1367"/>
    </row>
    <row r="28" spans="1:43" ht="27" customHeight="1" x14ac:dyDescent="0.25">
      <c r="A28" s="1367"/>
      <c r="B28" s="1368" t="s">
        <v>509</v>
      </c>
      <c r="C28" s="360" t="s">
        <v>857</v>
      </c>
      <c r="D28" s="1367"/>
      <c r="E28" s="1367"/>
      <c r="F28" s="1367"/>
      <c r="G28" s="1367"/>
      <c r="H28" s="1367"/>
      <c r="I28" s="1367"/>
      <c r="J28" s="1367"/>
      <c r="K28" s="1367"/>
      <c r="L28" s="1367"/>
      <c r="M28" s="1367"/>
      <c r="N28" s="1367"/>
      <c r="O28" s="1367"/>
      <c r="P28" s="1367"/>
      <c r="Q28" s="1367"/>
      <c r="R28" s="1367"/>
      <c r="S28" s="1367"/>
      <c r="T28" s="1367"/>
      <c r="U28" s="1367"/>
      <c r="V28" s="1367"/>
      <c r="W28" s="1367"/>
      <c r="X28" s="1367"/>
      <c r="Y28" s="1367"/>
      <c r="Z28" s="1367"/>
      <c r="AA28" s="1367"/>
      <c r="AB28" s="1367"/>
      <c r="AC28" s="1367"/>
      <c r="AD28" s="1367"/>
      <c r="AE28" s="1367"/>
      <c r="AF28" s="1367"/>
      <c r="AG28" s="1367"/>
      <c r="AH28" s="1367"/>
      <c r="AI28" s="1367"/>
      <c r="AJ28" s="1367"/>
      <c r="AK28" s="1367"/>
      <c r="AL28" s="1367"/>
      <c r="AM28" s="1367"/>
      <c r="AN28" s="1367"/>
      <c r="AO28" s="1367"/>
      <c r="AP28" s="1367"/>
      <c r="AQ28" s="1367"/>
    </row>
    <row r="29" spans="1:43" ht="19.5" customHeight="1" x14ac:dyDescent="0.25">
      <c r="A29" s="1367"/>
      <c r="B29" s="1368"/>
      <c r="C29" s="268" t="s">
        <v>510</v>
      </c>
      <c r="D29" s="1367"/>
      <c r="E29" s="1367"/>
      <c r="F29" s="1367"/>
      <c r="G29" s="1367"/>
      <c r="H29" s="1367"/>
      <c r="I29" s="1367"/>
      <c r="J29" s="1367"/>
      <c r="K29" s="1367"/>
      <c r="L29" s="1367"/>
      <c r="M29" s="1367"/>
      <c r="N29" s="1367"/>
      <c r="O29" s="1367"/>
      <c r="P29" s="1367"/>
      <c r="Q29" s="1367"/>
      <c r="R29" s="1367"/>
      <c r="S29" s="1367"/>
      <c r="T29" s="1367"/>
      <c r="U29" s="1367"/>
      <c r="V29" s="1367"/>
      <c r="W29" s="1367"/>
      <c r="X29" s="1367"/>
      <c r="Y29" s="1367"/>
      <c r="Z29" s="1367"/>
      <c r="AA29" s="1367"/>
      <c r="AB29" s="1367"/>
      <c r="AC29" s="1367"/>
      <c r="AD29" s="1367"/>
      <c r="AE29" s="1367"/>
      <c r="AF29" s="1367"/>
      <c r="AG29" s="1367"/>
      <c r="AH29" s="1367"/>
      <c r="AI29" s="1367"/>
      <c r="AJ29" s="1367"/>
      <c r="AK29" s="1367"/>
      <c r="AL29" s="1367"/>
      <c r="AM29" s="1367"/>
      <c r="AN29" s="1367"/>
      <c r="AO29" s="1367"/>
      <c r="AP29" s="1367"/>
      <c r="AQ29" s="1367"/>
    </row>
    <row r="30" spans="1:43" ht="24" customHeight="1" x14ac:dyDescent="0.25">
      <c r="A30" s="1367"/>
      <c r="B30" s="1368" t="s">
        <v>511</v>
      </c>
      <c r="C30" s="268" t="s">
        <v>512</v>
      </c>
      <c r="D30" s="1367"/>
      <c r="E30" s="1367"/>
      <c r="F30" s="1367"/>
      <c r="G30" s="1367"/>
      <c r="H30" s="1367"/>
      <c r="I30" s="1367"/>
      <c r="J30" s="1367"/>
      <c r="K30" s="1367"/>
      <c r="L30" s="1367"/>
      <c r="M30" s="1367"/>
      <c r="N30" s="1367"/>
      <c r="O30" s="1367"/>
      <c r="P30" s="1367"/>
      <c r="Q30" s="1367"/>
      <c r="R30" s="1367"/>
      <c r="S30" s="1367"/>
      <c r="T30" s="1367"/>
      <c r="U30" s="1367"/>
      <c r="V30" s="1367"/>
      <c r="W30" s="1367"/>
      <c r="X30" s="1367"/>
      <c r="Y30" s="1367"/>
      <c r="Z30" s="1367"/>
      <c r="AA30" s="1367"/>
      <c r="AB30" s="1367"/>
      <c r="AC30" s="1367"/>
      <c r="AD30" s="1367"/>
      <c r="AE30" s="1367"/>
      <c r="AF30" s="1367"/>
      <c r="AG30" s="1367"/>
      <c r="AH30" s="1367"/>
      <c r="AI30" s="1367"/>
      <c r="AJ30" s="1367"/>
      <c r="AK30" s="1367"/>
      <c r="AL30" s="1367"/>
      <c r="AM30" s="1367"/>
      <c r="AN30" s="1367"/>
      <c r="AO30" s="1367"/>
      <c r="AP30" s="1367"/>
      <c r="AQ30" s="1367"/>
    </row>
    <row r="31" spans="1:43" ht="21" customHeight="1" x14ac:dyDescent="0.25">
      <c r="A31" s="1367"/>
      <c r="B31" s="1368"/>
      <c r="C31" s="268" t="s">
        <v>513</v>
      </c>
      <c r="D31" s="1367"/>
      <c r="E31" s="1367"/>
      <c r="F31" s="1367"/>
      <c r="G31" s="1367"/>
      <c r="H31" s="1367"/>
      <c r="I31" s="1367"/>
      <c r="J31" s="1367"/>
      <c r="K31" s="1367"/>
      <c r="L31" s="1367"/>
      <c r="M31" s="1367"/>
      <c r="N31" s="1367"/>
      <c r="O31" s="1367"/>
      <c r="P31" s="1367"/>
      <c r="Q31" s="1367"/>
      <c r="R31" s="1367"/>
      <c r="S31" s="1367"/>
      <c r="T31" s="1367"/>
      <c r="U31" s="1367"/>
      <c r="V31" s="1367"/>
      <c r="W31" s="1367"/>
      <c r="X31" s="1367"/>
      <c r="Y31" s="1367"/>
      <c r="Z31" s="1367"/>
      <c r="AA31" s="1367"/>
      <c r="AB31" s="1367"/>
      <c r="AC31" s="1367"/>
      <c r="AD31" s="1367"/>
      <c r="AE31" s="1367"/>
      <c r="AF31" s="1367"/>
      <c r="AG31" s="1367"/>
      <c r="AH31" s="1367"/>
      <c r="AI31" s="1367"/>
      <c r="AJ31" s="1367"/>
      <c r="AK31" s="1367"/>
      <c r="AL31" s="1367"/>
      <c r="AM31" s="1367"/>
      <c r="AN31" s="1367"/>
      <c r="AO31" s="1367"/>
      <c r="AP31" s="1367"/>
      <c r="AQ31" s="1367"/>
    </row>
    <row r="32" spans="1:43" ht="19.5" customHeight="1" x14ac:dyDescent="0.25">
      <c r="A32" s="1367"/>
      <c r="B32" s="1368" t="s">
        <v>514</v>
      </c>
      <c r="C32" s="268" t="s">
        <v>515</v>
      </c>
      <c r="D32" s="1367"/>
      <c r="E32" s="1367"/>
      <c r="F32" s="1367"/>
      <c r="G32" s="1367"/>
      <c r="H32" s="1367"/>
      <c r="I32" s="1367"/>
      <c r="J32" s="1367"/>
      <c r="K32" s="1367"/>
      <c r="L32" s="1367"/>
      <c r="M32" s="1367"/>
      <c r="N32" s="1367"/>
      <c r="O32" s="1367"/>
      <c r="P32" s="1367"/>
      <c r="Q32" s="1367"/>
      <c r="R32" s="1367"/>
      <c r="S32" s="1367"/>
      <c r="T32" s="1367"/>
      <c r="U32" s="1367"/>
      <c r="V32" s="1367"/>
      <c r="W32" s="1367"/>
      <c r="X32" s="1367"/>
      <c r="Y32" s="1367"/>
      <c r="Z32" s="1367"/>
      <c r="AA32" s="1367"/>
      <c r="AB32" s="1367"/>
      <c r="AC32" s="1367"/>
      <c r="AD32" s="1367"/>
      <c r="AE32" s="1367"/>
      <c r="AF32" s="1367"/>
      <c r="AG32" s="1367"/>
      <c r="AH32" s="1367"/>
      <c r="AI32" s="1367"/>
      <c r="AJ32" s="1367"/>
      <c r="AK32" s="1367"/>
      <c r="AL32" s="1367"/>
      <c r="AM32" s="1367"/>
      <c r="AN32" s="1367"/>
      <c r="AO32" s="1367"/>
      <c r="AP32" s="1367"/>
      <c r="AQ32" s="1367"/>
    </row>
    <row r="33" spans="1:43" ht="17.25" customHeight="1" x14ac:dyDescent="0.25">
      <c r="A33" s="1367"/>
      <c r="B33" s="1368"/>
      <c r="C33" s="268" t="s">
        <v>516</v>
      </c>
      <c r="D33" s="1367"/>
      <c r="E33" s="1367"/>
      <c r="F33" s="1367"/>
      <c r="G33" s="1367"/>
      <c r="H33" s="1367"/>
      <c r="I33" s="1367"/>
      <c r="J33" s="1367"/>
      <c r="K33" s="1367"/>
      <c r="L33" s="1367"/>
      <c r="M33" s="1367"/>
      <c r="N33" s="1367"/>
      <c r="O33" s="1367"/>
      <c r="P33" s="1367"/>
      <c r="Q33" s="1367"/>
      <c r="R33" s="1367"/>
      <c r="S33" s="1367"/>
      <c r="T33" s="1367"/>
      <c r="U33" s="1367"/>
      <c r="V33" s="1367"/>
      <c r="W33" s="1367"/>
      <c r="X33" s="1367"/>
      <c r="Y33" s="1367"/>
      <c r="Z33" s="1367"/>
      <c r="AA33" s="1367"/>
      <c r="AB33" s="1367"/>
      <c r="AC33" s="1367"/>
      <c r="AD33" s="1367"/>
      <c r="AE33" s="1367"/>
      <c r="AF33" s="1367"/>
      <c r="AG33" s="1367"/>
      <c r="AH33" s="1367"/>
      <c r="AI33" s="1367"/>
      <c r="AJ33" s="1367"/>
      <c r="AK33" s="1367"/>
      <c r="AL33" s="1367"/>
      <c r="AM33" s="1367"/>
      <c r="AN33" s="1367"/>
      <c r="AO33" s="1367"/>
      <c r="AP33" s="1367"/>
      <c r="AQ33" s="1367"/>
    </row>
    <row r="34" spans="1:43" ht="27.75" customHeight="1" x14ac:dyDescent="0.25">
      <c r="A34" s="1367"/>
      <c r="B34" s="1368" t="s">
        <v>517</v>
      </c>
      <c r="C34" s="268" t="s">
        <v>518</v>
      </c>
      <c r="D34" s="1367"/>
      <c r="E34" s="1367"/>
      <c r="F34" s="1367"/>
      <c r="G34" s="1367"/>
      <c r="H34" s="1367"/>
      <c r="I34" s="1367"/>
      <c r="J34" s="1367"/>
      <c r="K34" s="1367"/>
      <c r="L34" s="1367"/>
      <c r="M34" s="1367"/>
      <c r="N34" s="1367"/>
      <c r="O34" s="1367"/>
      <c r="P34" s="1367"/>
      <c r="Q34" s="1367"/>
      <c r="R34" s="1367"/>
      <c r="S34" s="1367"/>
      <c r="T34" s="1367"/>
      <c r="U34" s="1367"/>
      <c r="V34" s="1367"/>
      <c r="W34" s="1367"/>
      <c r="X34" s="1367"/>
      <c r="Y34" s="1367"/>
      <c r="Z34" s="1367"/>
      <c r="AA34" s="1367"/>
      <c r="AB34" s="1367"/>
      <c r="AC34" s="1367"/>
      <c r="AD34" s="1367"/>
      <c r="AE34" s="1367"/>
      <c r="AF34" s="1367"/>
      <c r="AG34" s="1367"/>
      <c r="AH34" s="1367"/>
      <c r="AI34" s="1367"/>
      <c r="AJ34" s="1367"/>
      <c r="AK34" s="1367"/>
      <c r="AL34" s="1367"/>
      <c r="AM34" s="1367"/>
      <c r="AN34" s="1367"/>
      <c r="AO34" s="1367"/>
      <c r="AP34" s="1367"/>
      <c r="AQ34" s="1367"/>
    </row>
    <row r="35" spans="1:43" ht="72.75" hidden="1" customHeight="1" x14ac:dyDescent="0.25">
      <c r="A35" s="1367"/>
      <c r="B35" s="1368"/>
      <c r="C35" s="268" t="s">
        <v>519</v>
      </c>
      <c r="D35" s="1367"/>
      <c r="E35" s="1367"/>
      <c r="F35" s="1367"/>
      <c r="G35" s="1367"/>
      <c r="H35" s="1367"/>
      <c r="I35" s="1367"/>
      <c r="J35" s="1367"/>
      <c r="K35" s="1367"/>
      <c r="L35" s="1367"/>
      <c r="M35" s="1367"/>
      <c r="N35" s="1367"/>
      <c r="O35" s="1367"/>
      <c r="P35" s="1367"/>
      <c r="Q35" s="1367"/>
      <c r="R35" s="1367"/>
      <c r="S35" s="1367"/>
      <c r="T35" s="1367"/>
      <c r="U35" s="1367"/>
      <c r="V35" s="1367"/>
      <c r="W35" s="1367"/>
      <c r="X35" s="1367"/>
      <c r="Y35" s="1367"/>
      <c r="Z35" s="1367"/>
      <c r="AA35" s="1367"/>
      <c r="AB35" s="1367"/>
      <c r="AC35" s="1367"/>
      <c r="AD35" s="1367"/>
      <c r="AE35" s="1367"/>
      <c r="AF35" s="1367"/>
      <c r="AG35" s="1367"/>
      <c r="AH35" s="1367"/>
      <c r="AI35" s="1367"/>
      <c r="AJ35" s="1367"/>
      <c r="AK35" s="1367"/>
      <c r="AL35" s="1367"/>
      <c r="AM35" s="1367"/>
      <c r="AN35" s="1367"/>
      <c r="AO35" s="1367"/>
      <c r="AP35" s="1367"/>
      <c r="AQ35" s="1367"/>
    </row>
    <row r="36" spans="1:43" ht="15" customHeight="1" x14ac:dyDescent="0.25">
      <c r="A36" s="1367"/>
      <c r="B36" s="1368"/>
      <c r="C36" s="268"/>
      <c r="D36" s="1367"/>
      <c r="E36" s="1367"/>
      <c r="F36" s="1367"/>
      <c r="G36" s="1367"/>
      <c r="H36" s="1367"/>
      <c r="I36" s="1367"/>
      <c r="J36" s="1367"/>
      <c r="K36" s="1367"/>
      <c r="L36" s="1367"/>
      <c r="M36" s="1367"/>
      <c r="N36" s="1367"/>
      <c r="O36" s="1367"/>
      <c r="P36" s="1367"/>
      <c r="Q36" s="1367"/>
      <c r="R36" s="1367"/>
      <c r="S36" s="1367"/>
      <c r="T36" s="1367"/>
      <c r="U36" s="1367"/>
      <c r="V36" s="1367"/>
      <c r="W36" s="1367"/>
      <c r="X36" s="1367"/>
      <c r="Y36" s="1367"/>
      <c r="Z36" s="1367"/>
      <c r="AA36" s="1367"/>
      <c r="AB36" s="1367"/>
      <c r="AC36" s="1367"/>
      <c r="AD36" s="1367"/>
      <c r="AE36" s="1367"/>
      <c r="AF36" s="1367"/>
      <c r="AG36" s="1367"/>
      <c r="AH36" s="1367"/>
      <c r="AI36" s="1367"/>
      <c r="AJ36" s="1367"/>
      <c r="AK36" s="1367"/>
      <c r="AL36" s="1367"/>
      <c r="AM36" s="1367"/>
      <c r="AN36" s="1367"/>
      <c r="AO36" s="1367"/>
      <c r="AP36" s="1367"/>
      <c r="AQ36" s="1367"/>
    </row>
    <row r="37" spans="1:43" ht="22.5" customHeight="1" x14ac:dyDescent="0.25">
      <c r="A37" s="1367"/>
      <c r="B37" s="1368" t="s">
        <v>520</v>
      </c>
      <c r="C37" s="268" t="s">
        <v>521</v>
      </c>
      <c r="D37" s="1367"/>
      <c r="E37" s="1367"/>
      <c r="F37" s="1367"/>
      <c r="G37" s="1367"/>
      <c r="H37" s="1367"/>
      <c r="I37" s="1367"/>
      <c r="J37" s="1367"/>
      <c r="K37" s="1367"/>
      <c r="L37" s="1367"/>
      <c r="M37" s="1367"/>
      <c r="N37" s="1367"/>
      <c r="O37" s="1367"/>
      <c r="P37" s="1367"/>
      <c r="Q37" s="1367"/>
      <c r="R37" s="1367"/>
      <c r="S37" s="1367"/>
      <c r="T37" s="1367"/>
      <c r="U37" s="1367"/>
      <c r="V37" s="1367"/>
      <c r="W37" s="1367"/>
      <c r="X37" s="1367"/>
      <c r="Y37" s="1367"/>
      <c r="Z37" s="1367"/>
      <c r="AA37" s="1367"/>
      <c r="AB37" s="1367"/>
      <c r="AC37" s="1367"/>
      <c r="AD37" s="1367"/>
      <c r="AE37" s="1367"/>
      <c r="AF37" s="1367"/>
      <c r="AG37" s="1367"/>
      <c r="AH37" s="1367"/>
      <c r="AI37" s="1367"/>
      <c r="AJ37" s="1367"/>
      <c r="AK37" s="1367"/>
      <c r="AL37" s="1367"/>
      <c r="AM37" s="1367"/>
      <c r="AN37" s="1367"/>
      <c r="AO37" s="1367"/>
      <c r="AP37" s="1367"/>
      <c r="AQ37" s="1367"/>
    </row>
    <row r="38" spans="1:43" ht="45" customHeight="1" x14ac:dyDescent="0.25">
      <c r="A38" s="1367"/>
      <c r="B38" s="1368"/>
      <c r="C38" s="268" t="s">
        <v>522</v>
      </c>
      <c r="D38" s="1367"/>
      <c r="E38" s="1367"/>
      <c r="F38" s="1367"/>
      <c r="G38" s="1367"/>
      <c r="H38" s="1367"/>
      <c r="I38" s="1367"/>
      <c r="J38" s="1367"/>
      <c r="K38" s="1367"/>
      <c r="L38" s="1367"/>
      <c r="M38" s="1367"/>
      <c r="N38" s="1367"/>
      <c r="O38" s="1367"/>
      <c r="P38" s="1367"/>
      <c r="Q38" s="1367"/>
      <c r="R38" s="1367"/>
      <c r="S38" s="1367"/>
      <c r="T38" s="1367"/>
      <c r="U38" s="1367"/>
      <c r="V38" s="1367"/>
      <c r="W38" s="1367"/>
      <c r="X38" s="1367"/>
      <c r="Y38" s="1367"/>
      <c r="Z38" s="1367"/>
      <c r="AA38" s="1367"/>
      <c r="AB38" s="1367"/>
      <c r="AC38" s="1367"/>
      <c r="AD38" s="1367"/>
      <c r="AE38" s="1367"/>
      <c r="AF38" s="1367"/>
      <c r="AG38" s="1367"/>
      <c r="AH38" s="1367"/>
      <c r="AI38" s="1367"/>
      <c r="AJ38" s="1367"/>
      <c r="AK38" s="1367"/>
      <c r="AL38" s="1367"/>
      <c r="AM38" s="1367"/>
      <c r="AN38" s="1367"/>
      <c r="AO38" s="1367"/>
      <c r="AP38" s="1367"/>
      <c r="AQ38" s="1367"/>
    </row>
    <row r="39" spans="1:43" ht="48.75" customHeight="1" x14ac:dyDescent="0.25">
      <c r="A39" s="1367"/>
      <c r="B39" s="1368"/>
      <c r="C39" s="268" t="s">
        <v>523</v>
      </c>
      <c r="D39" s="1367"/>
      <c r="E39" s="1367"/>
      <c r="F39" s="1367"/>
      <c r="G39" s="1367"/>
      <c r="H39" s="1367"/>
      <c r="I39" s="1367"/>
      <c r="J39" s="1367"/>
      <c r="K39" s="1367"/>
      <c r="L39" s="1367"/>
      <c r="M39" s="1367"/>
      <c r="N39" s="1367"/>
      <c r="O39" s="1367"/>
      <c r="P39" s="1367"/>
      <c r="Q39" s="1367"/>
      <c r="R39" s="1367"/>
      <c r="S39" s="1367"/>
      <c r="T39" s="1367"/>
      <c r="U39" s="1367"/>
      <c r="V39" s="1367"/>
      <c r="W39" s="1367"/>
      <c r="X39" s="1367"/>
      <c r="Y39" s="1367"/>
      <c r="Z39" s="1367"/>
      <c r="AA39" s="1367"/>
      <c r="AB39" s="1367"/>
      <c r="AC39" s="1367"/>
      <c r="AD39" s="1367"/>
      <c r="AE39" s="1367"/>
      <c r="AF39" s="1367"/>
      <c r="AG39" s="1367"/>
      <c r="AH39" s="1367"/>
      <c r="AI39" s="1367"/>
      <c r="AJ39" s="1367"/>
      <c r="AK39" s="1367"/>
      <c r="AL39" s="1367"/>
      <c r="AM39" s="1367"/>
      <c r="AN39" s="1367"/>
      <c r="AO39" s="1367"/>
      <c r="AP39" s="1367"/>
      <c r="AQ39" s="1367"/>
    </row>
    <row r="40" spans="1:43" ht="18" customHeight="1" x14ac:dyDescent="0.25">
      <c r="A40" s="1367"/>
      <c r="B40" s="1368" t="s">
        <v>524</v>
      </c>
      <c r="C40" s="268" t="s">
        <v>525</v>
      </c>
      <c r="D40" s="1367"/>
      <c r="E40" s="1367"/>
      <c r="F40" s="1367"/>
      <c r="G40" s="1367"/>
      <c r="H40" s="1367"/>
      <c r="I40" s="1367"/>
      <c r="J40" s="1367"/>
      <c r="K40" s="1367"/>
      <c r="L40" s="1367"/>
      <c r="M40" s="1367"/>
      <c r="N40" s="1367"/>
      <c r="O40" s="1367"/>
      <c r="P40" s="1367"/>
      <c r="Q40" s="1367"/>
      <c r="R40" s="1367"/>
      <c r="S40" s="1367"/>
      <c r="T40" s="1367"/>
      <c r="U40" s="1367"/>
      <c r="V40" s="1367"/>
      <c r="W40" s="1367"/>
      <c r="X40" s="1367"/>
      <c r="Y40" s="1367"/>
      <c r="Z40" s="1367"/>
      <c r="AA40" s="1367"/>
      <c r="AB40" s="1367"/>
      <c r="AC40" s="1367"/>
      <c r="AD40" s="1367"/>
      <c r="AE40" s="1367"/>
      <c r="AF40" s="1367"/>
      <c r="AG40" s="1367"/>
      <c r="AH40" s="1367"/>
      <c r="AI40" s="1367"/>
      <c r="AJ40" s="1367"/>
      <c r="AK40" s="1367"/>
      <c r="AL40" s="1367"/>
      <c r="AM40" s="1367"/>
      <c r="AN40" s="1367"/>
      <c r="AO40" s="1367"/>
      <c r="AP40" s="1367"/>
      <c r="AQ40" s="1367"/>
    </row>
    <row r="41" spans="1:43" ht="36" customHeight="1" x14ac:dyDescent="0.25">
      <c r="A41" s="1367"/>
      <c r="B41" s="1368"/>
      <c r="C41" s="268" t="s">
        <v>526</v>
      </c>
      <c r="D41" s="1367"/>
      <c r="E41" s="1367"/>
      <c r="F41" s="1367"/>
      <c r="G41" s="1367"/>
      <c r="H41" s="1367"/>
      <c r="I41" s="1367"/>
      <c r="J41" s="1367"/>
      <c r="K41" s="1367"/>
      <c r="L41" s="1367"/>
      <c r="M41" s="1367"/>
      <c r="N41" s="1367"/>
      <c r="O41" s="1367"/>
      <c r="P41" s="1367"/>
      <c r="Q41" s="1367"/>
      <c r="R41" s="1367"/>
      <c r="S41" s="1367"/>
      <c r="T41" s="1367"/>
      <c r="U41" s="1367"/>
      <c r="V41" s="1367"/>
      <c r="W41" s="1367"/>
      <c r="X41" s="1367"/>
      <c r="Y41" s="1367"/>
      <c r="Z41" s="1367"/>
      <c r="AA41" s="1367"/>
      <c r="AB41" s="1367"/>
      <c r="AC41" s="1367"/>
      <c r="AD41" s="1367"/>
      <c r="AE41" s="1367"/>
      <c r="AF41" s="1367"/>
      <c r="AG41" s="1367"/>
      <c r="AH41" s="1367"/>
      <c r="AI41" s="1367"/>
      <c r="AJ41" s="1367"/>
      <c r="AK41" s="1367"/>
      <c r="AL41" s="1367"/>
      <c r="AM41" s="1367"/>
      <c r="AN41" s="1367"/>
      <c r="AO41" s="1367"/>
      <c r="AP41" s="1367"/>
      <c r="AQ41" s="1367"/>
    </row>
    <row r="42" spans="1:43" ht="30" customHeight="1" x14ac:dyDescent="0.25">
      <c r="A42" s="1367"/>
      <c r="B42" s="1368"/>
      <c r="C42" s="268" t="s">
        <v>527</v>
      </c>
      <c r="D42" s="1367"/>
      <c r="E42" s="1367"/>
      <c r="F42" s="1367"/>
      <c r="G42" s="1367"/>
      <c r="H42" s="1367"/>
      <c r="I42" s="1367"/>
      <c r="J42" s="1367"/>
      <c r="K42" s="1367"/>
      <c r="L42" s="1367"/>
      <c r="M42" s="1367"/>
      <c r="N42" s="1367"/>
      <c r="O42" s="1367"/>
      <c r="P42" s="1367"/>
      <c r="Q42" s="1367"/>
      <c r="R42" s="1367"/>
      <c r="S42" s="1367"/>
      <c r="T42" s="1367"/>
      <c r="U42" s="1367"/>
      <c r="V42" s="1367"/>
      <c r="W42" s="1367"/>
      <c r="X42" s="1367"/>
      <c r="Y42" s="1367"/>
      <c r="Z42" s="1367"/>
      <c r="AA42" s="1367"/>
      <c r="AB42" s="1367"/>
      <c r="AC42" s="1367"/>
      <c r="AD42" s="1367"/>
      <c r="AE42" s="1367"/>
      <c r="AF42" s="1367"/>
      <c r="AG42" s="1367"/>
      <c r="AH42" s="1367"/>
      <c r="AI42" s="1367"/>
      <c r="AJ42" s="1367"/>
      <c r="AK42" s="1367"/>
      <c r="AL42" s="1367"/>
      <c r="AM42" s="1367"/>
      <c r="AN42" s="1367"/>
      <c r="AO42" s="1367"/>
      <c r="AP42" s="1367"/>
      <c r="AQ42" s="1367"/>
    </row>
    <row r="43" spans="1:43" ht="17.25" customHeight="1" x14ac:dyDescent="0.25">
      <c r="A43" s="1367"/>
      <c r="B43" s="1368" t="s">
        <v>528</v>
      </c>
      <c r="C43" s="268" t="s">
        <v>529</v>
      </c>
      <c r="D43" s="1367"/>
      <c r="E43" s="1367"/>
      <c r="F43" s="1367"/>
      <c r="G43" s="1367"/>
      <c r="H43" s="1367"/>
      <c r="I43" s="1367"/>
      <c r="J43" s="1367"/>
      <c r="K43" s="1367"/>
      <c r="L43" s="1367"/>
      <c r="M43" s="1367"/>
      <c r="N43" s="1367"/>
      <c r="O43" s="1367"/>
      <c r="P43" s="1367"/>
      <c r="Q43" s="1367"/>
      <c r="R43" s="1367"/>
      <c r="S43" s="1367"/>
      <c r="T43" s="1367"/>
      <c r="U43" s="1367"/>
      <c r="V43" s="1367"/>
      <c r="W43" s="1367"/>
      <c r="X43" s="1367"/>
      <c r="Y43" s="1367"/>
      <c r="Z43" s="1367"/>
      <c r="AA43" s="1367"/>
      <c r="AB43" s="1367"/>
      <c r="AC43" s="1367"/>
      <c r="AD43" s="1367"/>
      <c r="AE43" s="1367"/>
      <c r="AF43" s="1367"/>
      <c r="AG43" s="1367"/>
      <c r="AH43" s="1367"/>
      <c r="AI43" s="1367"/>
      <c r="AJ43" s="1367"/>
      <c r="AK43" s="1367"/>
      <c r="AL43" s="1367"/>
      <c r="AM43" s="1367"/>
      <c r="AN43" s="1367"/>
      <c r="AO43" s="1367"/>
      <c r="AP43" s="1367"/>
      <c r="AQ43" s="1367"/>
    </row>
    <row r="44" spans="1:43" ht="18" customHeight="1" x14ac:dyDescent="0.25">
      <c r="A44" s="1367"/>
      <c r="B44" s="1368"/>
      <c r="C44" s="268" t="s">
        <v>530</v>
      </c>
      <c r="D44" s="1367"/>
      <c r="E44" s="1367"/>
      <c r="F44" s="1367"/>
      <c r="G44" s="1367"/>
      <c r="H44" s="1367"/>
      <c r="I44" s="1367"/>
      <c r="J44" s="1367"/>
      <c r="K44" s="1367"/>
      <c r="L44" s="1367"/>
      <c r="M44" s="1367"/>
      <c r="N44" s="1367"/>
      <c r="O44" s="1367"/>
      <c r="P44" s="1367"/>
      <c r="Q44" s="1367"/>
      <c r="R44" s="1367"/>
      <c r="S44" s="1367"/>
      <c r="T44" s="1367"/>
      <c r="U44" s="1367"/>
      <c r="V44" s="1367"/>
      <c r="W44" s="1367"/>
      <c r="X44" s="1367"/>
      <c r="Y44" s="1367"/>
      <c r="Z44" s="1367"/>
      <c r="AA44" s="1367"/>
      <c r="AB44" s="1367"/>
      <c r="AC44" s="1367"/>
      <c r="AD44" s="1367"/>
      <c r="AE44" s="1367"/>
      <c r="AF44" s="1367"/>
      <c r="AG44" s="1367"/>
      <c r="AH44" s="1367"/>
      <c r="AI44" s="1367"/>
      <c r="AJ44" s="1367"/>
      <c r="AK44" s="1367"/>
      <c r="AL44" s="1367"/>
      <c r="AM44" s="1367"/>
      <c r="AN44" s="1367"/>
      <c r="AO44" s="1367"/>
      <c r="AP44" s="1367"/>
      <c r="AQ44" s="1367"/>
    </row>
    <row r="45" spans="1:43" x14ac:dyDescent="0.25">
      <c r="A45" s="271" t="s">
        <v>531</v>
      </c>
      <c r="B45" s="268" t="s">
        <v>532</v>
      </c>
      <c r="C45" s="268"/>
      <c r="D45" s="271"/>
      <c r="E45" s="271"/>
      <c r="F45" s="271"/>
      <c r="G45" s="271"/>
      <c r="H45" s="271"/>
      <c r="I45" s="271"/>
      <c r="J45" s="300"/>
      <c r="K45" s="248"/>
      <c r="L45" s="248"/>
      <c r="M45" s="248"/>
      <c r="N45" s="248"/>
      <c r="O45" s="248"/>
      <c r="P45" s="248"/>
      <c r="Q45" s="248"/>
      <c r="R45" s="248"/>
      <c r="S45" s="248"/>
      <c r="T45" s="248"/>
      <c r="U45" s="248"/>
      <c r="V45" s="248"/>
      <c r="W45" s="248"/>
      <c r="X45" s="248"/>
      <c r="Y45" s="248"/>
      <c r="Z45" s="248"/>
      <c r="AA45" s="248"/>
      <c r="AB45" s="248"/>
      <c r="AC45" s="248"/>
      <c r="AD45" s="248"/>
      <c r="AE45" s="248"/>
      <c r="AF45" s="248"/>
      <c r="AG45" s="248"/>
      <c r="AH45" s="248"/>
      <c r="AI45" s="248"/>
      <c r="AJ45" s="248"/>
      <c r="AK45" s="248"/>
      <c r="AL45" s="248"/>
      <c r="AM45" s="248"/>
      <c r="AN45" s="248"/>
      <c r="AO45" s="248"/>
      <c r="AP45" s="248"/>
      <c r="AQ45" s="248"/>
    </row>
    <row r="46" spans="1:43" ht="30.75" customHeight="1" x14ac:dyDescent="0.25">
      <c r="A46" s="1367"/>
      <c r="B46" s="1368" t="s">
        <v>533</v>
      </c>
      <c r="C46" s="268" t="s">
        <v>534</v>
      </c>
      <c r="D46" s="1367"/>
      <c r="E46" s="1367"/>
      <c r="F46" s="1367"/>
      <c r="G46" s="1367"/>
      <c r="H46" s="1367"/>
      <c r="I46" s="1367"/>
      <c r="J46" s="1367"/>
      <c r="K46" s="1367"/>
      <c r="L46" s="1367"/>
      <c r="M46" s="1367"/>
      <c r="N46" s="1367"/>
      <c r="O46" s="1367"/>
      <c r="P46" s="1367"/>
      <c r="Q46" s="1367"/>
      <c r="R46" s="1367"/>
      <c r="S46" s="1367"/>
      <c r="T46" s="1367"/>
      <c r="U46" s="1367"/>
      <c r="V46" s="1367"/>
      <c r="W46" s="1367"/>
      <c r="X46" s="1367"/>
      <c r="Y46" s="1367"/>
      <c r="Z46" s="1367"/>
      <c r="AA46" s="1367"/>
      <c r="AB46" s="1367"/>
      <c r="AC46" s="1367"/>
      <c r="AD46" s="1367"/>
      <c r="AE46" s="1367"/>
      <c r="AF46" s="1367"/>
      <c r="AG46" s="1367"/>
      <c r="AH46" s="1367"/>
      <c r="AI46" s="1367"/>
      <c r="AJ46" s="1367"/>
      <c r="AK46" s="1367"/>
      <c r="AL46" s="1367"/>
      <c r="AM46" s="1367"/>
      <c r="AN46" s="1367"/>
      <c r="AO46" s="1367"/>
      <c r="AP46" s="1367"/>
      <c r="AQ46" s="1367"/>
    </row>
    <row r="47" spans="1:43" ht="37.5" customHeight="1" x14ac:dyDescent="0.25">
      <c r="A47" s="1367"/>
      <c r="B47" s="1368"/>
      <c r="C47" s="268" t="s">
        <v>535</v>
      </c>
      <c r="D47" s="1367"/>
      <c r="E47" s="1367"/>
      <c r="F47" s="1367"/>
      <c r="G47" s="1367"/>
      <c r="H47" s="1367"/>
      <c r="I47" s="1367"/>
      <c r="J47" s="1367"/>
      <c r="K47" s="1367"/>
      <c r="L47" s="1367"/>
      <c r="M47" s="1367"/>
      <c r="N47" s="1367"/>
      <c r="O47" s="1367"/>
      <c r="P47" s="1367"/>
      <c r="Q47" s="1367"/>
      <c r="R47" s="1367"/>
      <c r="S47" s="1367"/>
      <c r="T47" s="1367"/>
      <c r="U47" s="1367"/>
      <c r="V47" s="1367"/>
      <c r="W47" s="1367"/>
      <c r="X47" s="1367"/>
      <c r="Y47" s="1367"/>
      <c r="Z47" s="1367"/>
      <c r="AA47" s="1367"/>
      <c r="AB47" s="1367"/>
      <c r="AC47" s="1367"/>
      <c r="AD47" s="1367"/>
      <c r="AE47" s="1367"/>
      <c r="AF47" s="1367"/>
      <c r="AG47" s="1367"/>
      <c r="AH47" s="1367"/>
      <c r="AI47" s="1367"/>
      <c r="AJ47" s="1367"/>
      <c r="AK47" s="1367"/>
      <c r="AL47" s="1367"/>
      <c r="AM47" s="1367"/>
      <c r="AN47" s="1367"/>
      <c r="AO47" s="1367"/>
      <c r="AP47" s="1367"/>
      <c r="AQ47" s="1367"/>
    </row>
    <row r="48" spans="1:43" ht="20.25" customHeight="1" x14ac:dyDescent="0.25">
      <c r="A48" s="1367"/>
      <c r="B48" s="1368" t="s">
        <v>536</v>
      </c>
      <c r="C48" s="268" t="s">
        <v>537</v>
      </c>
      <c r="D48" s="1367"/>
      <c r="E48" s="1367"/>
      <c r="F48" s="1367"/>
      <c r="G48" s="1367"/>
      <c r="H48" s="1367"/>
      <c r="I48" s="1367"/>
      <c r="J48" s="1367"/>
      <c r="K48" s="1367"/>
      <c r="L48" s="1367"/>
      <c r="M48" s="1367"/>
      <c r="N48" s="1367"/>
      <c r="O48" s="1367"/>
      <c r="P48" s="1367"/>
      <c r="Q48" s="1367"/>
      <c r="R48" s="1367"/>
      <c r="S48" s="1367"/>
      <c r="T48" s="1367"/>
      <c r="U48" s="1367"/>
      <c r="V48" s="1367"/>
      <c r="W48" s="1367"/>
      <c r="X48" s="1367"/>
      <c r="Y48" s="1367"/>
      <c r="Z48" s="1367"/>
      <c r="AA48" s="1367"/>
      <c r="AB48" s="1367"/>
      <c r="AC48" s="1367"/>
      <c r="AD48" s="1367"/>
      <c r="AE48" s="1367"/>
      <c r="AF48" s="1367"/>
      <c r="AG48" s="1367"/>
      <c r="AH48" s="1367"/>
      <c r="AI48" s="1367"/>
      <c r="AJ48" s="1367"/>
      <c r="AK48" s="1367"/>
      <c r="AL48" s="1367"/>
      <c r="AM48" s="1367"/>
      <c r="AN48" s="1367"/>
      <c r="AO48" s="1367"/>
      <c r="AP48" s="1367"/>
      <c r="AQ48" s="1367"/>
    </row>
    <row r="49" spans="1:43" ht="24" customHeight="1" x14ac:dyDescent="0.25">
      <c r="A49" s="1367"/>
      <c r="B49" s="1368"/>
      <c r="C49" s="268" t="s">
        <v>538</v>
      </c>
      <c r="D49" s="1367"/>
      <c r="E49" s="1367"/>
      <c r="F49" s="1367"/>
      <c r="G49" s="1367"/>
      <c r="H49" s="1367"/>
      <c r="I49" s="1367"/>
      <c r="J49" s="1367"/>
      <c r="K49" s="1367"/>
      <c r="L49" s="1367"/>
      <c r="M49" s="1367"/>
      <c r="N49" s="1367"/>
      <c r="O49" s="1367"/>
      <c r="P49" s="1367"/>
      <c r="Q49" s="1367"/>
      <c r="R49" s="1367"/>
      <c r="S49" s="1367"/>
      <c r="T49" s="1367"/>
      <c r="U49" s="1367"/>
      <c r="V49" s="1367"/>
      <c r="W49" s="1367"/>
      <c r="X49" s="1367"/>
      <c r="Y49" s="1367"/>
      <c r="Z49" s="1367"/>
      <c r="AA49" s="1367"/>
      <c r="AB49" s="1367"/>
      <c r="AC49" s="1367"/>
      <c r="AD49" s="1367"/>
      <c r="AE49" s="1367"/>
      <c r="AF49" s="1367"/>
      <c r="AG49" s="1367"/>
      <c r="AH49" s="1367"/>
      <c r="AI49" s="1367"/>
      <c r="AJ49" s="1367"/>
      <c r="AK49" s="1367"/>
      <c r="AL49" s="1367"/>
      <c r="AM49" s="1367"/>
      <c r="AN49" s="1367"/>
      <c r="AO49" s="1367"/>
      <c r="AP49" s="1367"/>
      <c r="AQ49" s="1367"/>
    </row>
    <row r="50" spans="1:43" ht="23.25" customHeight="1" x14ac:dyDescent="0.25">
      <c r="A50" s="1367"/>
      <c r="B50" s="1368"/>
      <c r="C50" s="268" t="s">
        <v>539</v>
      </c>
      <c r="D50" s="1367"/>
      <c r="E50" s="1367"/>
      <c r="F50" s="1367"/>
      <c r="G50" s="1367"/>
      <c r="H50" s="1367"/>
      <c r="I50" s="1367"/>
      <c r="J50" s="1367"/>
      <c r="K50" s="1367"/>
      <c r="L50" s="1367"/>
      <c r="M50" s="1367"/>
      <c r="N50" s="1367"/>
      <c r="O50" s="1367"/>
      <c r="P50" s="1367"/>
      <c r="Q50" s="1367"/>
      <c r="R50" s="1367"/>
      <c r="S50" s="1367"/>
      <c r="T50" s="1367"/>
      <c r="U50" s="1367"/>
      <c r="V50" s="1367"/>
      <c r="W50" s="1367"/>
      <c r="X50" s="1367"/>
      <c r="Y50" s="1367"/>
      <c r="Z50" s="1367"/>
      <c r="AA50" s="1367"/>
      <c r="AB50" s="1367"/>
      <c r="AC50" s="1367"/>
      <c r="AD50" s="1367"/>
      <c r="AE50" s="1367"/>
      <c r="AF50" s="1367"/>
      <c r="AG50" s="1367"/>
      <c r="AH50" s="1367"/>
      <c r="AI50" s="1367"/>
      <c r="AJ50" s="1367"/>
      <c r="AK50" s="1367"/>
      <c r="AL50" s="1367"/>
      <c r="AM50" s="1367"/>
      <c r="AN50" s="1367"/>
      <c r="AO50" s="1367"/>
      <c r="AP50" s="1367"/>
      <c r="AQ50" s="1367"/>
    </row>
    <row r="51" spans="1:43" ht="18.75" customHeight="1" x14ac:dyDescent="0.25">
      <c r="A51" s="1367"/>
      <c r="B51" s="1368" t="s">
        <v>540</v>
      </c>
      <c r="C51" s="268" t="s">
        <v>541</v>
      </c>
      <c r="D51" s="1367"/>
      <c r="E51" s="1367"/>
      <c r="F51" s="1367"/>
      <c r="G51" s="1367"/>
      <c r="H51" s="1367"/>
      <c r="I51" s="1367"/>
      <c r="J51" s="1367"/>
      <c r="K51" s="1367"/>
      <c r="L51" s="1367"/>
      <c r="M51" s="1367"/>
      <c r="N51" s="1367"/>
      <c r="O51" s="1367"/>
      <c r="P51" s="1367"/>
      <c r="Q51" s="1367"/>
      <c r="R51" s="1367"/>
      <c r="S51" s="1367"/>
      <c r="T51" s="1367"/>
      <c r="U51" s="1367"/>
      <c r="V51" s="1367"/>
      <c r="W51" s="1367"/>
      <c r="X51" s="1367"/>
      <c r="Y51" s="1367"/>
      <c r="Z51" s="1367"/>
      <c r="AA51" s="1367"/>
      <c r="AB51" s="1367"/>
      <c r="AC51" s="1367"/>
      <c r="AD51" s="1367"/>
      <c r="AE51" s="1367"/>
      <c r="AF51" s="1367"/>
      <c r="AG51" s="1367"/>
      <c r="AH51" s="1367"/>
      <c r="AI51" s="1367"/>
      <c r="AJ51" s="1367"/>
      <c r="AK51" s="1367"/>
      <c r="AL51" s="1367"/>
      <c r="AM51" s="1367"/>
      <c r="AN51" s="1367"/>
      <c r="AO51" s="1367"/>
      <c r="AP51" s="1367"/>
      <c r="AQ51" s="1367"/>
    </row>
    <row r="52" spans="1:43" ht="18.75" customHeight="1" x14ac:dyDescent="0.25">
      <c r="A52" s="1367"/>
      <c r="B52" s="1368"/>
      <c r="C52" s="268" t="s">
        <v>542</v>
      </c>
      <c r="D52" s="1367"/>
      <c r="E52" s="1367"/>
      <c r="F52" s="1367"/>
      <c r="G52" s="1367"/>
      <c r="H52" s="1367"/>
      <c r="I52" s="1367"/>
      <c r="J52" s="1367"/>
      <c r="K52" s="1367"/>
      <c r="L52" s="1367"/>
      <c r="M52" s="1367"/>
      <c r="N52" s="1367"/>
      <c r="O52" s="1367"/>
      <c r="P52" s="1367"/>
      <c r="Q52" s="1367"/>
      <c r="R52" s="1367"/>
      <c r="S52" s="1367"/>
      <c r="T52" s="1367"/>
      <c r="U52" s="1367"/>
      <c r="V52" s="1367"/>
      <c r="W52" s="1367"/>
      <c r="X52" s="1367"/>
      <c r="Y52" s="1367"/>
      <c r="Z52" s="1367"/>
      <c r="AA52" s="1367"/>
      <c r="AB52" s="1367"/>
      <c r="AC52" s="1367"/>
      <c r="AD52" s="1367"/>
      <c r="AE52" s="1367"/>
      <c r="AF52" s="1367"/>
      <c r="AG52" s="1367"/>
      <c r="AH52" s="1367"/>
      <c r="AI52" s="1367"/>
      <c r="AJ52" s="1367"/>
      <c r="AK52" s="1367"/>
      <c r="AL52" s="1367"/>
      <c r="AM52" s="1367"/>
      <c r="AN52" s="1367"/>
      <c r="AO52" s="1367"/>
      <c r="AP52" s="1367"/>
      <c r="AQ52" s="1367"/>
    </row>
    <row r="53" spans="1:43" ht="15.75" customHeight="1" x14ac:dyDescent="0.25">
      <c r="A53" s="1367"/>
      <c r="B53" s="1368" t="s">
        <v>543</v>
      </c>
      <c r="C53" s="268" t="s">
        <v>544</v>
      </c>
      <c r="D53" s="1367"/>
      <c r="E53" s="1367"/>
      <c r="F53" s="1367"/>
      <c r="G53" s="1367"/>
      <c r="H53" s="1367"/>
      <c r="I53" s="1367"/>
      <c r="J53" s="1367"/>
      <c r="K53" s="1367"/>
      <c r="L53" s="1367"/>
      <c r="M53" s="1367"/>
      <c r="N53" s="1367"/>
      <c r="O53" s="1367"/>
      <c r="P53" s="1367"/>
      <c r="Q53" s="1367"/>
      <c r="R53" s="1367"/>
      <c r="S53" s="1367"/>
      <c r="T53" s="1367"/>
      <c r="U53" s="1367"/>
      <c r="V53" s="1367"/>
      <c r="W53" s="1367"/>
      <c r="X53" s="1367"/>
      <c r="Y53" s="1367"/>
      <c r="Z53" s="1367"/>
      <c r="AA53" s="1367"/>
      <c r="AB53" s="1367"/>
      <c r="AC53" s="1367"/>
      <c r="AD53" s="1367"/>
      <c r="AE53" s="1367"/>
      <c r="AF53" s="1367"/>
      <c r="AG53" s="1367"/>
      <c r="AH53" s="1367"/>
      <c r="AI53" s="1367"/>
      <c r="AJ53" s="1367"/>
      <c r="AK53" s="1367"/>
      <c r="AL53" s="1367"/>
      <c r="AM53" s="1367"/>
      <c r="AN53" s="1367"/>
      <c r="AO53" s="1367"/>
      <c r="AP53" s="1367"/>
      <c r="AQ53" s="1367"/>
    </row>
    <row r="54" spans="1:43" ht="21.75" customHeight="1" x14ac:dyDescent="0.25">
      <c r="A54" s="1367"/>
      <c r="B54" s="1368"/>
      <c r="C54" s="268" t="s">
        <v>545</v>
      </c>
      <c r="D54" s="1367"/>
      <c r="E54" s="1367"/>
      <c r="F54" s="1367"/>
      <c r="G54" s="1367"/>
      <c r="H54" s="1367"/>
      <c r="I54" s="1367"/>
      <c r="J54" s="1367"/>
      <c r="K54" s="1367"/>
      <c r="L54" s="1367"/>
      <c r="M54" s="1367"/>
      <c r="N54" s="1367"/>
      <c r="O54" s="1367"/>
      <c r="P54" s="1367"/>
      <c r="Q54" s="1367"/>
      <c r="R54" s="1367"/>
      <c r="S54" s="1367"/>
      <c r="T54" s="1367"/>
      <c r="U54" s="1367"/>
      <c r="V54" s="1367"/>
      <c r="W54" s="1367"/>
      <c r="X54" s="1367"/>
      <c r="Y54" s="1367"/>
      <c r="Z54" s="1367"/>
      <c r="AA54" s="1367"/>
      <c r="AB54" s="1367"/>
      <c r="AC54" s="1367"/>
      <c r="AD54" s="1367"/>
      <c r="AE54" s="1367"/>
      <c r="AF54" s="1367"/>
      <c r="AG54" s="1367"/>
      <c r="AH54" s="1367"/>
      <c r="AI54" s="1367"/>
      <c r="AJ54" s="1367"/>
      <c r="AK54" s="1367"/>
      <c r="AL54" s="1367"/>
      <c r="AM54" s="1367"/>
      <c r="AN54" s="1367"/>
      <c r="AO54" s="1367"/>
      <c r="AP54" s="1367"/>
      <c r="AQ54" s="1367"/>
    </row>
    <row r="59" spans="1:43" x14ac:dyDescent="0.25">
      <c r="B59" s="27" t="s">
        <v>33</v>
      </c>
      <c r="C59" s="242"/>
      <c r="D59" s="27" t="s">
        <v>1052</v>
      </c>
      <c r="E59" s="27"/>
      <c r="F59" s="27"/>
    </row>
    <row r="60" spans="1:43" x14ac:dyDescent="0.25">
      <c r="B60" s="28" t="s">
        <v>289</v>
      </c>
      <c r="C60" s="242"/>
      <c r="D60" s="27"/>
      <c r="E60" s="27"/>
      <c r="F60" s="27"/>
    </row>
    <row r="61" spans="1:43" x14ac:dyDescent="0.25">
      <c r="B61" s="28"/>
      <c r="C61" s="242"/>
      <c r="D61" s="27" t="s">
        <v>41</v>
      </c>
      <c r="E61" s="27"/>
      <c r="F61" s="27"/>
    </row>
    <row r="62" spans="1:43" x14ac:dyDescent="0.25">
      <c r="B62" s="28"/>
      <c r="C62" s="242"/>
      <c r="D62" s="27"/>
      <c r="E62" s="27"/>
      <c r="F62" s="27"/>
    </row>
    <row r="63" spans="1:43" x14ac:dyDescent="0.25">
      <c r="B63" s="28"/>
      <c r="C63" s="242"/>
      <c r="D63" s="146"/>
      <c r="E63" s="27"/>
      <c r="F63" s="27"/>
    </row>
    <row r="64" spans="1:43" x14ac:dyDescent="0.25">
      <c r="B64" s="34" t="s">
        <v>967</v>
      </c>
      <c r="C64" s="242"/>
      <c r="D64" s="27"/>
      <c r="E64" s="27"/>
      <c r="F64" s="27"/>
    </row>
    <row r="65" spans="2:6" x14ac:dyDescent="0.25">
      <c r="B65" s="28" t="s">
        <v>970</v>
      </c>
      <c r="C65" s="242"/>
      <c r="D65" s="34" t="s">
        <v>1154</v>
      </c>
      <c r="E65" s="27"/>
      <c r="F65" s="27"/>
    </row>
    <row r="66" spans="2:6" x14ac:dyDescent="0.25">
      <c r="B66" s="27"/>
      <c r="C66" s="242"/>
      <c r="D66" s="28" t="s">
        <v>1160</v>
      </c>
      <c r="E66" s="27"/>
      <c r="F66" s="27"/>
    </row>
    <row r="67" spans="2:6" x14ac:dyDescent="0.25">
      <c r="B67" s="143" t="s">
        <v>137</v>
      </c>
      <c r="C67" s="242"/>
      <c r="D67" s="27"/>
      <c r="E67" s="27"/>
      <c r="F67" s="27"/>
    </row>
    <row r="68" spans="2:6" x14ac:dyDescent="0.25">
      <c r="B68" s="143"/>
      <c r="C68" s="242"/>
      <c r="D68" s="143" t="s">
        <v>1195</v>
      </c>
      <c r="E68" s="27"/>
      <c r="F68" s="144"/>
    </row>
    <row r="69" spans="2:6" x14ac:dyDescent="0.25">
      <c r="B69" s="143"/>
      <c r="C69" s="242"/>
      <c r="D69" s="143"/>
      <c r="E69" s="27"/>
      <c r="F69" s="144"/>
    </row>
    <row r="70" spans="2:6" x14ac:dyDescent="0.25">
      <c r="B70" s="28"/>
      <c r="C70" s="242"/>
      <c r="D70" s="143"/>
      <c r="E70" s="27"/>
      <c r="F70" s="144"/>
    </row>
    <row r="71" spans="2:6" x14ac:dyDescent="0.25">
      <c r="B71" s="28" t="s">
        <v>968</v>
      </c>
      <c r="C71" s="242"/>
      <c r="D71" s="28"/>
      <c r="E71" s="27"/>
      <c r="F71" s="28"/>
    </row>
    <row r="72" spans="2:6" x14ac:dyDescent="0.25">
      <c r="B72" s="28" t="s">
        <v>969</v>
      </c>
      <c r="C72" s="242"/>
      <c r="D72" s="27" t="s">
        <v>1156</v>
      </c>
      <c r="E72" s="27"/>
      <c r="F72" s="144"/>
    </row>
    <row r="73" spans="2:6" x14ac:dyDescent="0.25">
      <c r="D73" s="27" t="s">
        <v>1157</v>
      </c>
      <c r="E73" s="27"/>
      <c r="F73" s="144"/>
    </row>
  </sheetData>
  <mergeCells count="723">
    <mergeCell ref="AM46:AM47"/>
    <mergeCell ref="AN46:AN47"/>
    <mergeCell ref="AO46:AO47"/>
    <mergeCell ref="AP46:AP47"/>
    <mergeCell ref="AQ46:AQ47"/>
    <mergeCell ref="AE46:AE47"/>
    <mergeCell ref="AF46:AF47"/>
    <mergeCell ref="AG46:AG47"/>
    <mergeCell ref="AH46:AH47"/>
    <mergeCell ref="AI46:AI47"/>
    <mergeCell ref="AJ46:AJ47"/>
    <mergeCell ref="AK46:AK47"/>
    <mergeCell ref="AL46:AL47"/>
    <mergeCell ref="AD46:AD47"/>
    <mergeCell ref="AA46:AA47"/>
    <mergeCell ref="Z46:Z47"/>
    <mergeCell ref="Y46:Y47"/>
    <mergeCell ref="V46:V47"/>
    <mergeCell ref="W46:W47"/>
    <mergeCell ref="X46:X47"/>
    <mergeCell ref="AB46:AB47"/>
    <mergeCell ref="AC46:AC47"/>
    <mergeCell ref="AQ51:AQ52"/>
    <mergeCell ref="Y48:Y50"/>
    <mergeCell ref="Z48:Z50"/>
    <mergeCell ref="AA48:AA50"/>
    <mergeCell ref="AB48:AB50"/>
    <mergeCell ref="AC48:AC50"/>
    <mergeCell ref="AD48:AD50"/>
    <mergeCell ref="AE48:AE50"/>
    <mergeCell ref="AH48:AH50"/>
    <mergeCell ref="AF48:AF50"/>
    <mergeCell ref="AG48:AG50"/>
    <mergeCell ref="AI48:AI50"/>
    <mergeCell ref="AJ48:AJ50"/>
    <mergeCell ref="AK48:AK50"/>
    <mergeCell ref="AN48:AN50"/>
    <mergeCell ref="AM48:AM50"/>
    <mergeCell ref="AL48:AL50"/>
    <mergeCell ref="AO48:AO50"/>
    <mergeCell ref="AP48:AP50"/>
    <mergeCell ref="AQ48:AQ50"/>
    <mergeCell ref="AF51:AF52"/>
    <mergeCell ref="AG51:AG52"/>
    <mergeCell ref="AH51:AH52"/>
    <mergeCell ref="AI51:AI52"/>
    <mergeCell ref="AP53:AP54"/>
    <mergeCell ref="AO53:AO54"/>
    <mergeCell ref="AM53:AM54"/>
    <mergeCell ref="AN53:AN54"/>
    <mergeCell ref="AK53:AK54"/>
    <mergeCell ref="AL53:AL54"/>
    <mergeCell ref="AJ51:AJ52"/>
    <mergeCell ref="AK51:AK52"/>
    <mergeCell ref="AL51:AL52"/>
    <mergeCell ref="AM51:AM52"/>
    <mergeCell ref="AN51:AN52"/>
    <mergeCell ref="AO51:AO52"/>
    <mergeCell ref="AP51:AP52"/>
    <mergeCell ref="X48:X50"/>
    <mergeCell ref="W53:W54"/>
    <mergeCell ref="X53:X54"/>
    <mergeCell ref="X51:X52"/>
    <mergeCell ref="Y51:Y52"/>
    <mergeCell ref="Y53:Y54"/>
    <mergeCell ref="AQ53:AQ54"/>
    <mergeCell ref="AJ53:AJ54"/>
    <mergeCell ref="AF53:AF54"/>
    <mergeCell ref="AD53:AD54"/>
    <mergeCell ref="AA53:AA54"/>
    <mergeCell ref="Z53:Z54"/>
    <mergeCell ref="AB53:AB54"/>
    <mergeCell ref="AC53:AC54"/>
    <mergeCell ref="AE53:AE54"/>
    <mergeCell ref="AG53:AG54"/>
    <mergeCell ref="AH53:AH54"/>
    <mergeCell ref="AI53:AI54"/>
    <mergeCell ref="Z51:Z52"/>
    <mergeCell ref="AA51:AA52"/>
    <mergeCell ref="AB51:AB52"/>
    <mergeCell ref="AD51:AD52"/>
    <mergeCell ref="AC51:AC52"/>
    <mergeCell ref="AE51:AE52"/>
    <mergeCell ref="U51:U52"/>
    <mergeCell ref="U53:U54"/>
    <mergeCell ref="V51:V52"/>
    <mergeCell ref="V53:V54"/>
    <mergeCell ref="W51:W52"/>
    <mergeCell ref="K48:K50"/>
    <mergeCell ref="L48:L50"/>
    <mergeCell ref="M48:M50"/>
    <mergeCell ref="N48:N50"/>
    <mergeCell ref="O48:O50"/>
    <mergeCell ref="P48:P50"/>
    <mergeCell ref="Q48:Q50"/>
    <mergeCell ref="R48:R50"/>
    <mergeCell ref="S48:S50"/>
    <mergeCell ref="T48:T50"/>
    <mergeCell ref="U48:U50"/>
    <mergeCell ref="V48:V50"/>
    <mergeCell ref="W48:W50"/>
    <mergeCell ref="AN43:AN44"/>
    <mergeCell ref="AO43:AO44"/>
    <mergeCell ref="AP43:AP44"/>
    <mergeCell ref="AQ43:AQ44"/>
    <mergeCell ref="K53:K54"/>
    <mergeCell ref="L53:L54"/>
    <mergeCell ref="M53:M54"/>
    <mergeCell ref="K51:K52"/>
    <mergeCell ref="L51:L52"/>
    <mergeCell ref="M51:M52"/>
    <mergeCell ref="N53:N54"/>
    <mergeCell ref="O53:O54"/>
    <mergeCell ref="P53:P54"/>
    <mergeCell ref="Q53:Q54"/>
    <mergeCell ref="R53:R54"/>
    <mergeCell ref="S53:S54"/>
    <mergeCell ref="N51:N52"/>
    <mergeCell ref="O51:O52"/>
    <mergeCell ref="P51:P52"/>
    <mergeCell ref="Q51:Q52"/>
    <mergeCell ref="R51:R52"/>
    <mergeCell ref="S51:S52"/>
    <mergeCell ref="T51:T52"/>
    <mergeCell ref="T53:T54"/>
    <mergeCell ref="AE43:AE44"/>
    <mergeCell ref="AF43:AF44"/>
    <mergeCell ref="AM43:AM44"/>
    <mergeCell ref="AI43:AI44"/>
    <mergeCell ref="AG43:AG44"/>
    <mergeCell ref="AH43:AH44"/>
    <mergeCell ref="AJ43:AJ44"/>
    <mergeCell ref="AK43:AK44"/>
    <mergeCell ref="AL43:AL44"/>
    <mergeCell ref="K46:K47"/>
    <mergeCell ref="L46:L47"/>
    <mergeCell ref="M46:M47"/>
    <mergeCell ref="N46:N47"/>
    <mergeCell ref="O46:O47"/>
    <mergeCell ref="P46:P47"/>
    <mergeCell ref="Q46:Q47"/>
    <mergeCell ref="U43:U44"/>
    <mergeCell ref="V43:V44"/>
    <mergeCell ref="R46:R47"/>
    <mergeCell ref="S46:S47"/>
    <mergeCell ref="T46:T47"/>
    <mergeCell ref="U46:U47"/>
    <mergeCell ref="T43:T44"/>
    <mergeCell ref="W43:W44"/>
    <mergeCell ref="X43:X44"/>
    <mergeCell ref="Y43:Y44"/>
    <mergeCell ref="Z43:Z44"/>
    <mergeCell ref="AA43:AA44"/>
    <mergeCell ref="AB43:AB44"/>
    <mergeCell ref="AC43:AC44"/>
    <mergeCell ref="AD43:AD44"/>
    <mergeCell ref="K43:K44"/>
    <mergeCell ref="M43:M44"/>
    <mergeCell ref="L43:L44"/>
    <mergeCell ref="N43:N44"/>
    <mergeCell ref="O43:O44"/>
    <mergeCell ref="P43:P44"/>
    <mergeCell ref="Q43:Q44"/>
    <mergeCell ref="R43:R44"/>
    <mergeCell ref="S43:S44"/>
    <mergeCell ref="AQ37:AQ39"/>
    <mergeCell ref="K40:K42"/>
    <mergeCell ref="L40:L42"/>
    <mergeCell ref="M40:M42"/>
    <mergeCell ref="N40:N42"/>
    <mergeCell ref="O40:O42"/>
    <mergeCell ref="P40:P42"/>
    <mergeCell ref="Q40:Q42"/>
    <mergeCell ref="R40:R42"/>
    <mergeCell ref="S40:S42"/>
    <mergeCell ref="T40:T42"/>
    <mergeCell ref="U40:U42"/>
    <mergeCell ref="V40:V42"/>
    <mergeCell ref="W40:W42"/>
    <mergeCell ref="X40:X42"/>
    <mergeCell ref="Z40:Z42"/>
    <mergeCell ref="Y40:Y42"/>
    <mergeCell ref="AM40:AM42"/>
    <mergeCell ref="AN40:AN42"/>
    <mergeCell ref="AO40:AO42"/>
    <mergeCell ref="AP40:AP42"/>
    <mergeCell ref="AQ40:AQ42"/>
    <mergeCell ref="AD40:AD42"/>
    <mergeCell ref="AA40:AA42"/>
    <mergeCell ref="AB40:AB42"/>
    <mergeCell ref="AC40:AC42"/>
    <mergeCell ref="AE40:AE42"/>
    <mergeCell ref="AL37:AL39"/>
    <mergeCell ref="AF37:AF39"/>
    <mergeCell ref="AI37:AI39"/>
    <mergeCell ref="AO37:AO39"/>
    <mergeCell ref="AK37:AK39"/>
    <mergeCell ref="AJ37:AJ39"/>
    <mergeCell ref="AH37:AH39"/>
    <mergeCell ref="AG37:AG39"/>
    <mergeCell ref="AM37:AM39"/>
    <mergeCell ref="AN37:AN39"/>
    <mergeCell ref="AE37:AE39"/>
    <mergeCell ref="AF40:AF42"/>
    <mergeCell ref="AG40:AG42"/>
    <mergeCell ref="AH40:AH42"/>
    <mergeCell ref="AI40:AI42"/>
    <mergeCell ref="AJ40:AJ42"/>
    <mergeCell ref="AK40:AK42"/>
    <mergeCell ref="AL40:AL42"/>
    <mergeCell ref="AP37:AP39"/>
    <mergeCell ref="AO34:AO36"/>
    <mergeCell ref="AQ34:AQ36"/>
    <mergeCell ref="AP34:AP36"/>
    <mergeCell ref="K37:K39"/>
    <mergeCell ref="L37:L39"/>
    <mergeCell ref="M37:M39"/>
    <mergeCell ref="N37:N39"/>
    <mergeCell ref="O37:O39"/>
    <mergeCell ref="P37:P39"/>
    <mergeCell ref="AA37:AA39"/>
    <mergeCell ref="Z37:Z39"/>
    <mergeCell ref="Y37:Y39"/>
    <mergeCell ref="V37:V39"/>
    <mergeCell ref="W37:W39"/>
    <mergeCell ref="X37:X39"/>
    <mergeCell ref="T37:T39"/>
    <mergeCell ref="S37:S39"/>
    <mergeCell ref="U37:U39"/>
    <mergeCell ref="Q37:Q39"/>
    <mergeCell ref="R37:R39"/>
    <mergeCell ref="AB37:AB39"/>
    <mergeCell ref="AC37:AC39"/>
    <mergeCell ref="AD37:AD39"/>
    <mergeCell ref="AO32:AO33"/>
    <mergeCell ref="AP32:AP33"/>
    <mergeCell ref="AQ32:AQ33"/>
    <mergeCell ref="S34:S36"/>
    <mergeCell ref="T34:T36"/>
    <mergeCell ref="U34:U36"/>
    <mergeCell ref="V34:V36"/>
    <mergeCell ref="W34:W36"/>
    <mergeCell ref="X34:X36"/>
    <mergeCell ref="Y34:Y36"/>
    <mergeCell ref="Z34:Z36"/>
    <mergeCell ref="AA34:AA36"/>
    <mergeCell ref="AB34:AB36"/>
    <mergeCell ref="AC34:AC36"/>
    <mergeCell ref="AD34:AD36"/>
    <mergeCell ref="AE34:AE36"/>
    <mergeCell ref="AF34:AF36"/>
    <mergeCell ref="AG34:AG36"/>
    <mergeCell ref="AH34:AH36"/>
    <mergeCell ref="AI34:AI36"/>
    <mergeCell ref="AJ34:AJ36"/>
    <mergeCell ref="AK34:AK36"/>
    <mergeCell ref="AL34:AL36"/>
    <mergeCell ref="AM34:AM36"/>
    <mergeCell ref="AO30:AO31"/>
    <mergeCell ref="AP30:AP31"/>
    <mergeCell ref="AQ30:AQ31"/>
    <mergeCell ref="S32:S33"/>
    <mergeCell ref="T32:T33"/>
    <mergeCell ref="U32:U33"/>
    <mergeCell ref="V32:V33"/>
    <mergeCell ref="W32:W33"/>
    <mergeCell ref="O34:O36"/>
    <mergeCell ref="P34:P36"/>
    <mergeCell ref="Q34:Q36"/>
    <mergeCell ref="R34:R36"/>
    <mergeCell ref="X32:X33"/>
    <mergeCell ref="Y32:Y33"/>
    <mergeCell ref="Z32:Z33"/>
    <mergeCell ref="AA32:AA33"/>
    <mergeCell ref="AB32:AB33"/>
    <mergeCell ref="AC32:AC33"/>
    <mergeCell ref="AD32:AD33"/>
    <mergeCell ref="AE32:AE33"/>
    <mergeCell ref="AF32:AF33"/>
    <mergeCell ref="AG32:AG33"/>
    <mergeCell ref="AH32:AH33"/>
    <mergeCell ref="AI32:AI33"/>
    <mergeCell ref="K34:K36"/>
    <mergeCell ref="L34:L36"/>
    <mergeCell ref="M34:M36"/>
    <mergeCell ref="N34:N36"/>
    <mergeCell ref="AJ30:AJ31"/>
    <mergeCell ref="AK30:AK31"/>
    <mergeCell ref="AL30:AL31"/>
    <mergeCell ref="AM30:AM31"/>
    <mergeCell ref="AN30:AN31"/>
    <mergeCell ref="AJ32:AJ33"/>
    <mergeCell ref="AK32:AK33"/>
    <mergeCell ref="AL32:AL33"/>
    <mergeCell ref="AM32:AM33"/>
    <mergeCell ref="AN32:AN33"/>
    <mergeCell ref="AN34:AN36"/>
    <mergeCell ref="AB30:AB31"/>
    <mergeCell ref="AC30:AC31"/>
    <mergeCell ref="AD30:AD31"/>
    <mergeCell ref="AE30:AE31"/>
    <mergeCell ref="AF30:AF31"/>
    <mergeCell ref="AG30:AG31"/>
    <mergeCell ref="AH30:AH31"/>
    <mergeCell ref="AI30:AI31"/>
    <mergeCell ref="N32:N33"/>
    <mergeCell ref="AK28:AK29"/>
    <mergeCell ref="AL28:AL29"/>
    <mergeCell ref="AM28:AM29"/>
    <mergeCell ref="AN28:AN29"/>
    <mergeCell ref="AO28:AO29"/>
    <mergeCell ref="AG28:AG29"/>
    <mergeCell ref="AH28:AH29"/>
    <mergeCell ref="AI28:AI29"/>
    <mergeCell ref="AJ28:AJ29"/>
    <mergeCell ref="AP28:AP29"/>
    <mergeCell ref="AQ28:AQ29"/>
    <mergeCell ref="K30:K31"/>
    <mergeCell ref="L30:L31"/>
    <mergeCell ref="M30:M31"/>
    <mergeCell ref="N30:N31"/>
    <mergeCell ref="O30:O31"/>
    <mergeCell ref="P30:P31"/>
    <mergeCell ref="Q30:Q31"/>
    <mergeCell ref="R30:R31"/>
    <mergeCell ref="S30:S31"/>
    <mergeCell ref="T30:T31"/>
    <mergeCell ref="U30:U31"/>
    <mergeCell ref="V30:V31"/>
    <mergeCell ref="W30:W31"/>
    <mergeCell ref="X30:X31"/>
    <mergeCell ref="Y30:Y31"/>
    <mergeCell ref="Z30:Z31"/>
    <mergeCell ref="AA30:AA31"/>
    <mergeCell ref="AB28:AB29"/>
    <mergeCell ref="AC28:AC29"/>
    <mergeCell ref="AD28:AD29"/>
    <mergeCell ref="AE28:AE29"/>
    <mergeCell ref="AF28:AF29"/>
    <mergeCell ref="AK26:AK27"/>
    <mergeCell ref="AL26:AL27"/>
    <mergeCell ref="AM26:AM27"/>
    <mergeCell ref="AN26:AN27"/>
    <mergeCell ref="AO26:AO27"/>
    <mergeCell ref="AP26:AP27"/>
    <mergeCell ref="AQ26:AQ27"/>
    <mergeCell ref="K28:K29"/>
    <mergeCell ref="L28:L29"/>
    <mergeCell ref="M28:M29"/>
    <mergeCell ref="N28:N29"/>
    <mergeCell ref="O28:O29"/>
    <mergeCell ref="P28:P29"/>
    <mergeCell ref="Q28:Q29"/>
    <mergeCell ref="R28:R29"/>
    <mergeCell ref="S28:S29"/>
    <mergeCell ref="T28:T29"/>
    <mergeCell ref="U28:U29"/>
    <mergeCell ref="V28:V29"/>
    <mergeCell ref="W28:W29"/>
    <mergeCell ref="X28:X29"/>
    <mergeCell ref="Y28:Y29"/>
    <mergeCell ref="Z28:Z29"/>
    <mergeCell ref="AA28:AA29"/>
    <mergeCell ref="AB26:AB27"/>
    <mergeCell ref="AC26:AC27"/>
    <mergeCell ref="AD26:AD27"/>
    <mergeCell ref="AE26:AE27"/>
    <mergeCell ref="AF26:AF27"/>
    <mergeCell ref="AG26:AG27"/>
    <mergeCell ref="AH26:AH27"/>
    <mergeCell ref="AI26:AI27"/>
    <mergeCell ref="AJ26:AJ27"/>
    <mergeCell ref="S26:S27"/>
    <mergeCell ref="T26:T27"/>
    <mergeCell ref="U26:U27"/>
    <mergeCell ref="V26:V27"/>
    <mergeCell ref="W26:W27"/>
    <mergeCell ref="X26:X27"/>
    <mergeCell ref="Y26:Y27"/>
    <mergeCell ref="Z26:Z27"/>
    <mergeCell ref="AA26:AA27"/>
    <mergeCell ref="K32:K33"/>
    <mergeCell ref="K26:K27"/>
    <mergeCell ref="L26:L27"/>
    <mergeCell ref="M26:M27"/>
    <mergeCell ref="N26:N27"/>
    <mergeCell ref="O26:O27"/>
    <mergeCell ref="P26:P27"/>
    <mergeCell ref="Q26:Q27"/>
    <mergeCell ref="R26:R27"/>
    <mergeCell ref="L32:L33"/>
    <mergeCell ref="M32:M33"/>
    <mergeCell ref="O32:O33"/>
    <mergeCell ref="P32:P33"/>
    <mergeCell ref="Q32:Q33"/>
    <mergeCell ref="R32:R33"/>
    <mergeCell ref="AQ20:AQ21"/>
    <mergeCell ref="X23:X25"/>
    <mergeCell ref="Y23:Y25"/>
    <mergeCell ref="Z23:Z25"/>
    <mergeCell ref="AA23:AA25"/>
    <mergeCell ref="AB23:AB25"/>
    <mergeCell ref="AC23:AC25"/>
    <mergeCell ref="AD23:AD25"/>
    <mergeCell ref="AE23:AE25"/>
    <mergeCell ref="AF23:AF25"/>
    <mergeCell ref="AG23:AG25"/>
    <mergeCell ref="AH23:AH25"/>
    <mergeCell ref="AI23:AI25"/>
    <mergeCell ref="AJ23:AJ25"/>
    <mergeCell ref="AK23:AK25"/>
    <mergeCell ref="AL23:AL25"/>
    <mergeCell ref="AM23:AM25"/>
    <mergeCell ref="AN23:AN25"/>
    <mergeCell ref="AO23:AO25"/>
    <mergeCell ref="AP23:AP25"/>
    <mergeCell ref="AQ23:AQ25"/>
    <mergeCell ref="T23:T25"/>
    <mergeCell ref="U23:U25"/>
    <mergeCell ref="V23:V25"/>
    <mergeCell ref="U20:U21"/>
    <mergeCell ref="V20:V21"/>
    <mergeCell ref="W20:W21"/>
    <mergeCell ref="X20:X21"/>
    <mergeCell ref="W23:W25"/>
    <mergeCell ref="Y20:Y21"/>
    <mergeCell ref="K23:K25"/>
    <mergeCell ref="L23:L25"/>
    <mergeCell ref="M23:M25"/>
    <mergeCell ref="N23:N25"/>
    <mergeCell ref="O23:O25"/>
    <mergeCell ref="P23:P25"/>
    <mergeCell ref="Q23:Q25"/>
    <mergeCell ref="R23:R25"/>
    <mergeCell ref="S23:S25"/>
    <mergeCell ref="AP17:AP19"/>
    <mergeCell ref="AQ17:AQ19"/>
    <mergeCell ref="P20:P21"/>
    <mergeCell ref="Q20:Q21"/>
    <mergeCell ref="R20:R21"/>
    <mergeCell ref="S20:S21"/>
    <mergeCell ref="T20:T21"/>
    <mergeCell ref="Z20:Z21"/>
    <mergeCell ref="AA20:AA21"/>
    <mergeCell ref="AB20:AB21"/>
    <mergeCell ref="AC20:AC21"/>
    <mergeCell ref="AE20:AE21"/>
    <mergeCell ref="AD20:AD21"/>
    <mergeCell ref="AF20:AF21"/>
    <mergeCell ref="AG20:AG21"/>
    <mergeCell ref="AH20:AH21"/>
    <mergeCell ref="AI20:AI21"/>
    <mergeCell ref="AJ20:AJ21"/>
    <mergeCell ref="AK20:AK21"/>
    <mergeCell ref="AL20:AL21"/>
    <mergeCell ref="AM20:AM21"/>
    <mergeCell ref="AN20:AN21"/>
    <mergeCell ref="AO20:AO21"/>
    <mergeCell ref="AP20:AP21"/>
    <mergeCell ref="AN15:AN16"/>
    <mergeCell ref="AO15:AO16"/>
    <mergeCell ref="AP15:AP16"/>
    <mergeCell ref="AQ15:AQ16"/>
    <mergeCell ref="V17:V19"/>
    <mergeCell ref="W17:W19"/>
    <mergeCell ref="X17:X19"/>
    <mergeCell ref="Y17:Y19"/>
    <mergeCell ref="Z17:Z19"/>
    <mergeCell ref="AA17:AA19"/>
    <mergeCell ref="AB17:AB19"/>
    <mergeCell ref="AC17:AC19"/>
    <mergeCell ref="AD17:AD19"/>
    <mergeCell ref="AE17:AE19"/>
    <mergeCell ref="AF17:AF19"/>
    <mergeCell ref="AG17:AG19"/>
    <mergeCell ref="AH17:AH19"/>
    <mergeCell ref="AI17:AI19"/>
    <mergeCell ref="AJ17:AJ19"/>
    <mergeCell ref="AK17:AK19"/>
    <mergeCell ref="AL17:AL19"/>
    <mergeCell ref="AM17:AM19"/>
    <mergeCell ref="AN17:AN19"/>
    <mergeCell ref="AO17:AO19"/>
    <mergeCell ref="AE15:AE16"/>
    <mergeCell ref="AF15:AF16"/>
    <mergeCell ref="AG15:AG16"/>
    <mergeCell ref="AH15:AH16"/>
    <mergeCell ref="AI15:AI16"/>
    <mergeCell ref="AJ15:AJ16"/>
    <mergeCell ref="AK15:AK16"/>
    <mergeCell ref="AL15:AL16"/>
    <mergeCell ref="AM15:AM16"/>
    <mergeCell ref="V15:V16"/>
    <mergeCell ref="W15:W16"/>
    <mergeCell ref="X15:X16"/>
    <mergeCell ref="Y15:Y16"/>
    <mergeCell ref="X13:X14"/>
    <mergeCell ref="AD13:AD14"/>
    <mergeCell ref="AC13:AC14"/>
    <mergeCell ref="AB13:AB14"/>
    <mergeCell ref="AA13:AA14"/>
    <mergeCell ref="Z13:Z14"/>
    <mergeCell ref="Y13:Y14"/>
    <mergeCell ref="Z15:Z16"/>
    <mergeCell ref="AA15:AA16"/>
    <mergeCell ref="AB15:AB16"/>
    <mergeCell ref="AC15:AC16"/>
    <mergeCell ref="AD15:AD16"/>
    <mergeCell ref="O20:O21"/>
    <mergeCell ref="N13:N14"/>
    <mergeCell ref="O13:O14"/>
    <mergeCell ref="P13:P14"/>
    <mergeCell ref="Q13:Q14"/>
    <mergeCell ref="R13:R14"/>
    <mergeCell ref="S13:S14"/>
    <mergeCell ref="T13:T14"/>
    <mergeCell ref="U13:U14"/>
    <mergeCell ref="N15:N16"/>
    <mergeCell ref="O15:O16"/>
    <mergeCell ref="Q15:Q16"/>
    <mergeCell ref="P15:P16"/>
    <mergeCell ref="R15:R16"/>
    <mergeCell ref="S15:S16"/>
    <mergeCell ref="T15:T16"/>
    <mergeCell ref="U15:U16"/>
    <mergeCell ref="O17:O19"/>
    <mergeCell ref="P17:P19"/>
    <mergeCell ref="Q17:Q19"/>
    <mergeCell ref="R17:R19"/>
    <mergeCell ref="S17:S19"/>
    <mergeCell ref="T17:T19"/>
    <mergeCell ref="U17:U19"/>
    <mergeCell ref="K15:K16"/>
    <mergeCell ref="L15:L16"/>
    <mergeCell ref="K17:K19"/>
    <mergeCell ref="L17:L19"/>
    <mergeCell ref="M17:M19"/>
    <mergeCell ref="M15:M16"/>
    <mergeCell ref="K20:K21"/>
    <mergeCell ref="N17:N19"/>
    <mergeCell ref="L20:L21"/>
    <mergeCell ref="M20:M21"/>
    <mergeCell ref="N20:N21"/>
    <mergeCell ref="J17:J19"/>
    <mergeCell ref="H15:H16"/>
    <mergeCell ref="I15:I16"/>
    <mergeCell ref="J15:J16"/>
    <mergeCell ref="G20:G21"/>
    <mergeCell ref="H20:H21"/>
    <mergeCell ref="I20:I21"/>
    <mergeCell ref="J20:J21"/>
    <mergeCell ref="F17:F19"/>
    <mergeCell ref="G17:G19"/>
    <mergeCell ref="H17:H19"/>
    <mergeCell ref="G15:G16"/>
    <mergeCell ref="I17:I19"/>
    <mergeCell ref="A13:A14"/>
    <mergeCell ref="B13:B14"/>
    <mergeCell ref="D13:D14"/>
    <mergeCell ref="E13:E14"/>
    <mergeCell ref="F13:F14"/>
    <mergeCell ref="G13:G14"/>
    <mergeCell ref="H13:H14"/>
    <mergeCell ref="I13:I14"/>
    <mergeCell ref="J13:J14"/>
    <mergeCell ref="D11:AQ11"/>
    <mergeCell ref="K13:K14"/>
    <mergeCell ref="L13:L14"/>
    <mergeCell ref="M13:M14"/>
    <mergeCell ref="V13:V14"/>
    <mergeCell ref="W13:W14"/>
    <mergeCell ref="AE13:AE14"/>
    <mergeCell ref="AF13:AF14"/>
    <mergeCell ref="AG13:AG14"/>
    <mergeCell ref="AH13:AH14"/>
    <mergeCell ref="AI13:AI14"/>
    <mergeCell ref="AJ13:AJ14"/>
    <mergeCell ref="AK13:AK14"/>
    <mergeCell ref="AL13:AL14"/>
    <mergeCell ref="AM13:AM14"/>
    <mergeCell ref="AN13:AN14"/>
    <mergeCell ref="AO13:AO14"/>
    <mergeCell ref="AP13:AP14"/>
    <mergeCell ref="AQ13:AQ14"/>
    <mergeCell ref="A20:A21"/>
    <mergeCell ref="B20:B21"/>
    <mergeCell ref="D20:D21"/>
    <mergeCell ref="E20:E21"/>
    <mergeCell ref="F20:F21"/>
    <mergeCell ref="A15:A16"/>
    <mergeCell ref="B15:B16"/>
    <mergeCell ref="D15:D16"/>
    <mergeCell ref="E15:E16"/>
    <mergeCell ref="F15:F16"/>
    <mergeCell ref="A17:A19"/>
    <mergeCell ref="B17:B19"/>
    <mergeCell ref="D17:D19"/>
    <mergeCell ref="E17:E19"/>
    <mergeCell ref="G23:G25"/>
    <mergeCell ref="H23:H25"/>
    <mergeCell ref="I23:I25"/>
    <mergeCell ref="J23:J25"/>
    <mergeCell ref="A28:A29"/>
    <mergeCell ref="B28:B29"/>
    <mergeCell ref="D28:D29"/>
    <mergeCell ref="E28:E29"/>
    <mergeCell ref="F28:F29"/>
    <mergeCell ref="G28:G29"/>
    <mergeCell ref="H28:H29"/>
    <mergeCell ref="A26:A27"/>
    <mergeCell ref="B26:B27"/>
    <mergeCell ref="D26:D27"/>
    <mergeCell ref="E26:E27"/>
    <mergeCell ref="F26:F27"/>
    <mergeCell ref="G26:G27"/>
    <mergeCell ref="A23:A25"/>
    <mergeCell ref="B23:B25"/>
    <mergeCell ref="D23:D25"/>
    <mergeCell ref="E23:E25"/>
    <mergeCell ref="F23:F25"/>
    <mergeCell ref="E34:E36"/>
    <mergeCell ref="F34:F36"/>
    <mergeCell ref="G34:G36"/>
    <mergeCell ref="H34:H36"/>
    <mergeCell ref="I34:I36"/>
    <mergeCell ref="I32:I33"/>
    <mergeCell ref="H26:H27"/>
    <mergeCell ref="I26:I27"/>
    <mergeCell ref="J26:J27"/>
    <mergeCell ref="I28:I29"/>
    <mergeCell ref="J28:J29"/>
    <mergeCell ref="E30:E31"/>
    <mergeCell ref="F30:F31"/>
    <mergeCell ref="G30:G31"/>
    <mergeCell ref="J32:J33"/>
    <mergeCell ref="H30:H31"/>
    <mergeCell ref="I30:I31"/>
    <mergeCell ref="J30:J31"/>
    <mergeCell ref="A32:A33"/>
    <mergeCell ref="B32:B33"/>
    <mergeCell ref="D32:D33"/>
    <mergeCell ref="E32:E33"/>
    <mergeCell ref="F32:F33"/>
    <mergeCell ref="G32:G33"/>
    <mergeCell ref="H32:H33"/>
    <mergeCell ref="A30:A31"/>
    <mergeCell ref="B30:B31"/>
    <mergeCell ref="D30:D31"/>
    <mergeCell ref="I40:I42"/>
    <mergeCell ref="J40:J42"/>
    <mergeCell ref="A43:A44"/>
    <mergeCell ref="B43:B44"/>
    <mergeCell ref="D43:D44"/>
    <mergeCell ref="E43:E44"/>
    <mergeCell ref="F43:F44"/>
    <mergeCell ref="J34:J36"/>
    <mergeCell ref="A37:A39"/>
    <mergeCell ref="B37:B39"/>
    <mergeCell ref="D37:D39"/>
    <mergeCell ref="E37:E39"/>
    <mergeCell ref="F37:F39"/>
    <mergeCell ref="G37:G39"/>
    <mergeCell ref="H37:H39"/>
    <mergeCell ref="I37:I39"/>
    <mergeCell ref="J37:J39"/>
    <mergeCell ref="A40:A42"/>
    <mergeCell ref="B40:B42"/>
    <mergeCell ref="D40:D42"/>
    <mergeCell ref="E40:E42"/>
    <mergeCell ref="A34:A36"/>
    <mergeCell ref="B34:B36"/>
    <mergeCell ref="D34:D36"/>
    <mergeCell ref="A46:A47"/>
    <mergeCell ref="B46:B47"/>
    <mergeCell ref="D46:D47"/>
    <mergeCell ref="E46:E47"/>
    <mergeCell ref="F46:F47"/>
    <mergeCell ref="G46:G47"/>
    <mergeCell ref="F40:F42"/>
    <mergeCell ref="G40:G42"/>
    <mergeCell ref="H40:H42"/>
    <mergeCell ref="D48:D50"/>
    <mergeCell ref="E48:E50"/>
    <mergeCell ref="F48:F50"/>
    <mergeCell ref="G48:G50"/>
    <mergeCell ref="H48:H50"/>
    <mergeCell ref="G43:G44"/>
    <mergeCell ref="H43:H44"/>
    <mergeCell ref="I43:I44"/>
    <mergeCell ref="J43:J44"/>
    <mergeCell ref="A53:A54"/>
    <mergeCell ref="B53:B54"/>
    <mergeCell ref="D53:D54"/>
    <mergeCell ref="E53:E54"/>
    <mergeCell ref="F53:F54"/>
    <mergeCell ref="G53:G54"/>
    <mergeCell ref="H53:H54"/>
    <mergeCell ref="I53:I54"/>
    <mergeCell ref="J53:J54"/>
    <mergeCell ref="G1:J1"/>
    <mergeCell ref="G2:J2"/>
    <mergeCell ref="A4:J4"/>
    <mergeCell ref="A6:B6"/>
    <mergeCell ref="A7:B7"/>
    <mergeCell ref="A8:B8"/>
    <mergeCell ref="A9:B9"/>
    <mergeCell ref="A5:B5"/>
    <mergeCell ref="J51:J52"/>
    <mergeCell ref="I48:I50"/>
    <mergeCell ref="J48:J50"/>
    <mergeCell ref="A51:A52"/>
    <mergeCell ref="B51:B52"/>
    <mergeCell ref="D51:D52"/>
    <mergeCell ref="E51:E52"/>
    <mergeCell ref="F51:F52"/>
    <mergeCell ref="G51:G52"/>
    <mergeCell ref="H51:H52"/>
    <mergeCell ref="I51:I52"/>
    <mergeCell ref="H46:H47"/>
    <mergeCell ref="I46:I47"/>
    <mergeCell ref="J46:J47"/>
    <mergeCell ref="A48:A50"/>
    <mergeCell ref="B48:B50"/>
  </mergeCells>
  <pageMargins left="0.51181102362204722" right="0.31496062992125984" top="0.55118110236220474" bottom="1.3385826771653544" header="0.31496062992125984" footer="0.31496062992125984"/>
  <pageSetup paperSize="5" scale="90" orientation="landscape" horizontalDpi="0" verticalDpi="0"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0A19A-01C4-4B2C-BA8F-B89687C68648}">
  <dimension ref="A1"/>
  <sheetViews>
    <sheetView workbookViewId="0"/>
  </sheetViews>
  <sheetFormatPr defaultRowHeight="15" x14ac:dyDescent="0.25"/>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58"/>
  <sheetViews>
    <sheetView workbookViewId="0">
      <selection activeCell="J52" sqref="J52"/>
    </sheetView>
  </sheetViews>
  <sheetFormatPr defaultRowHeight="15" x14ac:dyDescent="0.25"/>
  <cols>
    <col min="1" max="1" width="5" customWidth="1"/>
    <col min="2" max="2" width="31.5703125" customWidth="1"/>
    <col min="3" max="3" width="73.85546875" customWidth="1"/>
    <col min="4" max="4" width="5.42578125" customWidth="1"/>
    <col min="5" max="5" width="4.85546875" customWidth="1"/>
    <col min="6" max="7" width="4.42578125" customWidth="1"/>
    <col min="8" max="9" width="4.85546875" customWidth="1"/>
  </cols>
  <sheetData>
    <row r="1" spans="1:10" x14ac:dyDescent="0.25">
      <c r="G1" s="1223" t="s">
        <v>394</v>
      </c>
      <c r="H1" s="1352"/>
      <c r="I1" s="1352"/>
      <c r="J1" s="1224"/>
    </row>
    <row r="2" spans="1:10" x14ac:dyDescent="0.25">
      <c r="G2" s="1317">
        <v>45852</v>
      </c>
      <c r="H2" s="1317"/>
      <c r="I2" s="1317"/>
      <c r="J2" s="1317"/>
    </row>
    <row r="3" spans="1:10" x14ac:dyDescent="0.25">
      <c r="A3" s="1366" t="s">
        <v>579</v>
      </c>
      <c r="B3" s="1366"/>
      <c r="C3" s="1366"/>
      <c r="D3" s="1366"/>
      <c r="E3" s="1366"/>
      <c r="F3" s="1366"/>
      <c r="G3" s="1366"/>
      <c r="H3" s="1366"/>
      <c r="I3" s="1366"/>
      <c r="J3" s="1366"/>
    </row>
    <row r="4" spans="1:10" x14ac:dyDescent="0.25">
      <c r="A4" s="1336" t="s">
        <v>547</v>
      </c>
      <c r="B4" s="1336"/>
      <c r="C4" t="s">
        <v>317</v>
      </c>
      <c r="D4" s="251"/>
      <c r="E4" s="270"/>
      <c r="F4" s="270"/>
      <c r="G4" s="270"/>
      <c r="H4" s="270"/>
      <c r="I4" s="270"/>
      <c r="J4" s="270"/>
    </row>
    <row r="5" spans="1:10" x14ac:dyDescent="0.25">
      <c r="A5" s="1336" t="s">
        <v>280</v>
      </c>
      <c r="B5" s="1336"/>
      <c r="C5" s="265" t="s">
        <v>787</v>
      </c>
      <c r="D5" s="270"/>
      <c r="E5" s="270"/>
      <c r="F5" s="270"/>
      <c r="G5" s="270"/>
      <c r="H5" s="270"/>
      <c r="I5" s="270"/>
      <c r="J5" s="270"/>
    </row>
    <row r="6" spans="1:10" x14ac:dyDescent="0.25">
      <c r="A6" s="1336" t="s">
        <v>38</v>
      </c>
      <c r="B6" s="1336"/>
      <c r="C6" s="304" t="s">
        <v>701</v>
      </c>
      <c r="D6" s="270"/>
      <c r="E6" s="270"/>
      <c r="F6" s="270"/>
      <c r="G6" s="270"/>
      <c r="H6" s="270"/>
      <c r="I6" s="270"/>
      <c r="J6" s="270"/>
    </row>
    <row r="7" spans="1:10" x14ac:dyDescent="0.25">
      <c r="A7" s="1336" t="s">
        <v>416</v>
      </c>
      <c r="B7" s="1336"/>
      <c r="C7" s="454" t="s">
        <v>866</v>
      </c>
    </row>
    <row r="8" spans="1:10" x14ac:dyDescent="0.25">
      <c r="A8" s="1331" t="s">
        <v>104</v>
      </c>
      <c r="B8" s="1331"/>
      <c r="C8" s="454" t="s">
        <v>1061</v>
      </c>
    </row>
    <row r="9" spans="1:10" ht="15.75" thickBot="1" x14ac:dyDescent="0.3">
      <c r="A9" t="s">
        <v>696</v>
      </c>
      <c r="C9" s="265" t="s">
        <v>65</v>
      </c>
    </row>
    <row r="10" spans="1:10" ht="22.5" customHeight="1" thickBot="1" x14ac:dyDescent="0.3">
      <c r="A10" s="279" t="s">
        <v>0</v>
      </c>
      <c r="B10" s="280" t="s">
        <v>483</v>
      </c>
      <c r="C10" s="280" t="s">
        <v>484</v>
      </c>
      <c r="D10" s="1376" t="s">
        <v>485</v>
      </c>
      <c r="E10" s="1377"/>
      <c r="F10" s="1377"/>
      <c r="G10" s="1377"/>
      <c r="H10" s="1377"/>
      <c r="I10" s="1377"/>
      <c r="J10" s="1378"/>
    </row>
    <row r="11" spans="1:10" x14ac:dyDescent="0.25">
      <c r="A11" s="272" t="s">
        <v>29</v>
      </c>
      <c r="B11" s="273" t="s">
        <v>486</v>
      </c>
      <c r="C11" s="274"/>
      <c r="D11" s="272">
        <v>1</v>
      </c>
      <c r="E11" s="272">
        <v>2</v>
      </c>
      <c r="F11" s="272">
        <v>3</v>
      </c>
      <c r="G11" s="272">
        <v>4</v>
      </c>
      <c r="H11" s="272">
        <v>5</v>
      </c>
      <c r="I11" s="272">
        <v>6</v>
      </c>
      <c r="J11" s="272" t="s">
        <v>388</v>
      </c>
    </row>
    <row r="12" spans="1:10" ht="21" customHeight="1" x14ac:dyDescent="0.25">
      <c r="A12" s="1367"/>
      <c r="B12" s="1374" t="s">
        <v>548</v>
      </c>
      <c r="C12" s="268" t="s">
        <v>488</v>
      </c>
      <c r="D12" s="1368"/>
      <c r="E12" s="1368"/>
      <c r="F12" s="1368"/>
      <c r="G12" s="1368"/>
      <c r="H12" s="1368"/>
      <c r="I12" s="1368"/>
      <c r="J12" s="1368"/>
    </row>
    <row r="13" spans="1:10" ht="16.5" customHeight="1" x14ac:dyDescent="0.25">
      <c r="A13" s="1367"/>
      <c r="B13" s="1374"/>
      <c r="C13" s="268" t="s">
        <v>489</v>
      </c>
      <c r="D13" s="1368"/>
      <c r="E13" s="1368"/>
      <c r="F13" s="1368"/>
      <c r="G13" s="1368"/>
      <c r="H13" s="1368"/>
      <c r="I13" s="1368"/>
      <c r="J13" s="1368"/>
    </row>
    <row r="14" spans="1:10" ht="30.75" customHeight="1" x14ac:dyDescent="0.25">
      <c r="A14" s="1367"/>
      <c r="B14" s="1375" t="s">
        <v>549</v>
      </c>
      <c r="C14" s="268" t="s">
        <v>491</v>
      </c>
      <c r="D14" s="1368"/>
      <c r="E14" s="1368"/>
      <c r="F14" s="1368"/>
      <c r="G14" s="1368"/>
      <c r="H14" s="1368"/>
      <c r="I14" s="1368"/>
      <c r="J14" s="1368"/>
    </row>
    <row r="15" spans="1:10" ht="32.25" customHeight="1" x14ac:dyDescent="0.25">
      <c r="A15" s="1367"/>
      <c r="B15" s="1375"/>
      <c r="C15" s="268" t="s">
        <v>492</v>
      </c>
      <c r="D15" s="1368"/>
      <c r="E15" s="1368"/>
      <c r="F15" s="1368"/>
      <c r="G15" s="1368"/>
      <c r="H15" s="1368"/>
      <c r="I15" s="1368"/>
      <c r="J15" s="1368"/>
    </row>
    <row r="16" spans="1:10" ht="18" customHeight="1" x14ac:dyDescent="0.25">
      <c r="A16" s="1367"/>
      <c r="B16" s="1374" t="s">
        <v>550</v>
      </c>
      <c r="C16" s="268" t="s">
        <v>494</v>
      </c>
      <c r="D16" s="1368"/>
      <c r="E16" s="1368"/>
      <c r="F16" s="1368"/>
      <c r="G16" s="1368"/>
      <c r="H16" s="1368"/>
      <c r="I16" s="1368"/>
      <c r="J16" s="1368"/>
    </row>
    <row r="17" spans="1:10" ht="16.5" customHeight="1" x14ac:dyDescent="0.25">
      <c r="A17" s="1367"/>
      <c r="B17" s="1374"/>
      <c r="C17" s="268" t="s">
        <v>495</v>
      </c>
      <c r="D17" s="1368"/>
      <c r="E17" s="1368"/>
      <c r="F17" s="1368"/>
      <c r="G17" s="1368"/>
      <c r="H17" s="1368"/>
      <c r="I17" s="1368"/>
      <c r="J17" s="1368"/>
    </row>
    <row r="18" spans="1:10" ht="18" customHeight="1" x14ac:dyDescent="0.25">
      <c r="A18" s="1367"/>
      <c r="B18" s="1374"/>
      <c r="C18" s="268" t="s">
        <v>496</v>
      </c>
      <c r="D18" s="1368"/>
      <c r="E18" s="1368"/>
      <c r="F18" s="1368"/>
      <c r="G18" s="1368"/>
      <c r="H18" s="1368"/>
      <c r="I18" s="1368"/>
      <c r="J18" s="1368"/>
    </row>
    <row r="19" spans="1:10" ht="20.25" customHeight="1" x14ac:dyDescent="0.25">
      <c r="A19" s="1367"/>
      <c r="B19" s="1374" t="s">
        <v>551</v>
      </c>
      <c r="C19" s="268" t="s">
        <v>498</v>
      </c>
      <c r="D19" s="1368"/>
      <c r="E19" s="1368"/>
      <c r="F19" s="1368"/>
      <c r="G19" s="1368"/>
      <c r="H19" s="1368"/>
      <c r="I19" s="1368"/>
      <c r="J19" s="1368"/>
    </row>
    <row r="20" spans="1:10" ht="22.5" customHeight="1" x14ac:dyDescent="0.25">
      <c r="A20" s="1367"/>
      <c r="B20" s="1374"/>
      <c r="C20" s="268" t="s">
        <v>499</v>
      </c>
      <c r="D20" s="1368"/>
      <c r="E20" s="1368"/>
      <c r="F20" s="1368"/>
      <c r="G20" s="1368"/>
      <c r="H20" s="1368"/>
      <c r="I20" s="1368"/>
      <c r="J20" s="1368"/>
    </row>
    <row r="21" spans="1:10" ht="24" customHeight="1" x14ac:dyDescent="0.25">
      <c r="A21" s="277" t="s">
        <v>500</v>
      </c>
      <c r="B21" s="269" t="s">
        <v>501</v>
      </c>
      <c r="C21" s="269"/>
      <c r="D21" s="269"/>
      <c r="E21" s="269"/>
      <c r="F21" s="269"/>
      <c r="G21" s="269"/>
      <c r="H21" s="269"/>
      <c r="I21" s="269"/>
      <c r="J21" s="269"/>
    </row>
    <row r="22" spans="1:10" ht="19.5" customHeight="1" x14ac:dyDescent="0.25">
      <c r="A22" s="1367"/>
      <c r="B22" s="1373" t="s">
        <v>552</v>
      </c>
      <c r="C22" s="268" t="s">
        <v>553</v>
      </c>
      <c r="D22" s="1368"/>
      <c r="E22" s="1368"/>
      <c r="F22" s="1368"/>
      <c r="G22" s="1368"/>
      <c r="H22" s="1368"/>
      <c r="I22" s="1368"/>
      <c r="J22" s="1368"/>
    </row>
    <row r="23" spans="1:10" ht="13.5" customHeight="1" x14ac:dyDescent="0.25">
      <c r="A23" s="1367"/>
      <c r="B23" s="1373"/>
      <c r="C23" s="268" t="s">
        <v>554</v>
      </c>
      <c r="D23" s="1368"/>
      <c r="E23" s="1368"/>
      <c r="F23" s="1368"/>
      <c r="G23" s="1368"/>
      <c r="H23" s="1368"/>
      <c r="I23" s="1368"/>
      <c r="J23" s="1368"/>
    </row>
    <row r="24" spans="1:10" ht="36" customHeight="1" x14ac:dyDescent="0.25">
      <c r="A24" s="1367"/>
      <c r="B24" s="1374" t="s">
        <v>555</v>
      </c>
      <c r="C24" s="278" t="s">
        <v>556</v>
      </c>
      <c r="D24" s="1368"/>
      <c r="E24" s="1368"/>
      <c r="F24" s="1368"/>
      <c r="G24" s="1368"/>
      <c r="H24" s="1368"/>
      <c r="I24" s="1368"/>
      <c r="J24" s="1368"/>
    </row>
    <row r="25" spans="1:10" ht="33" customHeight="1" x14ac:dyDescent="0.25">
      <c r="A25" s="1367"/>
      <c r="B25" s="1374"/>
      <c r="C25" s="278" t="s">
        <v>557</v>
      </c>
      <c r="D25" s="1368"/>
      <c r="E25" s="1368"/>
      <c r="F25" s="1368"/>
      <c r="G25" s="1368"/>
      <c r="H25" s="1368"/>
      <c r="I25" s="1368"/>
      <c r="J25" s="1368"/>
    </row>
    <row r="26" spans="1:10" ht="19.5" customHeight="1" x14ac:dyDescent="0.25">
      <c r="A26" s="1367"/>
      <c r="B26" s="1373" t="s">
        <v>558</v>
      </c>
      <c r="C26" s="278" t="s">
        <v>559</v>
      </c>
      <c r="D26" s="1368"/>
      <c r="E26" s="1368"/>
      <c r="F26" s="1368"/>
      <c r="G26" s="1368"/>
      <c r="H26" s="1368"/>
      <c r="I26" s="1368"/>
      <c r="J26" s="1368"/>
    </row>
    <row r="27" spans="1:10" ht="24.75" customHeight="1" x14ac:dyDescent="0.25">
      <c r="A27" s="1367"/>
      <c r="B27" s="1373"/>
      <c r="C27" s="278" t="s">
        <v>560</v>
      </c>
      <c r="D27" s="1368"/>
      <c r="E27" s="1368"/>
      <c r="F27" s="1368"/>
      <c r="G27" s="1368"/>
      <c r="H27" s="1368"/>
      <c r="I27" s="1368"/>
      <c r="J27" s="1368"/>
    </row>
    <row r="28" spans="1:10" x14ac:dyDescent="0.25">
      <c r="A28" s="1367"/>
      <c r="B28" s="1373" t="s">
        <v>561</v>
      </c>
      <c r="C28" s="278" t="s">
        <v>562</v>
      </c>
      <c r="D28" s="1368"/>
      <c r="E28" s="1368"/>
      <c r="F28" s="1368"/>
      <c r="G28" s="1368"/>
      <c r="H28" s="1368"/>
      <c r="I28" s="1368"/>
      <c r="J28" s="1368"/>
    </row>
    <row r="29" spans="1:10" x14ac:dyDescent="0.25">
      <c r="A29" s="1367"/>
      <c r="B29" s="1373"/>
      <c r="C29" s="278" t="s">
        <v>563</v>
      </c>
      <c r="D29" s="1368"/>
      <c r="E29" s="1368"/>
      <c r="F29" s="1368"/>
      <c r="G29" s="1368"/>
      <c r="H29" s="1368"/>
      <c r="I29" s="1368"/>
      <c r="J29" s="1368"/>
    </row>
    <row r="30" spans="1:10" x14ac:dyDescent="0.25">
      <c r="A30" s="277" t="s">
        <v>531</v>
      </c>
      <c r="B30" s="269" t="s">
        <v>532</v>
      </c>
      <c r="C30" s="269"/>
      <c r="D30" s="269"/>
      <c r="E30" s="269"/>
      <c r="F30" s="269"/>
      <c r="G30" s="269"/>
      <c r="H30" s="269"/>
      <c r="I30" s="269"/>
      <c r="J30" s="269"/>
    </row>
    <row r="31" spans="1:10" ht="16.5" customHeight="1" x14ac:dyDescent="0.25">
      <c r="A31" s="1367"/>
      <c r="B31" s="1373" t="s">
        <v>564</v>
      </c>
      <c r="C31" s="278" t="s">
        <v>565</v>
      </c>
      <c r="D31" s="1368"/>
      <c r="E31" s="1368"/>
      <c r="F31" s="1368"/>
      <c r="G31" s="1368"/>
      <c r="H31" s="1368"/>
      <c r="I31" s="1368"/>
      <c r="J31" s="1368"/>
    </row>
    <row r="32" spans="1:10" ht="18.75" customHeight="1" x14ac:dyDescent="0.25">
      <c r="A32" s="1367"/>
      <c r="B32" s="1373"/>
      <c r="C32" s="278" t="s">
        <v>566</v>
      </c>
      <c r="D32" s="1368"/>
      <c r="E32" s="1368"/>
      <c r="F32" s="1368"/>
      <c r="G32" s="1368"/>
      <c r="H32" s="1368"/>
      <c r="I32" s="1368"/>
      <c r="J32" s="1368"/>
    </row>
    <row r="33" spans="1:10" ht="23.25" customHeight="1" x14ac:dyDescent="0.25">
      <c r="A33" s="1367"/>
      <c r="B33" s="1374" t="s">
        <v>567</v>
      </c>
      <c r="C33" s="268" t="s">
        <v>537</v>
      </c>
      <c r="D33" s="1368"/>
      <c r="E33" s="1368"/>
      <c r="F33" s="1368"/>
      <c r="G33" s="1368"/>
      <c r="H33" s="1368"/>
      <c r="I33" s="1368"/>
      <c r="J33" s="1368"/>
    </row>
    <row r="34" spans="1:10" ht="21.75" customHeight="1" x14ac:dyDescent="0.25">
      <c r="A34" s="1367"/>
      <c r="B34" s="1374"/>
      <c r="C34" s="268" t="s">
        <v>568</v>
      </c>
      <c r="D34" s="1368"/>
      <c r="E34" s="1368"/>
      <c r="F34" s="1368"/>
      <c r="G34" s="1368"/>
      <c r="H34" s="1368"/>
      <c r="I34" s="1368"/>
      <c r="J34" s="1368"/>
    </row>
    <row r="35" spans="1:10" ht="16.5" customHeight="1" x14ac:dyDescent="0.25">
      <c r="A35" s="1367"/>
      <c r="B35" s="1374"/>
      <c r="C35" s="268" t="s">
        <v>569</v>
      </c>
      <c r="D35" s="1368"/>
      <c r="E35" s="1368"/>
      <c r="F35" s="1368"/>
      <c r="G35" s="1368"/>
      <c r="H35" s="1368"/>
      <c r="I35" s="1368"/>
      <c r="J35" s="1368"/>
    </row>
    <row r="36" spans="1:10" ht="26.25" customHeight="1" x14ac:dyDescent="0.25">
      <c r="A36" s="1367"/>
      <c r="B36" s="1373" t="s">
        <v>570</v>
      </c>
      <c r="C36" s="278" t="s">
        <v>571</v>
      </c>
      <c r="D36" s="1368"/>
      <c r="E36" s="1368"/>
      <c r="F36" s="1368"/>
      <c r="G36" s="1368"/>
      <c r="H36" s="1368"/>
      <c r="I36" s="1368"/>
      <c r="J36" s="1368"/>
    </row>
    <row r="37" spans="1:10" ht="33.75" customHeight="1" x14ac:dyDescent="0.25">
      <c r="A37" s="1367"/>
      <c r="B37" s="1373"/>
      <c r="C37" s="278" t="s">
        <v>572</v>
      </c>
      <c r="D37" s="1368"/>
      <c r="E37" s="1368"/>
      <c r="F37" s="1368"/>
      <c r="G37" s="1368"/>
      <c r="H37" s="1368"/>
      <c r="I37" s="1368"/>
      <c r="J37" s="1368"/>
    </row>
    <row r="38" spans="1:10" ht="18.75" customHeight="1" x14ac:dyDescent="0.25">
      <c r="A38" s="1367"/>
      <c r="B38" s="1373" t="s">
        <v>573</v>
      </c>
      <c r="C38" s="278" t="s">
        <v>574</v>
      </c>
      <c r="D38" s="1368"/>
      <c r="E38" s="1368"/>
      <c r="F38" s="1368"/>
      <c r="G38" s="1368"/>
      <c r="H38" s="1368"/>
      <c r="I38" s="1368"/>
      <c r="J38" s="1368"/>
    </row>
    <row r="39" spans="1:10" ht="27.75" customHeight="1" x14ac:dyDescent="0.25">
      <c r="A39" s="1367"/>
      <c r="B39" s="1373"/>
      <c r="C39" s="278" t="s">
        <v>575</v>
      </c>
      <c r="D39" s="1368"/>
      <c r="E39" s="1368"/>
      <c r="F39" s="1368"/>
      <c r="G39" s="1368"/>
      <c r="H39" s="1368"/>
      <c r="I39" s="1368"/>
      <c r="J39" s="1368"/>
    </row>
    <row r="40" spans="1:10" ht="20.25" customHeight="1" x14ac:dyDescent="0.25">
      <c r="A40" s="1367"/>
      <c r="B40" s="1373" t="s">
        <v>576</v>
      </c>
      <c r="C40" s="278" t="s">
        <v>577</v>
      </c>
      <c r="D40" s="1368"/>
      <c r="E40" s="1368"/>
      <c r="F40" s="1368"/>
      <c r="G40" s="1368"/>
      <c r="H40" s="1368"/>
      <c r="I40" s="1368"/>
      <c r="J40" s="1368"/>
    </row>
    <row r="41" spans="1:10" ht="20.25" customHeight="1" x14ac:dyDescent="0.25">
      <c r="A41" s="1367"/>
      <c r="B41" s="1373"/>
      <c r="C41" s="278" t="s">
        <v>578</v>
      </c>
      <c r="D41" s="1368"/>
      <c r="E41" s="1368"/>
      <c r="F41" s="1368"/>
      <c r="G41" s="1368"/>
      <c r="H41" s="1368"/>
      <c r="I41" s="1368"/>
      <c r="J41" s="1368"/>
    </row>
    <row r="44" spans="1:10" x14ac:dyDescent="0.25">
      <c r="D44" s="27" t="s">
        <v>974</v>
      </c>
      <c r="E44" s="27"/>
      <c r="F44" s="27"/>
    </row>
    <row r="45" spans="1:10" x14ac:dyDescent="0.25">
      <c r="B45" s="27" t="s">
        <v>33</v>
      </c>
      <c r="D45" s="27"/>
      <c r="E45" s="27"/>
      <c r="F45" s="27"/>
    </row>
    <row r="46" spans="1:10" x14ac:dyDescent="0.25">
      <c r="B46" s="28" t="s">
        <v>289</v>
      </c>
      <c r="D46" s="27" t="s">
        <v>41</v>
      </c>
      <c r="E46" s="27"/>
      <c r="F46" s="27"/>
    </row>
    <row r="47" spans="1:10" x14ac:dyDescent="0.25">
      <c r="B47" s="28"/>
      <c r="D47" s="27"/>
      <c r="E47" s="27"/>
      <c r="F47" s="27"/>
    </row>
    <row r="48" spans="1:10" x14ac:dyDescent="0.25">
      <c r="B48" s="28"/>
      <c r="D48" s="146"/>
      <c r="E48" s="27"/>
      <c r="F48" s="27"/>
    </row>
    <row r="49" spans="2:6" x14ac:dyDescent="0.25">
      <c r="B49" s="28"/>
      <c r="D49" s="27"/>
      <c r="E49" s="27"/>
      <c r="F49" s="27"/>
    </row>
    <row r="50" spans="2:6" x14ac:dyDescent="0.25">
      <c r="B50" s="34" t="s">
        <v>967</v>
      </c>
      <c r="D50" s="34" t="s">
        <v>1154</v>
      </c>
      <c r="E50" s="27"/>
      <c r="F50" s="27"/>
    </row>
    <row r="51" spans="2:6" x14ac:dyDescent="0.25">
      <c r="B51" s="28" t="s">
        <v>970</v>
      </c>
      <c r="D51" s="28" t="s">
        <v>1160</v>
      </c>
      <c r="E51" s="27"/>
      <c r="F51" s="27"/>
    </row>
    <row r="52" spans="2:6" x14ac:dyDescent="0.25">
      <c r="B52" s="27"/>
      <c r="D52" s="27"/>
      <c r="E52" s="27"/>
      <c r="F52" s="27"/>
    </row>
    <row r="53" spans="2:6" x14ac:dyDescent="0.25">
      <c r="B53" s="143" t="s">
        <v>137</v>
      </c>
      <c r="D53" s="143" t="s">
        <v>1195</v>
      </c>
      <c r="E53" s="27"/>
      <c r="F53" s="144"/>
    </row>
    <row r="54" spans="2:6" x14ac:dyDescent="0.25">
      <c r="B54" s="143"/>
      <c r="D54" s="143"/>
      <c r="E54" s="27"/>
      <c r="F54" s="144"/>
    </row>
    <row r="55" spans="2:6" x14ac:dyDescent="0.25">
      <c r="B55" s="143"/>
      <c r="D55" s="143"/>
      <c r="E55" s="27"/>
      <c r="F55" s="144"/>
    </row>
    <row r="56" spans="2:6" x14ac:dyDescent="0.25">
      <c r="B56" s="28"/>
      <c r="D56" s="28"/>
      <c r="E56" s="27"/>
      <c r="F56" s="28"/>
    </row>
    <row r="57" spans="2:6" x14ac:dyDescent="0.25">
      <c r="B57" s="28" t="s">
        <v>968</v>
      </c>
      <c r="D57" s="27" t="s">
        <v>1156</v>
      </c>
      <c r="E57" s="27"/>
      <c r="F57" s="144"/>
    </row>
    <row r="58" spans="2:6" x14ac:dyDescent="0.25">
      <c r="B58" s="28" t="s">
        <v>969</v>
      </c>
      <c r="D58" s="27" t="s">
        <v>1157</v>
      </c>
      <c r="E58" s="27"/>
      <c r="F58" s="144"/>
    </row>
  </sheetData>
  <mergeCells count="126">
    <mergeCell ref="D10:J10"/>
    <mergeCell ref="A12:A13"/>
    <mergeCell ref="B12:B13"/>
    <mergeCell ref="D12:D13"/>
    <mergeCell ref="E12:E13"/>
    <mergeCell ref="F12:F13"/>
    <mergeCell ref="G12:G13"/>
    <mergeCell ref="H12:H13"/>
    <mergeCell ref="I12:I13"/>
    <mergeCell ref="J12:J13"/>
    <mergeCell ref="H14:H15"/>
    <mergeCell ref="I14:I15"/>
    <mergeCell ref="J14:J15"/>
    <mergeCell ref="A16:A18"/>
    <mergeCell ref="B16:B18"/>
    <mergeCell ref="D16:D18"/>
    <mergeCell ref="E16:E18"/>
    <mergeCell ref="F16:F18"/>
    <mergeCell ref="G16:G18"/>
    <mergeCell ref="H16:H18"/>
    <mergeCell ref="A14:A15"/>
    <mergeCell ref="B14:B15"/>
    <mergeCell ref="D14:D15"/>
    <mergeCell ref="E14:E15"/>
    <mergeCell ref="F14:F15"/>
    <mergeCell ref="G14:G15"/>
    <mergeCell ref="I16:I18"/>
    <mergeCell ref="J16:J18"/>
    <mergeCell ref="A24:A25"/>
    <mergeCell ref="B24:B25"/>
    <mergeCell ref="D24:D25"/>
    <mergeCell ref="E24:E25"/>
    <mergeCell ref="F24:F25"/>
    <mergeCell ref="G24:G25"/>
    <mergeCell ref="A22:A23"/>
    <mergeCell ref="D22:D23"/>
    <mergeCell ref="E22:E23"/>
    <mergeCell ref="F22:F23"/>
    <mergeCell ref="G22:G23"/>
    <mergeCell ref="A19:A20"/>
    <mergeCell ref="B19:B20"/>
    <mergeCell ref="D19:D20"/>
    <mergeCell ref="E19:E20"/>
    <mergeCell ref="F19:F20"/>
    <mergeCell ref="G19:G20"/>
    <mergeCell ref="H19:H20"/>
    <mergeCell ref="I19:I20"/>
    <mergeCell ref="J19:J20"/>
    <mergeCell ref="H31:H32"/>
    <mergeCell ref="I31:I32"/>
    <mergeCell ref="J31:J32"/>
    <mergeCell ref="H33:H35"/>
    <mergeCell ref="I33:I35"/>
    <mergeCell ref="J33:J35"/>
    <mergeCell ref="I26:I27"/>
    <mergeCell ref="J26:J27"/>
    <mergeCell ref="H22:H23"/>
    <mergeCell ref="I22:I23"/>
    <mergeCell ref="J22:J23"/>
    <mergeCell ref="H24:H25"/>
    <mergeCell ref="I24:I25"/>
    <mergeCell ref="J24:J25"/>
    <mergeCell ref="A28:A29"/>
    <mergeCell ref="D28:D29"/>
    <mergeCell ref="E28:E29"/>
    <mergeCell ref="F28:F29"/>
    <mergeCell ref="G28:G29"/>
    <mergeCell ref="H28:H29"/>
    <mergeCell ref="I28:I29"/>
    <mergeCell ref="J28:J29"/>
    <mergeCell ref="A26:A27"/>
    <mergeCell ref="D26:D27"/>
    <mergeCell ref="E26:E27"/>
    <mergeCell ref="F26:F27"/>
    <mergeCell ref="G26:G27"/>
    <mergeCell ref="H26:H27"/>
    <mergeCell ref="A33:A35"/>
    <mergeCell ref="B33:B35"/>
    <mergeCell ref="D33:D35"/>
    <mergeCell ref="E33:E35"/>
    <mergeCell ref="F33:F35"/>
    <mergeCell ref="G33:G35"/>
    <mergeCell ref="A31:A32"/>
    <mergeCell ref="D31:D32"/>
    <mergeCell ref="E31:E32"/>
    <mergeCell ref="F31:F32"/>
    <mergeCell ref="G31:G32"/>
    <mergeCell ref="I36:I37"/>
    <mergeCell ref="J36:J37"/>
    <mergeCell ref="A38:A39"/>
    <mergeCell ref="D38:D39"/>
    <mergeCell ref="E38:E39"/>
    <mergeCell ref="F38:F39"/>
    <mergeCell ref="G38:G39"/>
    <mergeCell ref="H38:H39"/>
    <mergeCell ref="I38:I39"/>
    <mergeCell ref="A36:A37"/>
    <mergeCell ref="D36:D37"/>
    <mergeCell ref="E36:E37"/>
    <mergeCell ref="F36:F37"/>
    <mergeCell ref="G36:G37"/>
    <mergeCell ref="H36:H37"/>
    <mergeCell ref="G1:J1"/>
    <mergeCell ref="G2:J2"/>
    <mergeCell ref="B38:B39"/>
    <mergeCell ref="B36:B37"/>
    <mergeCell ref="B22:B23"/>
    <mergeCell ref="B28:B29"/>
    <mergeCell ref="B31:B32"/>
    <mergeCell ref="B40:B41"/>
    <mergeCell ref="B26:B27"/>
    <mergeCell ref="A3:J3"/>
    <mergeCell ref="A4:B4"/>
    <mergeCell ref="A5:B5"/>
    <mergeCell ref="A6:B6"/>
    <mergeCell ref="A7:B7"/>
    <mergeCell ref="A8:B8"/>
    <mergeCell ref="J38:J39"/>
    <mergeCell ref="A40:A41"/>
    <mergeCell ref="D40:D41"/>
    <mergeCell ref="E40:E41"/>
    <mergeCell ref="F40:F41"/>
    <mergeCell ref="G40:G41"/>
    <mergeCell ref="H40:H41"/>
    <mergeCell ref="I40:I41"/>
    <mergeCell ref="J40:J41"/>
  </mergeCells>
  <pageMargins left="0.51181102362204722" right="0.31496062992125984" top="0.55118110236220474" bottom="1.3385826771653544" header="0.31496062992125984" footer="0.31496062992125984"/>
  <pageSetup paperSize="5" scale="90" orientation="landscape" horizontalDpi="0" verticalDpi="0"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0000"/>
  </sheetPr>
  <dimension ref="A1:H46"/>
  <sheetViews>
    <sheetView workbookViewId="0">
      <selection activeCell="F32" sqref="F32"/>
    </sheetView>
  </sheetViews>
  <sheetFormatPr defaultRowHeight="15" x14ac:dyDescent="0.25"/>
  <cols>
    <col min="1" max="1" width="5.42578125" customWidth="1"/>
    <col min="2" max="2" width="17.85546875" style="242" customWidth="1"/>
    <col min="3" max="6" width="13.5703125" customWidth="1"/>
  </cols>
  <sheetData>
    <row r="1" spans="1:8" ht="18.75" x14ac:dyDescent="0.3">
      <c r="A1" s="1386" t="s">
        <v>605</v>
      </c>
      <c r="B1" s="1386"/>
      <c r="C1" s="1386"/>
      <c r="D1" s="1386"/>
      <c r="E1" s="1386"/>
      <c r="F1" s="1386"/>
      <c r="G1" s="1386"/>
      <c r="H1" s="1386"/>
    </row>
    <row r="5" spans="1:8" x14ac:dyDescent="0.25">
      <c r="A5" s="1387" t="s">
        <v>547</v>
      </c>
      <c r="B5" s="1387"/>
      <c r="C5" t="s">
        <v>65</v>
      </c>
    </row>
    <row r="6" spans="1:8" x14ac:dyDescent="0.25">
      <c r="A6" s="1387" t="s">
        <v>594</v>
      </c>
      <c r="B6" s="1387"/>
      <c r="C6" t="s">
        <v>65</v>
      </c>
    </row>
    <row r="7" spans="1:8" x14ac:dyDescent="0.25">
      <c r="A7" s="1387" t="s">
        <v>38</v>
      </c>
      <c r="B7" s="1387"/>
      <c r="C7" t="s">
        <v>65</v>
      </c>
    </row>
    <row r="8" spans="1:8" x14ac:dyDescent="0.25">
      <c r="A8" s="1387" t="s">
        <v>416</v>
      </c>
      <c r="B8" s="1387"/>
      <c r="C8" t="s">
        <v>65</v>
      </c>
    </row>
    <row r="9" spans="1:8" x14ac:dyDescent="0.25">
      <c r="A9" s="1388" t="s">
        <v>104</v>
      </c>
      <c r="B9" s="1388"/>
      <c r="C9" t="s">
        <v>65</v>
      </c>
    </row>
    <row r="11" spans="1:8" x14ac:dyDescent="0.25">
      <c r="A11" s="1379" t="s">
        <v>0</v>
      </c>
      <c r="B11" s="1379" t="s">
        <v>606</v>
      </c>
      <c r="C11" s="1379" t="s">
        <v>322</v>
      </c>
      <c r="D11" s="1379"/>
      <c r="E11" s="1379"/>
      <c r="F11" s="1379"/>
      <c r="G11" s="1380" t="s">
        <v>164</v>
      </c>
      <c r="H11" s="1381"/>
    </row>
    <row r="12" spans="1:8" x14ac:dyDescent="0.25">
      <c r="A12" s="1379"/>
      <c r="B12" s="1379"/>
      <c r="C12" s="1379" t="s">
        <v>583</v>
      </c>
      <c r="D12" s="1379" t="s">
        <v>584</v>
      </c>
      <c r="E12" s="1379"/>
      <c r="F12" s="1379"/>
      <c r="G12" s="1382"/>
      <c r="H12" s="1383"/>
    </row>
    <row r="13" spans="1:8" x14ac:dyDescent="0.25">
      <c r="A13" s="1379"/>
      <c r="B13" s="1379"/>
      <c r="C13" s="1379"/>
      <c r="D13" s="283" t="s">
        <v>585</v>
      </c>
      <c r="E13" s="283" t="s">
        <v>428</v>
      </c>
      <c r="F13" s="283" t="s">
        <v>586</v>
      </c>
      <c r="G13" s="1384"/>
      <c r="H13" s="1385"/>
    </row>
    <row r="14" spans="1:8" x14ac:dyDescent="0.25">
      <c r="A14" s="248">
        <v>1</v>
      </c>
      <c r="B14" s="253"/>
      <c r="C14" s="253">
        <v>4</v>
      </c>
      <c r="D14" s="253">
        <v>2</v>
      </c>
      <c r="E14" s="253">
        <v>2</v>
      </c>
      <c r="F14" s="253" t="s">
        <v>587</v>
      </c>
      <c r="G14" s="282"/>
      <c r="H14" s="282"/>
    </row>
    <row r="15" spans="1:8" x14ac:dyDescent="0.25">
      <c r="A15" s="248">
        <v>2</v>
      </c>
      <c r="B15" s="253"/>
      <c r="C15" s="282"/>
      <c r="D15" s="282"/>
      <c r="E15" s="282"/>
      <c r="F15" s="282"/>
      <c r="G15" s="282"/>
      <c r="H15" s="282"/>
    </row>
    <row r="16" spans="1:8" x14ac:dyDescent="0.25">
      <c r="A16" s="248">
        <v>3</v>
      </c>
      <c r="B16" s="253"/>
      <c r="C16" s="282"/>
      <c r="D16" s="282"/>
      <c r="E16" s="282"/>
      <c r="F16" s="282"/>
      <c r="G16" s="282"/>
      <c r="H16" s="282"/>
    </row>
    <row r="17" spans="1:8" x14ac:dyDescent="0.25">
      <c r="A17" s="248">
        <v>4</v>
      </c>
      <c r="B17" s="253"/>
      <c r="C17" s="282"/>
      <c r="D17" s="282"/>
      <c r="E17" s="282"/>
      <c r="F17" s="282"/>
      <c r="G17" s="282"/>
      <c r="H17" s="282"/>
    </row>
    <row r="18" spans="1:8" x14ac:dyDescent="0.25">
      <c r="A18" s="248">
        <v>5</v>
      </c>
      <c r="B18" s="253"/>
      <c r="C18" s="282"/>
      <c r="D18" s="282"/>
      <c r="E18" s="282"/>
      <c r="F18" s="282"/>
      <c r="G18" s="282"/>
      <c r="H18" s="282"/>
    </row>
    <row r="19" spans="1:8" x14ac:dyDescent="0.25">
      <c r="A19" s="248">
        <v>6</v>
      </c>
      <c r="B19" s="253"/>
      <c r="C19" s="282"/>
      <c r="D19" s="282"/>
      <c r="E19" s="282"/>
      <c r="F19" s="282"/>
      <c r="G19" s="282"/>
      <c r="H19" s="282"/>
    </row>
    <row r="20" spans="1:8" x14ac:dyDescent="0.25">
      <c r="A20" s="248">
        <v>7</v>
      </c>
      <c r="B20" s="253"/>
      <c r="C20" s="282"/>
      <c r="D20" s="282"/>
      <c r="E20" s="282"/>
      <c r="F20" s="282"/>
      <c r="G20" s="282"/>
      <c r="H20" s="282"/>
    </row>
    <row r="21" spans="1:8" x14ac:dyDescent="0.25">
      <c r="A21" s="248">
        <v>8</v>
      </c>
      <c r="B21" s="253"/>
      <c r="C21" s="282"/>
      <c r="D21" s="282"/>
      <c r="E21" s="282"/>
      <c r="F21" s="282"/>
      <c r="G21" s="282"/>
      <c r="H21" s="282"/>
    </row>
    <row r="22" spans="1:8" x14ac:dyDescent="0.25">
      <c r="A22" s="248">
        <v>9</v>
      </c>
      <c r="B22" s="253"/>
      <c r="C22" s="282"/>
      <c r="D22" s="282"/>
      <c r="E22" s="282"/>
      <c r="F22" s="282"/>
      <c r="G22" s="282"/>
      <c r="H22" s="282"/>
    </row>
    <row r="23" spans="1:8" x14ac:dyDescent="0.25">
      <c r="A23" s="248">
        <v>10</v>
      </c>
      <c r="B23" s="253"/>
      <c r="C23" s="282"/>
      <c r="D23" s="282"/>
      <c r="E23" s="282"/>
      <c r="F23" s="282"/>
      <c r="G23" s="282"/>
      <c r="H23" s="282"/>
    </row>
    <row r="24" spans="1:8" x14ac:dyDescent="0.25">
      <c r="A24" s="248">
        <v>11</v>
      </c>
      <c r="B24" s="253"/>
      <c r="C24" s="282"/>
      <c r="D24" s="282"/>
      <c r="E24" s="282"/>
      <c r="F24" s="282"/>
      <c r="G24" s="282"/>
      <c r="H24" s="282"/>
    </row>
    <row r="25" spans="1:8" x14ac:dyDescent="0.25">
      <c r="A25" s="248">
        <v>12</v>
      </c>
      <c r="B25" s="253"/>
      <c r="C25" s="282"/>
      <c r="D25" s="282"/>
      <c r="E25" s="282"/>
      <c r="F25" s="282"/>
      <c r="G25" s="282"/>
      <c r="H25" s="282"/>
    </row>
    <row r="26" spans="1:8" x14ac:dyDescent="0.25">
      <c r="A26" s="248">
        <v>13</v>
      </c>
      <c r="B26" s="253"/>
      <c r="C26" s="282"/>
      <c r="D26" s="282"/>
      <c r="E26" s="282"/>
      <c r="F26" s="282"/>
      <c r="G26" s="282"/>
      <c r="H26" s="282"/>
    </row>
    <row r="27" spans="1:8" x14ac:dyDescent="0.25">
      <c r="A27" s="282"/>
      <c r="B27" s="253"/>
      <c r="C27" s="282"/>
      <c r="D27" s="282"/>
      <c r="E27" s="282"/>
      <c r="F27" s="282"/>
      <c r="G27" s="282"/>
      <c r="H27" s="282"/>
    </row>
    <row r="30" spans="1:8" x14ac:dyDescent="0.25">
      <c r="B30"/>
    </row>
    <row r="31" spans="1:8" x14ac:dyDescent="0.25">
      <c r="B31"/>
      <c r="F31" s="27" t="s">
        <v>604</v>
      </c>
      <c r="G31" s="27"/>
      <c r="H31" s="27"/>
    </row>
    <row r="32" spans="1:8" x14ac:dyDescent="0.25">
      <c r="B32" s="27" t="s">
        <v>33</v>
      </c>
      <c r="F32" s="27"/>
      <c r="G32" s="27"/>
      <c r="H32" s="27"/>
    </row>
    <row r="33" spans="2:8" x14ac:dyDescent="0.25">
      <c r="B33" s="28" t="s">
        <v>289</v>
      </c>
      <c r="F33" s="27" t="s">
        <v>41</v>
      </c>
      <c r="G33" s="27"/>
      <c r="H33" s="27"/>
    </row>
    <row r="34" spans="2:8" x14ac:dyDescent="0.25">
      <c r="B34" s="28"/>
      <c r="F34" s="27"/>
      <c r="G34" s="27"/>
      <c r="H34" s="27"/>
    </row>
    <row r="35" spans="2:8" x14ac:dyDescent="0.25">
      <c r="B35" s="28"/>
      <c r="F35" s="146"/>
      <c r="G35" s="27"/>
      <c r="H35" s="27"/>
    </row>
    <row r="36" spans="2:8" x14ac:dyDescent="0.25">
      <c r="B36" s="28"/>
      <c r="F36" s="27"/>
      <c r="G36" s="27"/>
      <c r="H36" s="27"/>
    </row>
    <row r="37" spans="2:8" x14ac:dyDescent="0.25">
      <c r="B37" s="167"/>
      <c r="F37" s="167"/>
      <c r="G37" s="27"/>
      <c r="H37" s="27"/>
    </row>
    <row r="38" spans="2:8" x14ac:dyDescent="0.25">
      <c r="B38" s="28" t="s">
        <v>333</v>
      </c>
      <c r="F38" s="28" t="s">
        <v>333</v>
      </c>
      <c r="G38" s="27"/>
      <c r="H38" s="27"/>
    </row>
    <row r="39" spans="2:8" x14ac:dyDescent="0.25">
      <c r="B39" s="27"/>
      <c r="F39" s="27"/>
      <c r="G39" s="27"/>
      <c r="H39" s="27"/>
    </row>
    <row r="40" spans="2:8" x14ac:dyDescent="0.25">
      <c r="B40" s="143" t="s">
        <v>137</v>
      </c>
      <c r="F40" s="143" t="s">
        <v>285</v>
      </c>
      <c r="G40" s="27"/>
      <c r="H40" s="144"/>
    </row>
    <row r="41" spans="2:8" x14ac:dyDescent="0.25">
      <c r="B41" s="143"/>
      <c r="F41" s="143"/>
      <c r="G41" s="27"/>
      <c r="H41" s="144"/>
    </row>
    <row r="42" spans="2:8" x14ac:dyDescent="0.25">
      <c r="B42" s="143"/>
      <c r="F42" s="143"/>
      <c r="G42" s="27"/>
      <c r="H42" s="144"/>
    </row>
    <row r="43" spans="2:8" x14ac:dyDescent="0.25">
      <c r="B43" s="28"/>
      <c r="F43" s="28"/>
      <c r="G43" s="27"/>
      <c r="H43" s="28"/>
    </row>
    <row r="44" spans="2:8" x14ac:dyDescent="0.25">
      <c r="B44" s="143" t="s">
        <v>290</v>
      </c>
      <c r="F44" s="38" t="s">
        <v>297</v>
      </c>
      <c r="G44" s="27"/>
      <c r="H44" s="144"/>
    </row>
    <row r="45" spans="2:8" x14ac:dyDescent="0.25">
      <c r="B45" s="143" t="s">
        <v>283</v>
      </c>
      <c r="F45" s="38" t="s">
        <v>298</v>
      </c>
      <c r="G45" s="27"/>
      <c r="H45" s="144"/>
    </row>
    <row r="46" spans="2:8" x14ac:dyDescent="0.25">
      <c r="B46"/>
    </row>
  </sheetData>
  <mergeCells count="12">
    <mergeCell ref="A11:A13"/>
    <mergeCell ref="B11:B13"/>
    <mergeCell ref="G11:H13"/>
    <mergeCell ref="A1:H1"/>
    <mergeCell ref="A5:B5"/>
    <mergeCell ref="A6:B6"/>
    <mergeCell ref="A7:B7"/>
    <mergeCell ref="A8:B8"/>
    <mergeCell ref="A9:B9"/>
    <mergeCell ref="D12:F12"/>
    <mergeCell ref="C12:C13"/>
    <mergeCell ref="C11:F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51</vt:i4>
      </vt:variant>
      <vt:variant>
        <vt:lpstr>Named Ranges</vt:lpstr>
      </vt:variant>
      <vt:variant>
        <vt:i4>4</vt:i4>
      </vt:variant>
    </vt:vector>
  </HeadingPairs>
  <TitlesOfParts>
    <vt:vector size="55" baseType="lpstr">
      <vt:lpstr>COVER </vt:lpstr>
      <vt:lpstr>Visi,Misi,Tuj&amp;KebjkMutu</vt:lpstr>
      <vt:lpstr>Daftar Isi </vt:lpstr>
      <vt:lpstr>Kalender Akademik (1)</vt:lpstr>
      <vt:lpstr>Jadwal (2)</vt:lpstr>
      <vt:lpstr>Prhtngn Mingg Ef(3)</vt:lpstr>
      <vt:lpstr>effektif genap</vt:lpstr>
      <vt:lpstr>effektif gasal</vt:lpstr>
      <vt:lpstr>PROTA (4)</vt:lpstr>
      <vt:lpstr>print prota</vt:lpstr>
      <vt:lpstr>TP(9)</vt:lpstr>
      <vt:lpstr>PROSEM(5)  </vt:lpstr>
      <vt:lpstr>prosem gasal</vt:lpstr>
      <vt:lpstr>prosem genap</vt:lpstr>
      <vt:lpstr>Analisis Materi (7)</vt:lpstr>
      <vt:lpstr>CP(6)</vt:lpstr>
      <vt:lpstr>ATP (8)</vt:lpstr>
      <vt:lpstr>Sheet7</vt:lpstr>
      <vt:lpstr>KKTP (10)</vt:lpstr>
      <vt:lpstr>kktp 2</vt:lpstr>
      <vt:lpstr>kktp 1</vt:lpstr>
      <vt:lpstr>Daft Hdr (12)</vt:lpstr>
      <vt:lpstr>KKM (8) batal</vt:lpstr>
      <vt:lpstr>Agenda  (22)</vt:lpstr>
      <vt:lpstr>MA- LKPD (11)</vt:lpstr>
      <vt:lpstr>rpp 1</vt:lpstr>
      <vt:lpstr>rpp 2</vt:lpstr>
      <vt:lpstr>rpp 3</vt:lpstr>
      <vt:lpstr>rpp 4</vt:lpstr>
      <vt:lpstr>rpp 5</vt:lpstr>
      <vt:lpstr>Analisis Kebutuhan Alat(15)</vt:lpstr>
      <vt:lpstr>Buku Pegangan (16)</vt:lpstr>
      <vt:lpstr>Kisi-Kisi (17)</vt:lpstr>
      <vt:lpstr>Penanganan Pesdik Brmslh (13)</vt:lpstr>
      <vt:lpstr>FORMATIF (14)</vt:lpstr>
      <vt:lpstr>NILAI KETRAMPILAN (12.b)</vt:lpstr>
      <vt:lpstr>Sheet1</vt:lpstr>
      <vt:lpstr>Anailis Hasil Ulangan (18)</vt:lpstr>
      <vt:lpstr>Anl daya serap Hal Ev(19)</vt:lpstr>
      <vt:lpstr>Prg. Perb.&amp;pengyn(20)</vt:lpstr>
      <vt:lpstr>Prog. Pengayaan(21)</vt:lpstr>
      <vt:lpstr>Target&amp;Capaian Kur ( (23)</vt:lpstr>
      <vt:lpstr>AJP (22)</vt:lpstr>
      <vt:lpstr>Analisis SKM (8)</vt:lpstr>
      <vt:lpstr>Rencana Penilaian (24)</vt:lpstr>
      <vt:lpstr>Rekap Nil.Peng.(24)</vt:lpstr>
      <vt:lpstr>Rekap Nil. Ket (25)</vt:lpstr>
      <vt:lpstr>Telaah Soal PG (25)</vt:lpstr>
      <vt:lpstr>Sheet2</vt:lpstr>
      <vt:lpstr>Telaah Soal Essay (26)</vt:lpstr>
      <vt:lpstr>Alokasi Waktu (28)</vt:lpstr>
      <vt:lpstr>'Analisis Materi (7)'!Print_Area</vt:lpstr>
      <vt:lpstr>'ATP (8)'!Print_Area</vt:lpstr>
      <vt:lpstr>'Jadwal (2)'!Print_Area</vt:lpstr>
      <vt:lpstr>'PROTA (4)'!Print_Area</vt:lpstr>
    </vt:vector>
  </TitlesOfParts>
  <Company>LiteOS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MoZarD</dc:creator>
  <cp:lastModifiedBy>afi qonina</cp:lastModifiedBy>
  <cp:lastPrinted>2026-03-05T19:22:41Z</cp:lastPrinted>
  <dcterms:created xsi:type="dcterms:W3CDTF">2008-10-25T13:13:38Z</dcterms:created>
  <dcterms:modified xsi:type="dcterms:W3CDTF">2026-03-05T19:23:11Z</dcterms:modified>
</cp:coreProperties>
</file>