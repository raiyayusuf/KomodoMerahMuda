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Family\SMK\Admin 2024\PSE\"/>
    </mc:Choice>
  </mc:AlternateContent>
  <xr:revisionPtr revIDLastSave="0" documentId="13_ncr:1_{5A14D6DC-0782-49C1-84A3-EA9419D8A569}" xr6:coauthVersionLast="47" xr6:coauthVersionMax="47" xr10:uidLastSave="{00000000-0000-0000-0000-000000000000}"/>
  <bookViews>
    <workbookView xWindow="-110" yWindow="-110" windowWidth="19420" windowHeight="10420" tabRatio="894" firstSheet="14" activeTab="20" xr2:uid="{00000000-000D-0000-FFFF-FFFF00000000}"/>
  </bookViews>
  <sheets>
    <sheet name="COVER " sheetId="127" r:id="rId1"/>
    <sheet name="Visi,Misi,Tuj&amp;KebjkMutu" sheetId="124" r:id="rId2"/>
    <sheet name="Daftar Isi " sheetId="181" r:id="rId3"/>
    <sheet name="Kalender Akademik (1)" sheetId="131" r:id="rId4"/>
    <sheet name="Jadwal (2)" sheetId="105" r:id="rId5"/>
    <sheet name="Prhtngn Mingg Ef(3)" sheetId="177" r:id="rId6"/>
    <sheet name="PROTA (4)" sheetId="179" r:id="rId7"/>
    <sheet name="PROSEM(5)  " sheetId="178" r:id="rId8"/>
    <sheet name="CP (6)" sheetId="197" r:id="rId9"/>
    <sheet name="Analisis Materi (7)" sheetId="169" r:id="rId10"/>
    <sheet name="ATP (8)" sheetId="196" r:id="rId11"/>
    <sheet name="TP (9)" sheetId="182" r:id="rId12"/>
    <sheet name="KKTP (10)" sheetId="198" r:id="rId13"/>
    <sheet name="KKM (8) batal" sheetId="183" state="hidden" r:id="rId14"/>
    <sheet name="MA- LKPD (11)" sheetId="184" r:id="rId15"/>
    <sheet name="Daft Hdr (12)" sheetId="125" r:id="rId16"/>
    <sheet name="Penanganan Pesdik Brmslh (13)" sheetId="164" r:id="rId17"/>
    <sheet name="FORMATIF (14)" sheetId="160" r:id="rId18"/>
    <sheet name="NILAI KETRAMPILAN (12.b)" sheetId="161" state="hidden" r:id="rId19"/>
    <sheet name="Sheet1" sheetId="199" state="hidden" r:id="rId20"/>
    <sheet name="Analisis Kebutuhan Alat(15)" sheetId="185" r:id="rId21"/>
    <sheet name="Buku Pegangan (16)" sheetId="8" r:id="rId22"/>
    <sheet name="Kisi-Kisi (17)" sheetId="145" r:id="rId23"/>
    <sheet name="Anailis Hasil Ulangan (18)" sheetId="186" r:id="rId24"/>
    <sheet name="Anl daya serap Hsl Ev (19)" sheetId="154" r:id="rId25"/>
    <sheet name="Prg. Perb.&amp;pengyn(20)" sheetId="141" r:id="rId26"/>
    <sheet name="Prog. Pengayaan(21)" sheetId="187" r:id="rId27"/>
    <sheet name="Agenda  (22)" sheetId="140" r:id="rId28"/>
    <sheet name="Target&amp;Capaian Kur ( (23)" sheetId="188" r:id="rId29"/>
    <sheet name="AJP (22)" sheetId="171" state="hidden" r:id="rId30"/>
    <sheet name="Analisis SKM (8)" sheetId="189" state="hidden" r:id="rId31"/>
    <sheet name="Rencana Penilaian (24)" sheetId="190" r:id="rId32"/>
    <sheet name="Rekap Nil.Peng.(24)" sheetId="191" state="hidden" r:id="rId33"/>
    <sheet name="Rekap Nil. Ket (25)" sheetId="192" state="hidden" r:id="rId34"/>
    <sheet name="Telaah Soal PG (25)" sheetId="193" r:id="rId35"/>
    <sheet name="Telaah Soal Essay (26)" sheetId="194" r:id="rId36"/>
    <sheet name="Alokasi Waktu (28)" sheetId="195" state="hidden" r:id="rId37"/>
  </sheets>
  <definedNames>
    <definedName name="_xlnm.Print_Area" localSheetId="9">'Analisis Materi (7)'!$A$1:$H$52</definedName>
    <definedName name="_xlnm.Print_Area" localSheetId="8">'CP (6)'!$A$1:$H$37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178" l="1"/>
  <c r="AE37" i="178" s="1"/>
  <c r="Z37" i="178"/>
  <c r="P37" i="178"/>
  <c r="Q37" i="178"/>
  <c r="R37" i="178"/>
  <c r="S37" i="178"/>
  <c r="T37" i="178"/>
  <c r="U37" i="178"/>
  <c r="V37" i="178"/>
  <c r="W37" i="178"/>
  <c r="X37" i="178"/>
  <c r="Y37" i="178"/>
  <c r="I37" i="178"/>
  <c r="J37" i="178"/>
  <c r="K37" i="178"/>
  <c r="L37" i="178"/>
  <c r="M37" i="178"/>
  <c r="N37" i="178"/>
  <c r="O37" i="178"/>
  <c r="H37" i="178"/>
  <c r="H13" i="177"/>
  <c r="H14" i="177"/>
  <c r="H15" i="177"/>
  <c r="H16" i="177"/>
  <c r="H17" i="177"/>
  <c r="H12" i="177"/>
  <c r="F17" i="179"/>
  <c r="F18" i="179"/>
  <c r="F19" i="179"/>
  <c r="F20" i="179"/>
  <c r="F21" i="179"/>
  <c r="F22" i="179"/>
  <c r="F23" i="179"/>
  <c r="F24" i="179"/>
  <c r="F25" i="179"/>
  <c r="F16" i="179"/>
  <c r="C7" i="179" l="1"/>
  <c r="E7" i="178" s="1"/>
  <c r="F38" i="177"/>
  <c r="F110" i="177" s="1"/>
  <c r="B33" i="196"/>
  <c r="B114" i="177"/>
  <c r="F114" i="177"/>
  <c r="B118" i="177"/>
  <c r="F118" i="177"/>
  <c r="B119" i="177"/>
  <c r="F119" i="177"/>
  <c r="F111" i="177"/>
  <c r="B111" i="177"/>
  <c r="B110" i="177"/>
  <c r="B82" i="179"/>
  <c r="B31" i="197" s="1"/>
  <c r="B47" i="169" s="1"/>
  <c r="B34" i="196" s="1"/>
  <c r="D82" i="179"/>
  <c r="F31" i="197" s="1"/>
  <c r="D47" i="169" s="1"/>
  <c r="D34" i="196" s="1"/>
  <c r="F71" i="179"/>
  <c r="E71" i="179"/>
  <c r="D71" i="179"/>
  <c r="B43" i="179"/>
  <c r="B87" i="179" s="1"/>
  <c r="C45" i="178" s="1"/>
  <c r="C90" i="178" s="1"/>
  <c r="C32" i="182" s="1"/>
  <c r="G49" i="198" s="1"/>
  <c r="B38" i="164" s="1"/>
  <c r="B42" i="179"/>
  <c r="B86" i="179" s="1"/>
  <c r="C44" i="178" s="1"/>
  <c r="C89" i="178" s="1"/>
  <c r="C31" i="182" s="1"/>
  <c r="G48" i="198" s="1"/>
  <c r="B37" i="164" s="1"/>
  <c r="D43" i="179"/>
  <c r="D87" i="179" s="1"/>
  <c r="F36" i="197" s="1"/>
  <c r="D52" i="169" s="1"/>
  <c r="D39" i="196" s="1"/>
  <c r="D42" i="179"/>
  <c r="D86" i="179" s="1"/>
  <c r="F35" i="197" s="1"/>
  <c r="D51" i="169" s="1"/>
  <c r="D38" i="196" s="1"/>
  <c r="B34" i="179"/>
  <c r="B79" i="179" s="1"/>
  <c r="B28" i="197" s="1"/>
  <c r="B44" i="169" s="1"/>
  <c r="B31" i="196" s="1"/>
  <c r="B35" i="179"/>
  <c r="B80" i="179" s="1"/>
  <c r="B29" i="197" s="1"/>
  <c r="B45" i="169" s="1"/>
  <c r="B32" i="196" s="1"/>
  <c r="D35" i="179"/>
  <c r="D80" i="179" s="1"/>
  <c r="Z45" i="178" s="1"/>
  <c r="Z90" i="178" s="1"/>
  <c r="J32" i="182" s="1"/>
  <c r="N49" i="198" s="1"/>
  <c r="F38" i="164" s="1"/>
  <c r="J30" i="105"/>
  <c r="J34" i="105"/>
  <c r="J35" i="105"/>
  <c r="J29" i="105"/>
  <c r="E52" i="178" l="1"/>
  <c r="D7" i="197"/>
  <c r="C7" i="169" s="1"/>
  <c r="D45" i="178"/>
  <c r="D90" i="178" s="1"/>
  <c r="E32" i="182" s="1"/>
  <c r="I49" i="198" s="1"/>
  <c r="C38" i="164" s="1"/>
  <c r="B36" i="197"/>
  <c r="B52" i="169" s="1"/>
  <c r="B39" i="196" s="1"/>
  <c r="B35" i="197"/>
  <c r="B51" i="169" s="1"/>
  <c r="B38" i="196" s="1"/>
  <c r="D34" i="179"/>
  <c r="D79" i="179" s="1"/>
  <c r="F28" i="197" s="1"/>
  <c r="D44" i="169" s="1"/>
  <c r="D31" i="196" s="1"/>
  <c r="P44" i="178"/>
  <c r="P89" i="178" s="1"/>
  <c r="G31" i="182" s="1"/>
  <c r="J48" i="198" s="1"/>
  <c r="E37" i="164" s="1"/>
  <c r="P45" i="178"/>
  <c r="P90" i="178" s="1"/>
  <c r="G32" i="182" s="1"/>
  <c r="J49" i="198" s="1"/>
  <c r="E38" i="164" s="1"/>
  <c r="D44" i="178"/>
  <c r="D89" i="178" s="1"/>
  <c r="E31" i="182" s="1"/>
  <c r="I48" i="198" s="1"/>
  <c r="C37" i="164" s="1"/>
  <c r="F29" i="197"/>
  <c r="D45" i="169" s="1"/>
  <c r="D32" i="196" s="1"/>
  <c r="F26" i="179"/>
  <c r="E26" i="179"/>
  <c r="D26" i="179"/>
  <c r="G18" i="177"/>
  <c r="F14" i="177"/>
  <c r="F15" i="177"/>
  <c r="F17" i="177"/>
  <c r="C18" i="177"/>
  <c r="D18" i="177"/>
  <c r="F89" i="177"/>
  <c r="F86" i="177"/>
  <c r="F87" i="177"/>
  <c r="F88" i="177"/>
  <c r="F85" i="177"/>
  <c r="F84" i="177"/>
  <c r="C8" i="196" l="1"/>
  <c r="E4" i="182" s="1"/>
  <c r="C5" i="125"/>
  <c r="Z44" i="178"/>
  <c r="Z89" i="178" s="1"/>
  <c r="J31" i="182" s="1"/>
  <c r="N48" i="198" s="1"/>
  <c r="F37" i="164" s="1"/>
  <c r="F18" i="177"/>
  <c r="E21" i="171" l="1"/>
  <c r="F19" i="183" l="1"/>
  <c r="F16" i="183"/>
  <c r="G16" i="183" l="1"/>
  <c r="E101" i="177" l="1"/>
  <c r="Q25" i="177"/>
  <c r="G90" i="177"/>
  <c r="D90" i="177"/>
  <c r="C90" i="177"/>
  <c r="H89" i="177"/>
  <c r="H88" i="177"/>
  <c r="H87" i="177"/>
  <c r="H86" i="177"/>
  <c r="H85" i="177"/>
  <c r="H84" i="177"/>
  <c r="D21" i="171"/>
  <c r="H18" i="177" l="1"/>
  <c r="E21" i="177" s="1"/>
  <c r="E23" i="177" s="1"/>
  <c r="E27" i="177" s="1"/>
  <c r="F90" i="177"/>
</calcChain>
</file>

<file path=xl/sharedStrings.xml><?xml version="1.0" encoding="utf-8"?>
<sst xmlns="http://schemas.openxmlformats.org/spreadsheetml/2006/main" count="2431" uniqueCount="1051">
  <si>
    <t>N I P</t>
  </si>
  <si>
    <t>NO</t>
  </si>
  <si>
    <t>A</t>
  </si>
  <si>
    <t>B</t>
  </si>
  <si>
    <t>C</t>
  </si>
  <si>
    <t>No</t>
  </si>
  <si>
    <t>Standar Kompetensi/Kompetensi Dasar</t>
  </si>
  <si>
    <t>Jumlah Jam</t>
  </si>
  <si>
    <t>Sept</t>
  </si>
  <si>
    <t>Okt</t>
  </si>
  <si>
    <t>Nov</t>
  </si>
  <si>
    <t>Des</t>
  </si>
  <si>
    <t>Jan</t>
  </si>
  <si>
    <t>Feb</t>
  </si>
  <si>
    <t>Mei</t>
  </si>
  <si>
    <t>x</t>
  </si>
  <si>
    <t>Mar</t>
  </si>
  <si>
    <t>Keterangan :</t>
  </si>
  <si>
    <t>DAFTAR BUKU PEGANGAN</t>
  </si>
  <si>
    <t>HARI</t>
  </si>
  <si>
    <t>JAM KE</t>
  </si>
  <si>
    <t>SENIN</t>
  </si>
  <si>
    <t>SELASA</t>
  </si>
  <si>
    <t>RABU</t>
  </si>
  <si>
    <t>KAMIS</t>
  </si>
  <si>
    <t>JUM'AT</t>
  </si>
  <si>
    <t>WAKTU PELAJARAN</t>
  </si>
  <si>
    <t>DAFTAR HADIR</t>
  </si>
  <si>
    <t>NAMA</t>
  </si>
  <si>
    <t>Jumlah</t>
  </si>
  <si>
    <t>I</t>
  </si>
  <si>
    <t>N</t>
  </si>
  <si>
    <t>NILAI</t>
  </si>
  <si>
    <t>Kepala SMK Negeri 3 Yogyakarta,</t>
  </si>
  <si>
    <t>Mengetahui :</t>
  </si>
  <si>
    <t xml:space="preserve">: </t>
  </si>
  <si>
    <t>SMK NEGERI 3 YOGYAKARTA</t>
  </si>
  <si>
    <t xml:space="preserve"> </t>
  </si>
  <si>
    <t>………………………………………………</t>
  </si>
  <si>
    <t>ADMINISTRASI PENDIDIK</t>
  </si>
  <si>
    <t>Mata Pelajaran</t>
  </si>
  <si>
    <t>Kelas</t>
  </si>
  <si>
    <t>Tahun Pelajaran</t>
  </si>
  <si>
    <t>Pendidik,</t>
  </si>
  <si>
    <t>Pertemuan ke / Tanggal</t>
  </si>
  <si>
    <t>Nama Pendidik</t>
  </si>
  <si>
    <t>JADWAL MENGAJAR SMK NEGERI 3 YOGYAKARTA</t>
  </si>
  <si>
    <t>: Tuntas / Tidak Tuntas</t>
  </si>
  <si>
    <t>Kesimpulan :</t>
  </si>
  <si>
    <t>Catatan :</t>
  </si>
  <si>
    <t>1. Jangan mengubah jadwal tanpa sepengetahuan Kepala Sekolah</t>
  </si>
  <si>
    <t>4. Wali kelas ………………..</t>
  </si>
  <si>
    <t>DU/DI (Jam.pel)</t>
  </si>
  <si>
    <t>Kegiatan Tatap Muka</t>
  </si>
  <si>
    <t>Evaluasi Tiap Kompetensi</t>
  </si>
  <si>
    <t>TUNTAS</t>
  </si>
  <si>
    <t xml:space="preserve"> (ketercapaian belajarnya) ≥ KKM</t>
  </si>
  <si>
    <t>b. Jumlah Tuntas</t>
  </si>
  <si>
    <t xml:space="preserve">Perlu perbaikan secara klasikal untuk soal </t>
  </si>
  <si>
    <t xml:space="preserve">Perlu program perbaikan secara individual </t>
  </si>
  <si>
    <t>JML SKOR</t>
  </si>
  <si>
    <t xml:space="preserve">Mata Pelajaran           </t>
  </si>
  <si>
    <t xml:space="preserve">Bentuk Soal                </t>
  </si>
  <si>
    <t xml:space="preserve">Jumlah Soal               </t>
  </si>
  <si>
    <t xml:space="preserve">Peserta didik disebut TUNTAS belajar jika telah menguasai bahan </t>
  </si>
  <si>
    <t>d. Ketuntasan Klasikal</t>
  </si>
  <si>
    <t>e. Secara Klasikal</t>
  </si>
  <si>
    <t xml:space="preserve">Tanggal Evaluasi           </t>
  </si>
  <si>
    <t>JP</t>
  </si>
  <si>
    <t xml:space="preserve">Jml Peserta Didik  </t>
  </si>
  <si>
    <t xml:space="preserve">Kelas/Semester  </t>
  </si>
  <si>
    <t>:</t>
  </si>
  <si>
    <t>H</t>
  </si>
  <si>
    <t>D</t>
  </si>
  <si>
    <t>L</t>
  </si>
  <si>
    <t>umanis</t>
  </si>
  <si>
    <t>gamis</t>
  </si>
  <si>
    <t>ormatif</t>
  </si>
  <si>
    <t>daptif</t>
  </si>
  <si>
    <t>oyal</t>
  </si>
  <si>
    <t>struktif</t>
  </si>
  <si>
    <t>S</t>
  </si>
  <si>
    <t>T</t>
  </si>
  <si>
    <t>E</t>
  </si>
  <si>
    <t>KON</t>
  </si>
  <si>
    <t>nteraktif</t>
  </si>
  <si>
    <t>olutif</t>
  </si>
  <si>
    <t>aktis</t>
  </si>
  <si>
    <t>fektif-Efisien</t>
  </si>
  <si>
    <t>yaman</t>
  </si>
  <si>
    <t xml:space="preserve">VISI, MISI, TUJUAN DAN KEBIJAKAN MUTU </t>
  </si>
  <si>
    <t>VISI :</t>
  </si>
  <si>
    <t>MISI :</t>
  </si>
  <si>
    <t>TUJUAN :</t>
  </si>
  <si>
    <t>KEBIJAKAN MUTU :</t>
  </si>
  <si>
    <t>Tidak Upacara</t>
  </si>
  <si>
    <t xml:space="preserve">  1.  07.00 - 07.45</t>
  </si>
  <si>
    <t xml:space="preserve">  2.  07.45 - 08.30</t>
  </si>
  <si>
    <t xml:space="preserve">  3.  08.30 - 09.15</t>
  </si>
  <si>
    <t xml:space="preserve">  4.  09.15 - 10.00</t>
  </si>
  <si>
    <t xml:space="preserve">    ISTIRAHAT ( 15' )</t>
  </si>
  <si>
    <t xml:space="preserve">  5.  10.15 - 11.00</t>
  </si>
  <si>
    <t xml:space="preserve">  6.  11.00 - 11.45</t>
  </si>
  <si>
    <t xml:space="preserve">    ISTIRAHAT ( 30' )</t>
  </si>
  <si>
    <t xml:space="preserve">  7.  12.15 - 13.00</t>
  </si>
  <si>
    <t xml:space="preserve">  8.  13.00 - 13.45</t>
  </si>
  <si>
    <t xml:space="preserve">  9.  13.45 - 14.30</t>
  </si>
  <si>
    <t>10.  14.30 - 15.15</t>
  </si>
  <si>
    <t>L/P</t>
  </si>
  <si>
    <t xml:space="preserve">Kelas       </t>
  </si>
  <si>
    <t>istematis</t>
  </si>
  <si>
    <t>Semester</t>
  </si>
  <si>
    <t>No.</t>
  </si>
  <si>
    <t>Bulan</t>
  </si>
  <si>
    <t>Rincian :</t>
  </si>
  <si>
    <t>PROGRAM TAHUNAN</t>
  </si>
  <si>
    <t>Kode Profil</t>
  </si>
  <si>
    <t>Tempat  Pembelajaran</t>
  </si>
  <si>
    <t>Sekolah (Jam.pel)</t>
  </si>
  <si>
    <t>ANALISIS MATERI PEMBELAJARAN</t>
  </si>
  <si>
    <t>PROGRAM SEMESTER</t>
  </si>
  <si>
    <t>Jml Jam</t>
  </si>
  <si>
    <t>Apr</t>
  </si>
  <si>
    <t>Jun</t>
  </si>
  <si>
    <t>Jul</t>
  </si>
  <si>
    <t>PEGANGAN PENDIDIK</t>
  </si>
  <si>
    <t>PEGANGAN PESERTA DIDIK</t>
  </si>
  <si>
    <t>Judul Buku</t>
  </si>
  <si>
    <t>Pengarang</t>
  </si>
  <si>
    <t>Penerbit</t>
  </si>
  <si>
    <t>Tahun</t>
  </si>
  <si>
    <t>Keterangan</t>
  </si>
  <si>
    <t>Hari/Tgl</t>
  </si>
  <si>
    <t>Nama</t>
  </si>
  <si>
    <t>Wali Kelas</t>
  </si>
  <si>
    <t xml:space="preserve">Jumlah Jam Pelajaran per Minggu      </t>
  </si>
  <si>
    <t xml:space="preserve">Jumlah Jam Pelajaran Efektif                  </t>
  </si>
  <si>
    <t xml:space="preserve">Jumlah           </t>
  </si>
  <si>
    <t>: ……</t>
  </si>
  <si>
    <t>JL. R. W. MONGINSIDI NO. 2 YOGYAKARTA 55233</t>
  </si>
  <si>
    <t>Telp./Fax : (0274) 513503, e-mail : humas@smkn3jogja.sch.id</t>
  </si>
  <si>
    <t>Program Studi Keahlian</t>
  </si>
  <si>
    <t>inamis</t>
  </si>
  <si>
    <t>PENYUSUNAN PROGRAM</t>
  </si>
  <si>
    <t>Kepala Sekolah</t>
  </si>
  <si>
    <t>………………………………..</t>
  </si>
  <si>
    <t>JULI</t>
  </si>
  <si>
    <t>AGUSTUS</t>
  </si>
  <si>
    <t>SEPTEMBER</t>
  </si>
  <si>
    <t>OKTOBER</t>
  </si>
  <si>
    <t>NOVEMBER</t>
  </si>
  <si>
    <t>DESEMBER</t>
  </si>
  <si>
    <t xml:space="preserve">a. Tatap Muka                             </t>
  </si>
  <si>
    <t>c. Ulangan Tengah Semester</t>
  </si>
  <si>
    <t>JANUARI</t>
  </si>
  <si>
    <t>FEBRUARI</t>
  </si>
  <si>
    <t>MARET</t>
  </si>
  <si>
    <t>APRIL</t>
  </si>
  <si>
    <t>MEI</t>
  </si>
  <si>
    <t>JUNI</t>
  </si>
  <si>
    <t>Jml Minggu dalam Semester</t>
  </si>
  <si>
    <t>Jml Minggu Tidak Efektif</t>
  </si>
  <si>
    <t>Jml Minggu Efektif</t>
  </si>
  <si>
    <t>Jml Hari Efektif</t>
  </si>
  <si>
    <t>Jml Jam Efektif</t>
  </si>
  <si>
    <t>INDIKATOR</t>
  </si>
  <si>
    <t>NIP. ………………………</t>
  </si>
  <si>
    <t>AGENDA HARIAN</t>
  </si>
  <si>
    <t>NIP.</t>
  </si>
  <si>
    <t>Jam</t>
  </si>
  <si>
    <t>Materi yang disampaikan (SK/KD)</t>
  </si>
  <si>
    <t xml:space="preserve">NIP. </t>
  </si>
  <si>
    <t>Tahapan :</t>
  </si>
  <si>
    <t>1. Analisis Ketuntasan Belajar</t>
  </si>
  <si>
    <t>2. Melakukan Pembinaan/Pengarahan sesuai dengan jenis kesukaran</t>
  </si>
  <si>
    <t>3. Pemberian Tugas / Materi Perbaikan / Pengayaan</t>
  </si>
  <si>
    <t>4. Pemberian Nilai Perbaikan / Pengayaan</t>
  </si>
  <si>
    <t>1. Perhitungan Ketuntasan Belajar</t>
  </si>
  <si>
    <t>: ……………</t>
  </si>
  <si>
    <t>NILAI (INTERVAL)</t>
  </si>
  <si>
    <t>JUMLAH SISWA</t>
  </si>
  <si>
    <t>KETERANGAN</t>
  </si>
  <si>
    <t>N &gt; 75</t>
  </si>
  <si>
    <t>2. Sebelum mendapat tugas, peserta didik mendapat arahan/bimbingan berupa jenis kesukaran</t>
  </si>
  <si>
    <t>KESUKARAN</t>
  </si>
  <si>
    <t>3. Setelah mendapat bimbingan siswa mendapat tugas</t>
  </si>
  <si>
    <t>4. Data peserta didik yang mendapat nilai Perbaikan / Pengayaan</t>
  </si>
  <si>
    <t>Sebelum Perbaikan</t>
  </si>
  <si>
    <t>Setelah Perbaikam</t>
  </si>
  <si>
    <t>Tgl. …….</t>
  </si>
  <si>
    <t>Mengetahui</t>
  </si>
  <si>
    <t>Yogyakarta, ……………………….</t>
  </si>
  <si>
    <t>Kepala sekolah</t>
  </si>
  <si>
    <t>Pendidik</t>
  </si>
  <si>
    <t>……………………………</t>
  </si>
  <si>
    <t>KISI-KISI PENYUSUNAN SOAL EVALUASI</t>
  </si>
  <si>
    <t>JUMLAH SOAL</t>
  </si>
  <si>
    <t>URAIAN MATERI</t>
  </si>
  <si>
    <t>NO SOAL</t>
  </si>
  <si>
    <t>KUNCI JAWABAN</t>
  </si>
  <si>
    <t>Yogyakarta, ……………………………..</t>
  </si>
  <si>
    <t>NIP. ………………………………………..</t>
  </si>
  <si>
    <t>Semester : …………</t>
  </si>
  <si>
    <t>Tahun Pelajaran : …………… / ……………</t>
  </si>
  <si>
    <t xml:space="preserve">Yogyakarta,  ……………….  </t>
  </si>
  <si>
    <t>…………………………………..</t>
  </si>
  <si>
    <t>Tgl/bln</t>
  </si>
  <si>
    <t>R/P</t>
  </si>
  <si>
    <t>NA</t>
  </si>
  <si>
    <t>Yogyakarta,   …………………………</t>
  </si>
  <si>
    <t>: ……..</t>
  </si>
  <si>
    <t>: …………</t>
  </si>
  <si>
    <t>: …………….</t>
  </si>
  <si>
    <t xml:space="preserve">          Total skor</t>
  </si>
  <si>
    <t xml:space="preserve">         Jml Peserta Didik </t>
  </si>
  <si>
    <t>a. Jumlah Peserta Didik</t>
  </si>
  <si>
    <t>c. Jumlah tidak tuntas</t>
  </si>
  <si>
    <t>: …... %</t>
  </si>
  <si>
    <t>nomor : ……………………………………………………..</t>
  </si>
  <si>
    <t>untuk Peserta Didik nomor</t>
  </si>
  <si>
    <t>Perlu program pengayaan untuk</t>
  </si>
  <si>
    <t>Peserta Didik nomor</t>
  </si>
  <si>
    <t>: ……….</t>
  </si>
  <si>
    <t>: …………...</t>
  </si>
  <si>
    <t>Klasifikasi</t>
  </si>
  <si>
    <t>TARGET DAN PENCAPAIAN TARGET KURIKULUM</t>
  </si>
  <si>
    <t>Ags</t>
  </si>
  <si>
    <t xml:space="preserve"> Target Kurikulum =</t>
  </si>
  <si>
    <t xml:space="preserve">Jumlah jam pelajaran yang harus diselesaikan </t>
  </si>
  <si>
    <t>(tampilan berupa histogram)</t>
  </si>
  <si>
    <t>Jumlah jam pelajaran yang harus diselesaikan dalam satu tahun</t>
  </si>
  <si>
    <t>Pencapaian Target Kurikulum :</t>
  </si>
  <si>
    <t xml:space="preserve">Jumlah jam pelajaran yang sudah diselesaikan </t>
  </si>
  <si>
    <t>(tampilan berupa diagram garis)</t>
  </si>
  <si>
    <t xml:space="preserve">Mata Pelajaran : </t>
  </si>
  <si>
    <t xml:space="preserve">Kelas : </t>
  </si>
  <si>
    <t>Ket :</t>
  </si>
  <si>
    <t>C+</t>
  </si>
  <si>
    <t>B+</t>
  </si>
  <si>
    <t>C-</t>
  </si>
  <si>
    <t>D+</t>
  </si>
  <si>
    <t>B-</t>
  </si>
  <si>
    <t>PREDIKAT</t>
  </si>
  <si>
    <t>Semester : ………..</t>
  </si>
  <si>
    <t>KD KE-</t>
  </si>
  <si>
    <t>RERATA</t>
  </si>
  <si>
    <t>NH</t>
  </si>
  <si>
    <t xml:space="preserve">A  </t>
  </si>
  <si>
    <t>( 96 s/d 100 )</t>
  </si>
  <si>
    <t>( 70 s/d 74 )</t>
  </si>
  <si>
    <t>NILAI RERATA</t>
  </si>
  <si>
    <t>Nilai Harian</t>
  </si>
  <si>
    <t xml:space="preserve">A-   </t>
  </si>
  <si>
    <t>( 91 s/d 95 )</t>
  </si>
  <si>
    <t>( 65 s/d 69 )</t>
  </si>
  <si>
    <t>LPK.P =  _____________  X 4</t>
  </si>
  <si>
    <t>Remidi/Pengayaan</t>
  </si>
  <si>
    <t>( 86 s/d 90 )</t>
  </si>
  <si>
    <t>( 60 s/d 64 )</t>
  </si>
  <si>
    <t>Penilaian dalam bentuk Angka Puluhan</t>
  </si>
  <si>
    <t>( 81 s/d 85 )</t>
  </si>
  <si>
    <t>( 55 s/d 59 )</t>
  </si>
  <si>
    <t>( 75 s/d 80 )</t>
  </si>
  <si>
    <t xml:space="preserve"> ( Kurang dari 54 )</t>
  </si>
  <si>
    <t>LEMBAR PENILAIAN KETRAMPILAN (K-4)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</si>
  <si>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</si>
  <si>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</si>
  <si>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</si>
  <si>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</si>
  <si>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</si>
  <si>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</si>
  <si>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</si>
  <si>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</si>
  <si>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</si>
  <si>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</si>
  <si>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</si>
  <si>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</si>
  <si>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Nilai Lap Pencap Komp. Ketrampiln (LPK.K)</t>
  </si>
  <si>
    <t>NPr</t>
  </si>
  <si>
    <t>NPj</t>
  </si>
  <si>
    <t>Npo</t>
  </si>
  <si>
    <t>Npr</t>
  </si>
  <si>
    <t>Nilai Praktek</t>
  </si>
  <si>
    <t>LPK.K =  _____________  X 4</t>
  </si>
  <si>
    <t>Npj</t>
  </si>
  <si>
    <t>Nilai Projek</t>
  </si>
  <si>
    <t>Nilai Portopolio</t>
  </si>
  <si>
    <t>Penilaian dalam  Angka Puluhan</t>
  </si>
  <si>
    <t xml:space="preserve">Tidak Terampil </t>
  </si>
  <si>
    <t>Terampil Praktek Dengan Banyak bantuan Pembimbing</t>
  </si>
  <si>
    <t>Trampil Praktek Dengan Sedikit Bantuan pembimbing</t>
  </si>
  <si>
    <t>Trampil Praktek TaNKa Bantuan pembimbing</t>
  </si>
  <si>
    <t>……………………………..</t>
  </si>
  <si>
    <t>Nama Siswa</t>
  </si>
  <si>
    <t>K3/Koord Mapel</t>
  </si>
  <si>
    <t xml:space="preserve">    Mata Pelajaran</t>
  </si>
  <si>
    <t xml:space="preserve">    Kelas/Program</t>
  </si>
  <si>
    <t xml:space="preserve">    Kompetensi Dasar</t>
  </si>
  <si>
    <t xml:space="preserve">   Tanggal Tes</t>
  </si>
  <si>
    <t xml:space="preserve">    a. Remedial / PR soal nomor ……………………………….*)</t>
  </si>
  <si>
    <t xml:space="preserve">    b. Membuat ringkasan / ikhtisar materi tentang ………………</t>
  </si>
  <si>
    <t xml:space="preserve">    c. Mengerjakan soal berikutnya</t>
  </si>
  <si>
    <t xml:space="preserve">    d. …………………………….</t>
  </si>
  <si>
    <t xml:space="preserve">   *) Sebut jenis dan bukti fisiknya dilampirkan</t>
  </si>
  <si>
    <t>Mengikuti Perbaikan</t>
  </si>
  <si>
    <t>Mengikuti Pengayaan</t>
  </si>
  <si>
    <t>N &lt; 75</t>
  </si>
  <si>
    <t>PROGRAM PENGAYAAN</t>
  </si>
  <si>
    <t>2. Sebelum mendapat tugas pengayaan, peserta didik mendapat arahan/bimbingan.</t>
  </si>
  <si>
    <t>4. Data peserta didik yang mendapat nilai Pengayaan</t>
  </si>
  <si>
    <t>JENIS ARAHAN/BIMBINGAN</t>
  </si>
  <si>
    <t xml:space="preserve">    b. Mengerjakan soal berikutnya</t>
  </si>
  <si>
    <t xml:space="preserve">    c. …………………………….</t>
  </si>
  <si>
    <t xml:space="preserve">    a. Membuat ringkasan / ikhtisar materi tentang ………………………………………...……….*)</t>
  </si>
  <si>
    <t>PENANGANAN PESERTA DIDIK BERMASALAH</t>
  </si>
  <si>
    <t>NAMA PESERTA DIDIK</t>
  </si>
  <si>
    <t>MASALAH YANG DIHADAPI</t>
  </si>
  <si>
    <t>TANGGAL</t>
  </si>
  <si>
    <t>PENYELESAIAN MASALAH</t>
  </si>
  <si>
    <t>Paket Keahlian</t>
  </si>
  <si>
    <t>KP/Koord Mapel</t>
  </si>
  <si>
    <t>MATA PELAJARAN</t>
  </si>
  <si>
    <t>Drs. Bujang Sabri</t>
  </si>
  <si>
    <t>NIP. 19630830 198703 1 003</t>
  </si>
  <si>
    <t>Koordinator Mapel</t>
  </si>
  <si>
    <t>WKS 1</t>
  </si>
  <si>
    <t>NOPEMBER</t>
  </si>
  <si>
    <t>Ruang</t>
  </si>
  <si>
    <t xml:space="preserve">Yogyakarta,  </t>
  </si>
  <si>
    <t>Drs. B. Sabri</t>
  </si>
  <si>
    <t>Alokasi Waktu ( Jam Pelajaran )</t>
  </si>
  <si>
    <t>KP/Koordinator Mapel</t>
  </si>
  <si>
    <t>Drs. B Sabri</t>
  </si>
  <si>
    <t>1.</t>
  </si>
  <si>
    <t>2.</t>
  </si>
  <si>
    <t>Ket.</t>
  </si>
  <si>
    <t>NIP. 1963 0830 198703 1 003</t>
  </si>
  <si>
    <t>JUMLAH</t>
  </si>
  <si>
    <t>Drs. B.  Sabri</t>
  </si>
  <si>
    <t>NIP. 1963 0803 198703 1 003</t>
  </si>
  <si>
    <t>Maryuli Darmawan, S.Pd. M.Eng</t>
  </si>
  <si>
    <t>NIP.  19700720 199802 1 003</t>
  </si>
  <si>
    <t xml:space="preserve"> -</t>
  </si>
  <si>
    <t xml:space="preserve">NIP.  19700720 199802 1 003    </t>
  </si>
  <si>
    <t>Waka Kurikulum</t>
  </si>
  <si>
    <t>b.  UH 14 ( 7 x 2)</t>
  </si>
  <si>
    <t>3.31 Menentukan turunan fungsi aljabar menggunakan definisi limit fungsi atau sifat-sifat turunan fungsi serta penerapannya</t>
  </si>
  <si>
    <t>3.32 Menganalisis keberkaitan turunan pertama fungsi dengan nilai maksimum, nilai minimum, dan selang kemonotonan fungsi, serta kemiringan garis singgung kurva</t>
  </si>
  <si>
    <t>TURUNAN FUNGSI ALJABAR</t>
  </si>
  <si>
    <t>3.33 Menentukan nilai integral tak tentu dan tertentu fungsi aljabar</t>
  </si>
  <si>
    <t>INTEGRAL</t>
  </si>
  <si>
    <t>3.34 Menentukan luas permukaan dan volume benda putar dengan menggunakan integral tertentu</t>
  </si>
  <si>
    <t>TANDA TANGAN SISWA</t>
  </si>
  <si>
    <t>Kalender pendidikan</t>
  </si>
  <si>
    <t>Jadwal pelajaran</t>
  </si>
  <si>
    <t>Perhitungan minggu efektif</t>
  </si>
  <si>
    <t>Program tahunan</t>
  </si>
  <si>
    <t>Program semester</t>
  </si>
  <si>
    <t xml:space="preserve">DAFTAR ISI </t>
  </si>
  <si>
    <t>Alokasi Waktu</t>
  </si>
  <si>
    <t>Sumber Belajar</t>
  </si>
  <si>
    <t>SMK N 3 YOGYAKARTA</t>
  </si>
  <si>
    <t>NAMA SEKOLAH</t>
  </si>
  <si>
    <t>: SMK NEGERI 3 YOGYAKARTA</t>
  </si>
  <si>
    <t xml:space="preserve">KELAS </t>
  </si>
  <si>
    <t>ALOKASI WAKTU</t>
  </si>
  <si>
    <t>KOMPETENSI DASAR</t>
  </si>
  <si>
    <t>INDIKATOR / MATERI POKOK</t>
  </si>
  <si>
    <t>INTAKE</t>
  </si>
  <si>
    <t>DAYA DUKUNG</t>
  </si>
  <si>
    <t>KD</t>
  </si>
  <si>
    <t>Contoh:</t>
  </si>
  <si>
    <t xml:space="preserve">Mata Pelajaran :  </t>
  </si>
  <si>
    <t xml:space="preserve">Yogyakarta,     </t>
  </si>
  <si>
    <t>NAMA ALAT/BAHAN</t>
  </si>
  <si>
    <t>SPESIFIKASI</t>
  </si>
  <si>
    <t>VOLUME</t>
  </si>
  <si>
    <t>ANALISIS KEBUTUHAN ALAT</t>
  </si>
  <si>
    <t>PTS</t>
  </si>
  <si>
    <t>PAS/PAT</t>
  </si>
  <si>
    <t>NIP.  ……………………</t>
  </si>
  <si>
    <t>Yogyakarta, ………………</t>
  </si>
  <si>
    <t xml:space="preserve">:  </t>
  </si>
  <si>
    <t xml:space="preserve">Kelas                    : </t>
  </si>
  <si>
    <t xml:space="preserve">NIP.  </t>
  </si>
  <si>
    <t>Yogyakarta,      Juli   2019</t>
  </si>
  <si>
    <t>BUKU</t>
  </si>
  <si>
    <t>Menjadi Lembaga Pendidikan dan Pelatihan  yang mampu menyiapkan tamatan berkarakter, kompeten,  berbudaya dan berwawasan lingkungan.</t>
  </si>
  <si>
    <t>Melaksanakan Pendidikan dan Pelatihan untuk menghasilkan tamatan yang beriman, bertaqwa, kompeten, dan mandiri.</t>
  </si>
  <si>
    <t xml:space="preserve">Melaksanakan Pendidikan dan Pelatihan untuk menghasilkan tamatan unggul dalam iptek dan mampu berkompetisi pada era globalisasi. </t>
  </si>
  <si>
    <t xml:space="preserve">Melaksanakan Pendidikan dan Pelatihan yang berkualitas dengan standar Nasional. </t>
  </si>
  <si>
    <t>Melaksanakan Pendidikan dan Pelatihan dengan menumbuhkan dan melestarikan budaya lokal.</t>
  </si>
  <si>
    <t>Melaksanakan Pendidikan dan Pelatihan dengan membiasakan Warga Sekolah agar selalu peduli terhadap lingkungan.</t>
  </si>
  <si>
    <t>Mengembangkan lingkungan sekolah menjadi sekolah adiwiyata dengan melibatkan warga sekolah, stake holder dan instansi terkait.</t>
  </si>
  <si>
    <t xml:space="preserve">Menghasilkan tamatan yang beriman, bertaqwa, kompeten dan mandiri. </t>
  </si>
  <si>
    <t xml:space="preserve">Menghasilkan tamatan yang unggul dalam iptek, mampu berkompetisi pada era globalisasi tanpa meninggalkan kearifan lokal. </t>
  </si>
  <si>
    <t xml:space="preserve">Menjadi Lembaga Pendidikan dan Pelatihan yang berkualitas dengan standar Nasional. </t>
  </si>
  <si>
    <t>Menampilkan sarana dan prasarana sekolah dengan wujud budaya jogja.</t>
  </si>
  <si>
    <t>Menampilkan sikap sopan, santun dan budi pekerti sebagai cermin akhlak mulia tanpa meninggalkan budaya jogja.</t>
  </si>
  <si>
    <t>ANALISIS JAM PEMBELAJARAN</t>
  </si>
  <si>
    <t>Yogyakarta,    Juli 2019</t>
  </si>
  <si>
    <r>
      <t xml:space="preserve">a. Nilai = </t>
    </r>
    <r>
      <rPr>
        <u/>
        <sz val="10"/>
        <color indexed="8"/>
        <rFont val="Times New Roman"/>
        <family val="1"/>
      </rPr>
      <t>Skor yg diperoleh</t>
    </r>
    <r>
      <rPr>
        <sz val="10"/>
        <color indexed="8"/>
        <rFont val="Times New Roman"/>
        <family val="1"/>
      </rPr>
      <t xml:space="preserve"> X 100</t>
    </r>
  </si>
  <si>
    <r>
      <t xml:space="preserve">b. Ketuntasan Klasikal = </t>
    </r>
    <r>
      <rPr>
        <u/>
        <sz val="8"/>
        <color indexed="8"/>
        <rFont val="Times New Roman"/>
        <family val="1"/>
      </rPr>
      <t>Jml Peserta Didik yg Tuntas</t>
    </r>
    <r>
      <rPr>
        <sz val="8"/>
        <color indexed="8"/>
        <rFont val="Times New Roman"/>
        <family val="1"/>
      </rPr>
      <t xml:space="preserve"> x 100%</t>
    </r>
  </si>
  <si>
    <r>
      <t xml:space="preserve">Kelas disebut TUNTAS belajar jika Peserta Didik yang TUNTAS mencapai </t>
    </r>
    <r>
      <rPr>
        <sz val="8"/>
        <color indexed="8"/>
        <rFont val="Times New Roman"/>
        <family val="1"/>
      </rPr>
      <t>≥ 85%</t>
    </r>
  </si>
  <si>
    <t>TERCAPAI (%)</t>
  </si>
  <si>
    <t xml:space="preserve">ANBUSO TERLAMPIR </t>
  </si>
  <si>
    <t xml:space="preserve">2. Jadwal ini mulai berlaku tanggal  </t>
  </si>
  <si>
    <t>3. Jumlah jam mengajar  .....  jam</t>
  </si>
  <si>
    <t>11.  15.30 - 16.15</t>
  </si>
  <si>
    <t>12.  16.15 - 17.00</t>
  </si>
  <si>
    <t>Senin s.d Kamis</t>
  </si>
  <si>
    <t>Jumat</t>
  </si>
  <si>
    <t>Upacara : 07.00 - 08.00</t>
  </si>
  <si>
    <t xml:space="preserve">  1.  08.00 - 08.40</t>
  </si>
  <si>
    <t xml:space="preserve">  2.  08.40 - 09.20</t>
  </si>
  <si>
    <t xml:space="preserve">  3.  09.20 - 10.00</t>
  </si>
  <si>
    <t xml:space="preserve">  4.  10.00 - 10.40</t>
  </si>
  <si>
    <t xml:space="preserve">  5.  11.05 - 11.45</t>
  </si>
  <si>
    <t xml:space="preserve">  6.  11.45 - 12.25</t>
  </si>
  <si>
    <t xml:space="preserve">    ISTIRAHAT (20' )</t>
  </si>
  <si>
    <t xml:space="preserve">  7.  12.45 - 13.20</t>
  </si>
  <si>
    <t xml:space="preserve">  8.  13.20- 13.55</t>
  </si>
  <si>
    <t xml:space="preserve">  9.  13.55 - 14.30</t>
  </si>
  <si>
    <t>10.  14.30- 15.05</t>
  </si>
  <si>
    <t>11.  15.20 - 16.05</t>
  </si>
  <si>
    <t>12.  16.05 - 16.40</t>
  </si>
  <si>
    <t xml:space="preserve">  0.  06.45 - 07.00</t>
  </si>
  <si>
    <t>LITERASI</t>
  </si>
  <si>
    <t>GER TIMUN MAS</t>
  </si>
  <si>
    <t xml:space="preserve">  0.  06.45 - 07.15</t>
  </si>
  <si>
    <t>SHOLAT JUMAT</t>
  </si>
  <si>
    <t xml:space="preserve">  7.  12.30 - 13.10</t>
  </si>
  <si>
    <t xml:space="preserve">  8.  13.10 - 13.50</t>
  </si>
  <si>
    <t xml:space="preserve">  9.  13.50 - 14.30</t>
  </si>
  <si>
    <t>10.  14.30- 15.20</t>
  </si>
  <si>
    <t xml:space="preserve">  1.  07.15 - 07.55</t>
  </si>
  <si>
    <t xml:space="preserve">  2.  07.55 -08.35</t>
  </si>
  <si>
    <t xml:space="preserve">  3.  08.35 - 09.15</t>
  </si>
  <si>
    <t xml:space="preserve">  4.  09.15 - 19.55</t>
  </si>
  <si>
    <t xml:space="preserve">  5.  10.10 - 10.50</t>
  </si>
  <si>
    <t xml:space="preserve">  6.  10.50 - 11.30</t>
  </si>
  <si>
    <t>11.  15.35 - 16.10</t>
  </si>
  <si>
    <t>12.  16.10 - 16.50</t>
  </si>
  <si>
    <t>NIS</t>
  </si>
  <si>
    <t>Yogyakarta,  …………………</t>
  </si>
  <si>
    <t>b.  Ulangan Harian ( ... Kali)</t>
  </si>
  <si>
    <t>PERHITUNGAN MINGGU EFEKTIF DAN JAM EFEKTIF</t>
  </si>
  <si>
    <t>dst</t>
  </si>
  <si>
    <t>NOMOR DAN BOBOT SOAL</t>
  </si>
  <si>
    <t xml:space="preserve">ANALISIS KETUNTASAN DAN DAYA SERAP </t>
  </si>
  <si>
    <t xml:space="preserve">Daya Serap = </t>
  </si>
  <si>
    <t>Isi rumus mencari Daya Serap dan ketentuannya</t>
  </si>
  <si>
    <t>Tidak Wajib semua mapel/ Non Mapel UN pakai Manual saja</t>
  </si>
  <si>
    <t>contoh:</t>
  </si>
  <si>
    <t>F/751/WKS1/-/27</t>
  </si>
  <si>
    <t>F/751/WKS1/-/25</t>
  </si>
  <si>
    <t>F/751/WKS1/-/26</t>
  </si>
  <si>
    <t>F/751/WKS1/-/32</t>
  </si>
  <si>
    <t>F/751/WKS1/37</t>
  </si>
  <si>
    <t>F/751/WKS1/-/47</t>
  </si>
  <si>
    <t>Contoh</t>
  </si>
  <si>
    <t>ANALISIS SKM SESUAI DENGAN SILABUS KURIKULUM 2013</t>
  </si>
  <si>
    <t>MATA PELAJARAN................</t>
  </si>
  <si>
    <t>KOMP. DASAR</t>
  </si>
  <si>
    <t>IPK</t>
  </si>
  <si>
    <t>SKM IPK</t>
  </si>
  <si>
    <t>SKM MATERI POKOK</t>
  </si>
  <si>
    <t>SKM KOMP. DASAR</t>
  </si>
  <si>
    <t>SKM MAPEL</t>
  </si>
  <si>
    <t>KET</t>
  </si>
  <si>
    <t>Kompl</t>
  </si>
  <si>
    <t>Daya Duk</t>
  </si>
  <si>
    <t>Input</t>
  </si>
  <si>
    <t>SKM</t>
  </si>
  <si>
    <t>3.1 dan 4.1</t>
  </si>
  <si>
    <t>3.2 dan 4.2</t>
  </si>
  <si>
    <t>3.3 dan 4.3</t>
  </si>
  <si>
    <t>PERENCANAAN PENILAIAN</t>
  </si>
  <si>
    <t xml:space="preserve">Kelas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</si>
  <si>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</si>
  <si>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</si>
  <si>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</si>
  <si>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</si>
  <si>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</si>
  <si>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</si>
  <si>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</si>
  <si>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</si>
  <si>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</si>
  <si>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LISAN</t>
  </si>
  <si>
    <t>TULIS</t>
  </si>
  <si>
    <t>TUGAS</t>
  </si>
  <si>
    <t>PORT FL</t>
  </si>
  <si>
    <t>PG/ESAY</t>
  </si>
  <si>
    <t>KINERJA PRODUK</t>
  </si>
  <si>
    <t>KINERJA PRAKTIK</t>
  </si>
  <si>
    <t>PROYEK</t>
  </si>
  <si>
    <t>PORT.FL</t>
  </si>
  <si>
    <t>P10 (UTS)</t>
  </si>
  <si>
    <t xml:space="preserve">PG/ESAY </t>
  </si>
  <si>
    <t>DST</t>
  </si>
  <si>
    <t xml:space="preserve">P1 </t>
  </si>
  <si>
    <t xml:space="preserve"> Lisan</t>
  </si>
  <si>
    <t xml:space="preserve"> Tulis</t>
  </si>
  <si>
    <t>Tugas</t>
  </si>
  <si>
    <t>Portfol</t>
  </si>
  <si>
    <t xml:space="preserve">P5 ( UH) </t>
  </si>
  <si>
    <t>PG, Essay</t>
  </si>
  <si>
    <t>P10 (UTS) PG, Essay</t>
  </si>
  <si>
    <t xml:space="preserve">P11 </t>
  </si>
  <si>
    <t>UAS</t>
  </si>
  <si>
    <t>ΣNA</t>
  </si>
  <si>
    <t>ΣB</t>
  </si>
  <si>
    <t>NR</t>
  </si>
  <si>
    <t>Aliansyah</t>
  </si>
  <si>
    <t>Aminuddin</t>
  </si>
  <si>
    <t>Budi Sulistyo</t>
  </si>
  <si>
    <t>N  : Nilai</t>
  </si>
  <si>
    <t>NA : Jumlah N x A</t>
  </si>
  <si>
    <t>B  : Bobot</t>
  </si>
  <si>
    <t>NA : N x B</t>
  </si>
  <si>
    <t>NKD : Jumlah N x A / Jumlah Bobot</t>
  </si>
  <si>
    <t>NR : Nilai Raport</t>
  </si>
  <si>
    <t xml:space="preserve"> B   : jumlah Bobot</t>
  </si>
  <si>
    <t>N KD</t>
  </si>
  <si>
    <t>Kinerja (Produk)</t>
  </si>
  <si>
    <t>Kinerja (Praktik)</t>
  </si>
  <si>
    <t xml:space="preserve">Nilai </t>
  </si>
  <si>
    <t>Kinerja</t>
  </si>
  <si>
    <t>Proyek</t>
  </si>
  <si>
    <t xml:space="preserve">P9 </t>
  </si>
  <si>
    <t>Portofolio</t>
  </si>
  <si>
    <t xml:space="preserve"> REKAPITULASI PENILAIAN PENGETAHUAN</t>
  </si>
  <si>
    <t xml:space="preserve"> REKAPITULASI PENILAIAN KETERAMPILAN</t>
  </si>
  <si>
    <t>F/751/WKS1/-/49</t>
  </si>
  <si>
    <t>F/751/WKS1/-/50</t>
  </si>
  <si>
    <t>Penilaian Pengetahuan :</t>
  </si>
  <si>
    <t>P1 : Penilaian Lisan</t>
  </si>
  <si>
    <t>P2 : Penilaian Tertulis</t>
  </si>
  <si>
    <t>P3 : Penilaian Penugasan</t>
  </si>
  <si>
    <t>P5 : Penilaian Harian</t>
  </si>
  <si>
    <t>P4 : Penilaian Portofolio</t>
  </si>
  <si>
    <t>Penilaian Ketrampilan :</t>
  </si>
  <si>
    <t>P6 : Penilaian Kinerja (produk)</t>
  </si>
  <si>
    <t>P8 : Penilaian Proyek</t>
  </si>
  <si>
    <t>P9 : Penilaian Portofolio</t>
  </si>
  <si>
    <t>P6 : Penilaian Kinerja (praktik)</t>
  </si>
  <si>
    <t>ASPEK YANG DINILAI</t>
  </si>
  <si>
    <t>RESPON</t>
  </si>
  <si>
    <t>SKOR SOAL NO</t>
  </si>
  <si>
    <t>MATERI</t>
  </si>
  <si>
    <t>1. Soal sesuai indicator</t>
  </si>
  <si>
    <t>(1) soal sesuai indikator</t>
  </si>
  <si>
    <t>(0) soal tidak sesuai indicator</t>
  </si>
  <si>
    <t>2. Soal dan pilihan jawaban tidak bersifat SARA, propaganda, pornografi, bermuatan politis, dan kekerasan</t>
  </si>
  <si>
    <t>(1) Soal dan pilihan jawaban tidak bersifat SARA, propaganda, pornografi, bermuatan politis, dan kekerasan</t>
  </si>
  <si>
    <t>(0) Soal dan pilihan jawaban  bersifat SARA, propaganda, pornografi, bermuatan politis, dan kekerasan</t>
  </si>
  <si>
    <t>3. Pilihan jawaban homogen dan logis</t>
  </si>
  <si>
    <t>(2) pilihan jawaban homogin dan logis</t>
  </si>
  <si>
    <t>(1)pilihan jawaban homogin atau logis</t>
  </si>
  <si>
    <t>(0) pilihan jawaban tidak homogin dan tidak logis</t>
  </si>
  <si>
    <t>4. Hanya ada satu kunci jawaban</t>
  </si>
  <si>
    <t>(1) kunci jawaban hanya satu</t>
  </si>
  <si>
    <t>(0) kunci jawaban lebih dari satu atau tidak ada atau salah</t>
  </si>
  <si>
    <t>II</t>
  </si>
  <si>
    <t>KOMPETENSI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</si>
  <si>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Pokok soal jelas dan tegas</t>
    </r>
  </si>
  <si>
    <t xml:space="preserve">(2) Pokok soal jelas dan tegas  </t>
  </si>
  <si>
    <t>(1) Pokok soal jelas atau tegas</t>
  </si>
  <si>
    <t>(0) Pokok soal tidak jelas dan tidak tegas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</si>
  <si>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Pokok soal atau pilihan jawaban merupakan pernyataan yang diperlukan</t>
    </r>
  </si>
  <si>
    <t>(1) Pokok soal atau pilihan jawaban merupakan pernyataan yang diperlukan</t>
  </si>
  <si>
    <t>(0) Pokok soal atau pilihan jawaban bukan  merupakan pernyataan yang diperlukan</t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</si>
  <si>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Pokok soal tidak member petunjuk ke arah jawaban yang benar</t>
    </r>
  </si>
  <si>
    <t>(1) Pokok soal tidak member petunjuk ke arah jawaban yang benar</t>
  </si>
  <si>
    <t>(0) Pokok soal tidak member petunjuk ke arah jawaban yang benar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</si>
  <si>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Pokok soal tidak mengandung pernyataan yang bersifat negatif ganda</t>
    </r>
  </si>
  <si>
    <t>(1) Tidak mengandung pernyataan yang bersifat negatif ganda</t>
  </si>
  <si>
    <t>(0) Mengandung pernyataan yang bersifat negatif ganda</t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</si>
  <si>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Panjang rumusan pilihan jawaban relative sama</t>
    </r>
  </si>
  <si>
    <t>(1) Panjang rumusan pilihan jawaban relative sama</t>
  </si>
  <si>
    <t>(0) Salah satu rumusan pilihan jawaban panjang</t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</si>
  <si>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Pilihan jawaban tidak mengandung pernyataan “semua pilihan jawaban di atas salah” atau “ semua pilihan jawaban di atas benar”</t>
    </r>
  </si>
  <si>
    <r>
      <t>(1)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Pilihan jawaban tidak mengandung pernyataan “semua pilihan jawaban di atas salah” atau “ semua pilihan jawaban di atas benar”</t>
    </r>
  </si>
  <si>
    <r>
      <t>(0)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Pilihan jawaban mengandung pernyataan “semua pilihan jawaban di atas salah” atau “ semua pilihan jawaban di atas benar”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</si>
  <si>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Pilihan jawaban yang berbentuk angka atau waktu disusun berdasarkan urutan besar kecilnya nilai angka tersebut, atau kronologis</t>
    </r>
  </si>
  <si>
    <t>(*) pilihan jawaban tidak berbentuk urutan angka atau urutan waktu</t>
  </si>
  <si>
    <t>(1) Pilihan jawaban yang berbentuk angka disusun berdasarkan urutan kecil ke besar atau sebaliknya dan pilihan jawaban waktu berdasarkan kronologisnya</t>
  </si>
  <si>
    <t>(0) Pilihan yang berbentuk angka tidak disusun berdasarkan urutan kecil ke besar atau sebaliknya dan pilihan jawaban waktu tidak berdasarkan kronologisnya</t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</si>
  <si>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Gambar, grafik, table, diagram, dan sejenisnya yang terdapat pada soal jelas dan berfungsi</t>
    </r>
  </si>
  <si>
    <t>(*) tidk terdapat gambar, grafik, table, diagram, dan sejenisnya</t>
  </si>
  <si>
    <t>(1) gambar, grafik, table, diagram, dan sejenisnya pada soal jelas dan berfungsi</t>
  </si>
  <si>
    <t>(0) gambar, grafik, table, diagram, dan sejenisnya pada soal jelas dan berfungsi</t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</si>
  <si>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Butir soal tidak bergantung pada pilihan jawaban soal</t>
    </r>
  </si>
  <si>
    <t>(1) Butir soal tidak bergantung pada pilihan jawaban soal</t>
  </si>
  <si>
    <t>(0) Butir soal  bergantung pada pilihan jawaban soal</t>
  </si>
  <si>
    <t>III</t>
  </si>
  <si>
    <t>BAHASA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</si>
  <si>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Soal menggunakan bahasa yang sesuai dengan kaidah Bahasa Indonesia, untuk bahasa daerah dan bahasa asing sesuai kaidahnya</t>
    </r>
  </si>
  <si>
    <t>(1) bahasa sesuai dengan kaidah Bahasa Indonesia, untuk bahasa daerah dan bahasa asing sesuai kaidahnya</t>
  </si>
  <si>
    <t>(0) bahasa tidak  sesuai dengan kaidah Bahasa Indonesia, untuk bahasa daerah dan bahasa asing sesuai kaidahnya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</si>
  <si>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Soal tidak menggunakan bahasa yang berlaku setempat</t>
    </r>
  </si>
  <si>
    <t>(*) khusus Mulok Bahasa Daerah/sejenisnya pilih opsi ini</t>
  </si>
  <si>
    <t>(1) tidak menggunakan bahasa yang berlaku setempat</t>
  </si>
  <si>
    <t>(0) tidak menggunakan bahasa yang berlaku setempat</t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</si>
  <si>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Soal menggunakan bahasa yang komunikatif</t>
    </r>
  </si>
  <si>
    <t>(1) menggunakan bahasa yang komunikatif</t>
  </si>
  <si>
    <t>(0) tidak menggunakan bahasa yang komunikatif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</si>
  <si>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Pilihan jawaban tidak mengulang kata atau frase yang merupakan satu kesatuan pengertian</t>
    </r>
  </si>
  <si>
    <t>(1) tidak mengulang kata atau frase</t>
  </si>
  <si>
    <t>(0) mengulang kata atau frase</t>
  </si>
  <si>
    <t>INSTRUMEN TELAAH SOAL PILIHAN GANDA</t>
  </si>
  <si>
    <t>Sekolah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</si>
  <si>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Soal sesuai dengan indikator (menuntut tes bentuk uraian)</t>
    </r>
  </si>
  <si>
    <r>
      <t xml:space="preserve">2. </t>
    </r>
    <r>
      <rPr>
        <sz val="11"/>
        <color theme="1"/>
        <rFont val="Calibri"/>
        <family val="2"/>
        <scheme val="minor"/>
      </rPr>
      <t>Batasan pertanyaan dan jawaban yang diharapkan sesuai</t>
    </r>
  </si>
  <si>
    <r>
      <t>A.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Materi yang diukur sesuai dengan kompetensi (UKRK)</t>
    </r>
  </si>
  <si>
    <r>
      <t>B.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Isi materi yang ditanyakan sesuai dengan jenjang, jenis sekolah, dan tingkat kelas</t>
    </r>
  </si>
  <si>
    <t>1. Ada petunjuk yang jelas mengenai cara mengerjakan soal</t>
  </si>
  <si>
    <t xml:space="preserve">(1) Ada petunjuk yang jelas mengenai cara mengerjakan soal </t>
  </si>
  <si>
    <t>(0) Tidak ada petunjuk yang jelas mengenai cara mengerjakan soal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</si>
  <si>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Rumusan kalimat Soal/ pertanyaan menggunakan kata tanya atau perintah yang menuntut jawaban terurai</t>
    </r>
  </si>
  <si>
    <t>(1) Rumusan kalimat Soal/ pertanyaan menggunakan kata tanya atau perintah yang menuntut jawaban terurai</t>
  </si>
  <si>
    <t xml:space="preserve"> (0) Rumusan kalimat Soal/ pertanyaan tidak menggunakan kata tanya atau perintah yang menuntut jawaban terurai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</si>
  <si>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Gambar/grafik/tabel/diagram dan sejenisnya harus jelas dan berfungsi</t>
    </r>
  </si>
  <si>
    <t>(1) Gambar/grafik/tabel/diagram dan sejenisnya harus jelas dan berfungsi</t>
  </si>
  <si>
    <t xml:space="preserve"> (0) Gambar/grafik/tabel/diagram dan sejenisnya tidak jelas dan tidakberfungsi</t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</si>
  <si>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Ada pedoman penskoran</t>
    </r>
  </si>
  <si>
    <t>(1) Ada pedoman penskoran</t>
  </si>
  <si>
    <t>(0) Tidak ada pedoman penskoran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</si>
  <si>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Rumusan kalimat soal/pertanyaan komunikatif</t>
    </r>
  </si>
  <si>
    <t>(1) Rumusan kalimat soal/pertanyaan komunikatif</t>
  </si>
  <si>
    <t>(0) Rumusan kalimat soal/pertanyaan tidak  komunikatif</t>
  </si>
  <si>
    <t>2.  Butir soal menggunakan bahasa Indonesia yang baku</t>
  </si>
  <si>
    <t>(1) Butir soal menggunakan bahasa Indonesia yang baku</t>
  </si>
  <si>
    <t>(0) Butir soal tidak menggunakan bahasa Indonesia yang baku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</si>
  <si>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Tidak mengandung kata-kata/kalimat yang menimbulkan penafsiran ganda atau salah pengertian</t>
    </r>
  </si>
  <si>
    <t>(1) Tidak mengandung kata-kata/kalimat yang menimbulkan penafsiran ganda atau salah pengertian</t>
  </si>
  <si>
    <t xml:space="preserve"> (0) mengandung kata-kata/kalimat yang menimbulkan penafsiran ganda atau salah pengertian</t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</si>
  <si>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Tidak mengandung kata yang menyinggung perasaan</t>
    </r>
  </si>
  <si>
    <t>(1) Tidak mengandung kata yang menyinggung perasaan</t>
  </si>
  <si>
    <t xml:space="preserve"> (0) menggunakan bahasa yang komunikatif Tidak mengandung kata yang menyinggung perasaan</t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</si>
  <si>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Tidak menggunakan bahasa yang berlaku setempat/tabu</t>
    </r>
  </si>
  <si>
    <t>(1) Tidak menggunakan bahasa yang berlaku setempat/tabu</t>
  </si>
  <si>
    <t>(0) Menggunakan bahasa yang berlaku setempat/tabu</t>
  </si>
  <si>
    <t>INSTRUMEN TELAAH SOAL URAIAN/ESSAY</t>
  </si>
  <si>
    <t>Rencana Penilaian</t>
  </si>
  <si>
    <t>Telaah Soal Pilihan Ganda</t>
  </si>
  <si>
    <t>Telaah Soal Essay</t>
  </si>
  <si>
    <t xml:space="preserve">SILABUS </t>
  </si>
  <si>
    <t>PEMBELAJARAN</t>
  </si>
  <si>
    <t>TM</t>
  </si>
  <si>
    <t>PKL</t>
  </si>
  <si>
    <t>-</t>
  </si>
  <si>
    <t>26 dan 27</t>
  </si>
  <si>
    <t>52 53</t>
  </si>
  <si>
    <t>selisih hari antara silabus dan alokasi waktu, maka kekurangan untuk tugas/PKL</t>
  </si>
  <si>
    <t>PROGRAM PERBAIKAN / PENGAYAAN</t>
  </si>
  <si>
    <t>SEKOLAH MENENTUKAN KRITERIA PENILAIAN SIKAP</t>
  </si>
  <si>
    <t>NORMA AGAMA</t>
  </si>
  <si>
    <t>NORMA SUSILA</t>
  </si>
  <si>
    <t>PACARAN</t>
  </si>
  <si>
    <t>AGAMA</t>
  </si>
  <si>
    <t>Program Keahlian</t>
  </si>
  <si>
    <t>Fase</t>
  </si>
  <si>
    <t>Konsentrasi Keahlian</t>
  </si>
  <si>
    <t>KOMPETENSI DASAR/ CAPAIAN PEMBELAJARAN</t>
  </si>
  <si>
    <t>Yogyakarta,     Juli 2022</t>
  </si>
  <si>
    <t>Konsentrasi  Keahlian</t>
  </si>
  <si>
    <t>Tahun Pelajaran : ……….</t>
  </si>
  <si>
    <t xml:space="preserve">Konsentrasi Keahlian : </t>
  </si>
  <si>
    <t xml:space="preserve">Yogyakarta, </t>
  </si>
  <si>
    <t xml:space="preserve">Tahun Pelajaran     : </t>
  </si>
  <si>
    <t>No.RPP/MA</t>
  </si>
  <si>
    <t>Yogyakarta,    Juli</t>
  </si>
  <si>
    <t>SMK NEGERI 3 YOGYAKARTA TAHUN PELAJARAN 2022 - 2023</t>
  </si>
  <si>
    <t>Yogyakarta,    Juli 2022</t>
  </si>
  <si>
    <t>PEMBAGIAN ALOKASI WAKTU PADA SILABUS / CAPAIAN PEMBELAJARAN</t>
  </si>
  <si>
    <t>KD / CP</t>
  </si>
  <si>
    <t>AHAD</t>
  </si>
  <si>
    <t>SABTU</t>
  </si>
  <si>
    <t>KOMPLEKSITAS</t>
  </si>
  <si>
    <t>KD/CP</t>
  </si>
  <si>
    <t>KET.</t>
  </si>
  <si>
    <t>FASE</t>
  </si>
  <si>
    <t>Analisis CP</t>
  </si>
  <si>
    <t>KKTP</t>
  </si>
  <si>
    <t>Yogyakarta,   Januari 2023</t>
  </si>
  <si>
    <t>TUJUAN PEMBELAJARAN</t>
  </si>
  <si>
    <t>WKS-1</t>
  </si>
  <si>
    <t>Elemen/Topik Pembelajaran</t>
  </si>
  <si>
    <t>Alur No</t>
  </si>
  <si>
    <t>Elemen CP</t>
  </si>
  <si>
    <t>Topik Pelajaran</t>
  </si>
  <si>
    <t>Kode</t>
  </si>
  <si>
    <t>ALUR TUJUAN PEMBELAJARAN</t>
  </si>
  <si>
    <t>CAPAIAN PEMBELAJARAN</t>
  </si>
  <si>
    <t>Kelas/ Semester</t>
  </si>
  <si>
    <t>Pemahaman Bermakna</t>
  </si>
  <si>
    <t>Tujuan Pembelajaran</t>
  </si>
  <si>
    <t>Rencana Asesmen</t>
  </si>
  <si>
    <t>Model Pembelajaran</t>
  </si>
  <si>
    <t>ANALISA PENGHITUNGAN KKTP</t>
  </si>
  <si>
    <t>TH 2023 - 2024</t>
  </si>
  <si>
    <t>BIDANG KEAHLIAN</t>
  </si>
  <si>
    <t>PROGRAM KEAHLIAN</t>
  </si>
  <si>
    <t>KONSENTRASI KEAHLIAN</t>
  </si>
  <si>
    <t>NAMA MATA PELAJARAN</t>
  </si>
  <si>
    <t xml:space="preserve">KELAS/ FASE </t>
  </si>
  <si>
    <t>ALOKASI JAM PELAJARAN TOTAL</t>
  </si>
  <si>
    <t>ALOKASI JP PROJEK (P5)</t>
  </si>
  <si>
    <t xml:space="preserve">DURASI PEMBELAJARAN TIAP PERTEMUAN </t>
  </si>
  <si>
    <t>KRITERIA KETERCAPAIAN TUJUAN PEMBELAJARAN</t>
  </si>
  <si>
    <t>NAMA ELEMEN CAPAIAN PEMBELAJARAN</t>
  </si>
  <si>
    <t xml:space="preserve">URUTAN ELEMEN  </t>
  </si>
  <si>
    <t xml:space="preserve">MATERI/ KONTEN PEMBELAJARAN </t>
  </si>
  <si>
    <t xml:space="preserve">KEMAMPUAN AKHIR FASE </t>
  </si>
  <si>
    <t>Kemampuan Akhir Fase</t>
  </si>
  <si>
    <t>Tindak Lanjut</t>
  </si>
  <si>
    <t>Baru Berkembang</t>
  </si>
  <si>
    <t>Layak</t>
  </si>
  <si>
    <t>Cakap</t>
  </si>
  <si>
    <t>Mahir</t>
  </si>
  <si>
    <t>0 – 40%</t>
  </si>
  <si>
    <t>41 – 74 %</t>
  </si>
  <si>
    <t>75 – 85%</t>
  </si>
  <si>
    <t>86 – 100%</t>
  </si>
  <si>
    <t>Kriteria Ketercapaian Tujuan Pembelajaran</t>
  </si>
  <si>
    <t>MODUL AJAR DAN LKPD</t>
  </si>
  <si>
    <t>LEMBAR PENILAIAN FORMATIF</t>
  </si>
  <si>
    <t>KURIKULUM MERDEKA</t>
  </si>
  <si>
    <t>ELEMEN</t>
  </si>
  <si>
    <t>Analisa Materi</t>
  </si>
  <si>
    <t>ATP</t>
  </si>
  <si>
    <t>TP</t>
  </si>
  <si>
    <t>MA-LKPD</t>
  </si>
  <si>
    <t>Daftar Hadir</t>
  </si>
  <si>
    <t>Penanganan Peserta Didik</t>
  </si>
  <si>
    <t>Nilai Formatif</t>
  </si>
  <si>
    <t>Analisis Kebutuhan Alat</t>
  </si>
  <si>
    <t>Buku Pegangan</t>
  </si>
  <si>
    <t>Kisi-kisi</t>
  </si>
  <si>
    <t>Analisis Hasil Ulangan</t>
  </si>
  <si>
    <t>Analisis Daya Serap</t>
  </si>
  <si>
    <t>Program Perbaikan</t>
  </si>
  <si>
    <t>Program Pengayaan</t>
  </si>
  <si>
    <t>Agenda Guru</t>
  </si>
  <si>
    <t>Target dan Capaian Kurikulum</t>
  </si>
  <si>
    <t>F/751/WKS1/-/01</t>
  </si>
  <si>
    <t>F/751/WKS1/-/02</t>
  </si>
  <si>
    <t>F/751/WKS1/-/03</t>
  </si>
  <si>
    <t>F/751/WKS1/-/04</t>
  </si>
  <si>
    <t>F/751/WKS1/-/05</t>
  </si>
  <si>
    <t>F/751/WKS1/-/06</t>
  </si>
  <si>
    <t>F/751/WKS1/-/07</t>
  </si>
  <si>
    <t>F/751/WKS1/-/08</t>
  </si>
  <si>
    <t>F/751/WKS1/-/09</t>
  </si>
  <si>
    <t>F/751/WKS1/-/10</t>
  </si>
  <si>
    <t>F/751/WKS1/-/11</t>
  </si>
  <si>
    <t>F/751/WKS1/-/12</t>
  </si>
  <si>
    <t>F/751/WKS1/-/13</t>
  </si>
  <si>
    <t>F/751/WKS1/-/14</t>
  </si>
  <si>
    <t>F/751/WKS1/15</t>
  </si>
  <si>
    <t>F/751/WKS1/-/16</t>
  </si>
  <si>
    <t>F/751/WKS1/-/17</t>
  </si>
  <si>
    <t>F/751/WKS1/-/18</t>
  </si>
  <si>
    <t>F/84/WKS1/-/19</t>
  </si>
  <si>
    <t>F/751/WKS1/-/20</t>
  </si>
  <si>
    <t>F/751/WKS1/-/21</t>
  </si>
  <si>
    <t>F/751/WKS1/-/22</t>
  </si>
  <si>
    <t>F/84/WKS1/-/23</t>
  </si>
  <si>
    <t>F/751/WKS1/-/24</t>
  </si>
  <si>
    <t>Elemen</t>
  </si>
  <si>
    <t>Materi yang disampaikan (Elemen)</t>
  </si>
  <si>
    <t>: Elektronika Industri</t>
  </si>
  <si>
    <t>: F</t>
  </si>
  <si>
    <t>: Sistem Kendali Elektronik</t>
  </si>
  <si>
    <t>: XI TE 1</t>
  </si>
  <si>
    <t>: Teknik Elektronika Industri</t>
  </si>
  <si>
    <t>: Gasal</t>
  </si>
  <si>
    <t xml:space="preserve">Pendidik, </t>
  </si>
  <si>
    <t>NIP. 197112132005011004</t>
  </si>
  <si>
    <t>:  XI TE 1</t>
  </si>
  <si>
    <t>Konsentrasi Keahlian    : Elektronika Industri</t>
  </si>
  <si>
    <t>Tahun Pelajaran     :  2023 / 2024</t>
  </si>
  <si>
    <t>Jumlah Soal     : 35</t>
  </si>
  <si>
    <t>Waktu             : 90 Menit</t>
  </si>
  <si>
    <t>Bentuk Soal            :   a. Obyektif Tes</t>
  </si>
  <si>
    <t>Kelas                             : XI TE 1</t>
  </si>
  <si>
    <t>Mata Pelajaran              : Sistem Kendali Elektronika</t>
  </si>
  <si>
    <t>Menjabarkan konsep sistem kendali elektronik</t>
  </si>
  <si>
    <t xml:space="preserve">Mendeskripsikan konsep system kendali elektronik open loop dan close loop. </t>
  </si>
  <si>
    <t>Disajikan teks, peserta didik dapat mendeskripsikan konsep sistem kendali elektronik</t>
  </si>
  <si>
    <t xml:space="preserve">Mendeskripsikan fungsi - fungsi pada block diagram sistem kendali open loop dan close loop. </t>
  </si>
  <si>
    <t xml:space="preserve">Mendeskripsikan control PID dalam sistem kendali elektronik. </t>
  </si>
  <si>
    <t xml:space="preserve">Disajikan teks, peserta didik dapat mendeskripsikan kontrol PID. </t>
  </si>
  <si>
    <t xml:space="preserve">Menerapkan penggunaan konsep sistem kendali elektronika open loop dan close loop pada kehidupan sehari – hari.  </t>
  </si>
  <si>
    <t xml:space="preserve">Disajikan teks, peserta didik dapat menyimpulkan fungsi dan memberikan contoh penggunaan konsep sistem kendali elektronik open loop dan close loop.  </t>
  </si>
  <si>
    <t xml:space="preserve">Disajikan teks dan gambar, peserta didik dapat mendeskripsikan tugas dari masing – masing fungsi pada block diagram open loop dan close loop.   </t>
  </si>
  <si>
    <t>Menyimpulkan keuntungan penggunaan sistem kendali elektronik dibanding sistem kendali mekanik (manual)</t>
  </si>
  <si>
    <t>Disajikan teks, peserta didik dapat menyimpulkan keuntungan penggunaan sistem kendali elektronik dibanding sistem kendali mekanik (manual)</t>
  </si>
  <si>
    <t xml:space="preserve">Menjabarkan fungsi kaki Op-Amp LM741. </t>
  </si>
  <si>
    <t>Disajikan teks dan gambar, Op-Amp LM741, peserta didik mampu mengidentifikasi fungsi kaki Op-Amp LM741</t>
  </si>
  <si>
    <t xml:space="preserve">Menghitung gain (penguatan) pada rangkaian inverting dan non – inverting </t>
  </si>
  <si>
    <t xml:space="preserve">Disajikan teks, peserta didik mampu menghitung gain (penguatan) pada </t>
  </si>
  <si>
    <t xml:space="preserve">Disajikan teks, peserta didik mampu menghitung gain (penguatan) pada rangkaian inverting dan non – inverting. </t>
  </si>
  <si>
    <t xml:space="preserve">Mendeskripsikan hasil pembacaan sinyal oscilloscope. </t>
  </si>
  <si>
    <t xml:space="preserve">Disajikan gambar, peserta didik mampu menyimpulkan rangkaian berdasarkan sinyal input dan outputnya. </t>
  </si>
  <si>
    <t xml:space="preserve">Mendeskripsikan fungsi komponen aktif dan pasif pada rangkaian inverting. </t>
  </si>
  <si>
    <t>Disajikan teks, peserta didik mampu mendeskripsikan fungsi komponen aktif dan pasif pada rangkaian inverting</t>
  </si>
  <si>
    <t>Mendeskripsikan konsep rangkaian Op – Amp proportional.</t>
  </si>
  <si>
    <t xml:space="preserve">Disajikan teks, peserta didik mampu mendeskripsikan konsep rangkaian Op-Amp proportional,  ciri – ciri, dan karakteristik.  </t>
  </si>
  <si>
    <t xml:space="preserve">Mendeskripsikan fungsi komponen aktif dan pasif pada rangkaian PID kontrol. </t>
  </si>
  <si>
    <t xml:space="preserve">Disajikan teks, peserta didik mampu mendeskripsikan fungsi komponen aktif dan pasif pada rangkaian PID kontrol </t>
  </si>
  <si>
    <t xml:space="preserve">Menghitung tegangan keluaran rangkaian Op-Amp proportional. </t>
  </si>
  <si>
    <t xml:space="preserve">Disajikan gambar, peserta didik dapat mengidentifikasi dan menghitung tegangan keluaran (Vout) rangkaian Op-Amp proportional. </t>
  </si>
  <si>
    <t xml:space="preserve">Menghitung penguatan tegangan rangkaian Op-Amp proportional. </t>
  </si>
  <si>
    <t xml:space="preserve">Disajikan gambar, peserta didik dapat mengidentifikasi dan menghitung penguatan tegangan (gain) rangkaian Op-Amp proportional. </t>
  </si>
  <si>
    <t xml:space="preserve">Mendeskripsikan konsep rangkaian Op – Amp Integrator. </t>
  </si>
  <si>
    <t>Disajikan gambar, peserta didik dapat mengidentifikasi rangkaian, fungsi rangkaian, dan fungsi komponen aktif – pasif pada rangkaian Op – Amp integrator</t>
  </si>
  <si>
    <t xml:space="preserve">Menghitung penguatan rangkaian Op – Amp integrator. </t>
  </si>
  <si>
    <t xml:space="preserve">Disajikan teks, peserta didik dapat menghitung penguatan rangkaian Op – Amp integrator. </t>
  </si>
  <si>
    <t xml:space="preserve">Mendeskripsikan ciri – ciri rangkaian Op – Amp integrator. </t>
  </si>
  <si>
    <t>Disajikan teks, peserta didik mampu mendeskripsikan ciri – ciri rangkaian Op – Amp integrator</t>
  </si>
  <si>
    <t xml:space="preserve">Mendeskripsikan rangkaian Op – Amp diferensiator. </t>
  </si>
  <si>
    <t xml:space="preserve">Disajikan teks dan gambar, peserta didik mampu mendeskripsikan rangkaian, komponen, dan fungsi rangkaian diferensiator. </t>
  </si>
  <si>
    <t xml:space="preserve">Menghitung penguatan rangkaia Op – Amp diferensiator. </t>
  </si>
  <si>
    <t xml:space="preserve">Disajikan teks, peserta didik dapat menghitung penguatan (gain) pada rangkaian Op – Amp diferensiator. </t>
  </si>
  <si>
    <t>Mendeskripsikan rumus dari rangkaian Op – Amp diferensiator</t>
  </si>
  <si>
    <t xml:space="preserve">Disajikan teks, siswa dapat mendeskripsikan persamaan matematis tegangan keluaran (Vout) dari rangkaian Op-Amp diferensiator. </t>
  </si>
  <si>
    <t>Memahami sistem kendali terbuka dan sistem kendali tertutup.</t>
  </si>
  <si>
    <t>Mampu merangkai contoh rangkaian sistem kendali terbuka (kendali suhu ruangan) dan tertutup (motor servo)</t>
  </si>
  <si>
    <t>Memahami sistem kendali analog dan digital</t>
  </si>
  <si>
    <t>Memahami dan merangkai rangkaian elektronik sistem pembagi tegangan menggunakan variabel resistor dan LDR dengan indikator LED</t>
  </si>
  <si>
    <t>Memahami dan merangkai rangkaian generator clock rangkaian digital running LED</t>
  </si>
  <si>
    <t>Memahami rangkaian isolasi Transformer dan Optoisolator</t>
  </si>
  <si>
    <t>Memahami rangkaian isolasi Relay/Contactor dan Capacitor</t>
  </si>
  <si>
    <t>U</t>
  </si>
  <si>
    <r>
      <t xml:space="preserve">Memahami komponen </t>
    </r>
    <r>
      <rPr>
        <i/>
        <sz val="11"/>
        <color theme="1"/>
        <rFont val="Times New Roman"/>
        <family val="1"/>
      </rPr>
      <t>solid state relay</t>
    </r>
  </si>
  <si>
    <r>
      <t xml:space="preserve">Merangkai Rangkaian </t>
    </r>
    <r>
      <rPr>
        <i/>
        <sz val="11"/>
        <color theme="1"/>
        <rFont val="Times New Roman"/>
        <family val="1"/>
      </rPr>
      <t>solid state relay</t>
    </r>
  </si>
  <si>
    <t>Memahami jenis - jenis gerbang logika dan simbol logika relay sebagai pengendali</t>
  </si>
  <si>
    <t>Memahami prinsip kerja tangga relay (ladder diagram)</t>
  </si>
  <si>
    <t>Abdu Rasyid 'Athaa</t>
  </si>
  <si>
    <t>P</t>
  </si>
  <si>
    <t>0078276901</t>
  </si>
  <si>
    <t>0067470379</t>
  </si>
  <si>
    <t>0072903809</t>
  </si>
  <si>
    <t>0076549407</t>
  </si>
  <si>
    <t>Abu Daffa Al-Dzulfikar Ali</t>
  </si>
  <si>
    <t>Adhitya Kurniawan</t>
  </si>
  <si>
    <t>Aditya Febriano</t>
  </si>
  <si>
    <t>18, 7</t>
  </si>
  <si>
    <t>25, 7</t>
  </si>
  <si>
    <t>8 ,8</t>
  </si>
  <si>
    <t>15, 8</t>
  </si>
  <si>
    <t>22, 8</t>
  </si>
  <si>
    <t>29, 8</t>
  </si>
  <si>
    <t>5, 9</t>
  </si>
  <si>
    <t>12, 9</t>
  </si>
  <si>
    <t>v</t>
  </si>
  <si>
    <t>0069904338</t>
  </si>
  <si>
    <t>Aditya Rendra Wardana</t>
  </si>
  <si>
    <t>0084404661</t>
  </si>
  <si>
    <t>Ahmad 'Izzuddin Ramadani</t>
  </si>
  <si>
    <t>s</t>
  </si>
  <si>
    <t>0073394500</t>
  </si>
  <si>
    <t>Alrafif Megannanda Hermawan</t>
  </si>
  <si>
    <t>0064104410</t>
  </si>
  <si>
    <t>Aziz Qurrahman</t>
  </si>
  <si>
    <t>0078004181</t>
  </si>
  <si>
    <t>Bagus Imam Santoso</t>
  </si>
  <si>
    <t>0066065365</t>
  </si>
  <si>
    <t>Bayo Ikbar Muhammad Arkan</t>
  </si>
  <si>
    <t>0066626041</t>
  </si>
  <si>
    <t>Bramantya Maheswara Saputra</t>
  </si>
  <si>
    <t>0062007118</t>
  </si>
  <si>
    <t>Brian Rasya Azahra</t>
  </si>
  <si>
    <t>0066820204</t>
  </si>
  <si>
    <t>Diandra Alwin Putra</t>
  </si>
  <si>
    <t>i</t>
  </si>
  <si>
    <t>0066591367</t>
  </si>
  <si>
    <t>Dianov Absaqi Ridho Rizqyana</t>
  </si>
  <si>
    <t>0071608625</t>
  </si>
  <si>
    <t>Dimas Afif Ardian</t>
  </si>
  <si>
    <t>0065691629</t>
  </si>
  <si>
    <t>Elisabet Oktafiani Lintang N.</t>
  </si>
  <si>
    <t>0067987027</t>
  </si>
  <si>
    <t>Evan Dwiko Ramadhan</t>
  </si>
  <si>
    <t>0077874253</t>
  </si>
  <si>
    <t>Fadhil Muhammad Mumtaz</t>
  </si>
  <si>
    <t>0071616419</t>
  </si>
  <si>
    <t>Fadilah Sidiq</t>
  </si>
  <si>
    <t>0073770606</t>
  </si>
  <si>
    <t>Fajar Alif Kurniawan</t>
  </si>
  <si>
    <t>0072152034</t>
  </si>
  <si>
    <t>Fikri Alfiansyah Yunaldi</t>
  </si>
  <si>
    <t>0063612384</t>
  </si>
  <si>
    <t>Gempia Ayunindya Kinanthi</t>
  </si>
  <si>
    <t>0061336114</t>
  </si>
  <si>
    <t>Gifari Rizal Mulya</t>
  </si>
  <si>
    <t>0065994609</t>
  </si>
  <si>
    <t>Hafiz Maulana Ramadhan</t>
  </si>
  <si>
    <t>0073539651</t>
  </si>
  <si>
    <t>Hanif Nur Faiz</t>
  </si>
  <si>
    <t>0061483080</t>
  </si>
  <si>
    <t>Ilyas Syafa Nugroho</t>
  </si>
  <si>
    <t>0076936253</t>
  </si>
  <si>
    <t>Imam Syarif Nur Hidayat</t>
  </si>
  <si>
    <t>0063944879</t>
  </si>
  <si>
    <t>Leviandro Kris Pranata</t>
  </si>
  <si>
    <t>0064071630</t>
  </si>
  <si>
    <t>Maulana Nur Widiyatmaka</t>
  </si>
  <si>
    <t>0074330779</t>
  </si>
  <si>
    <t>Mikael Wirawan Samodro W.</t>
  </si>
  <si>
    <t>0066153854</t>
  </si>
  <si>
    <t>Nickolaus Ekaritas Hariyo S.</t>
  </si>
  <si>
    <t>0074211582</t>
  </si>
  <si>
    <t>Yosua Kristian Indaryono</t>
  </si>
  <si>
    <t>0064403145</t>
  </si>
  <si>
    <t xml:space="preserve">Mochammad Rendy Putra S. </t>
  </si>
  <si>
    <t>0063165595</t>
  </si>
  <si>
    <t>Novita Oktavia Rahmawati</t>
  </si>
  <si>
    <t>0069868375</t>
  </si>
  <si>
    <t>Shafira Amanah Lail</t>
  </si>
  <si>
    <t>0057167888</t>
  </si>
  <si>
    <t>Ardan Kris Apriyanendra</t>
  </si>
  <si>
    <t>:  Teknik Elektronika</t>
  </si>
  <si>
    <t>Koordinator Mapel/KPK</t>
  </si>
  <si>
    <t>KALENDER PENDIDIKAN TP 2024/2025</t>
  </si>
  <si>
    <t>SEMESTER I TAHUN PELAJARAN 2024/2025</t>
  </si>
  <si>
    <t>JULI 2024</t>
  </si>
  <si>
    <t>CATATAN</t>
  </si>
  <si>
    <t>1 - 12 Juli 2024 : Libur Akhir Tahun Pelajaran 2023/2024</t>
  </si>
  <si>
    <t>7 Juli 2024: Tahun Baru Islam 1446 H</t>
  </si>
  <si>
    <t>15 - 19 Juli 2024 : PLS Tahun Pelajaran 2024/2025</t>
  </si>
  <si>
    <t>JUMÁT</t>
  </si>
  <si>
    <t xml:space="preserve">AGUSTUS 2024       </t>
  </si>
  <si>
    <t>17 Agustus 2024 : Hari Kemerdekaan RI ke-79</t>
  </si>
  <si>
    <t>19 - 22 Agustus 2024 : ANBK Jenjang SMK Sederajat</t>
  </si>
  <si>
    <t>16 September 2024 : Maulid Nabi Muhammad SAW</t>
  </si>
  <si>
    <t>OKTOBER 2024</t>
  </si>
  <si>
    <t>14 Okto 2024 awal mulai PKL</t>
  </si>
  <si>
    <t>4 - 15 November 2024 : Uji Kompetensi Keahlian Kelas XII (Tahap 1)</t>
  </si>
  <si>
    <t>25 November 2024 : Hari Guru Nasional</t>
  </si>
  <si>
    <t>27 - 29 November 2024 : Penilaian Sumatif Akhir Semester I</t>
  </si>
  <si>
    <t>DESEMBER 2024</t>
  </si>
  <si>
    <t>2 - 6 Desember 2024 : Penilaian Sumatif Akhir Semester I</t>
  </si>
  <si>
    <t>16 Desember 2024 : Penerimaan Laporan Hasil Belajar Akhir Semester I</t>
  </si>
  <si>
    <t>16 - 31 Desember 2024 : Libur Akhir Semester I</t>
  </si>
  <si>
    <t>25 Desember 2024 : Hari Raya Natal</t>
  </si>
  <si>
    <t>26 Desember 2024 : Cuti Bersama Hari Raya Natal</t>
  </si>
  <si>
    <t>SEMESTER II TAHUN PELAJARAN 2024/2025</t>
  </si>
  <si>
    <t>JANUARI 2025</t>
  </si>
  <si>
    <t>1 Januari 2025 : Tahun Baru 2025</t>
  </si>
  <si>
    <t>2 Januari 2025 : Hari Pertama Masuk Semester II</t>
  </si>
  <si>
    <t>27 Januari 2025 :  Isra Mi'raj Nabi Muhammad</t>
  </si>
  <si>
    <t>29 Januari 2025 : Tahun Baru Imlek</t>
  </si>
  <si>
    <t>FEBRUARI 2025</t>
  </si>
  <si>
    <t>3 - 14 Februari 2025 : Uji Kompetensi Keahlian Kelas XII (Tahap 2)</t>
  </si>
  <si>
    <t>14 Februari 2025 penarikan PKL kelas 12</t>
  </si>
  <si>
    <t>17 - 21 Februari 2025 : Kunjungan industri tingkat 11</t>
  </si>
  <si>
    <t>24 - 26 Februari 2025 : ASPD Jenjang SMK</t>
  </si>
  <si>
    <t>MARET 2025</t>
  </si>
  <si>
    <t>3 - 5 Maret 2025 : Libur Awal Ramadhan 1446 H</t>
  </si>
  <si>
    <t>10 - 12 Maret 2025 : ASPD Jenjang SMK Susulan</t>
  </si>
  <si>
    <t>27 - 31 Maret 2025 : Libur Akhir Ramadhan 1446 H</t>
  </si>
  <si>
    <t>1 - 2 April 2025 : Hari Raya Idul Fitri 1446 H</t>
  </si>
  <si>
    <t>3 - 9 April 2025 : Libur Hari Raya Idul Fitri 1446 H</t>
  </si>
  <si>
    <t>14 - 24 April 2025 : Ujian Sekolah Kelas XII (Tahap 2)</t>
  </si>
  <si>
    <t>18 April 2025 : Wafat Isa Almasih</t>
  </si>
  <si>
    <t>MEI 2025</t>
  </si>
  <si>
    <t>1 Mei 2025 : Hari Buruh Nasional</t>
  </si>
  <si>
    <t>6 Mei 2025 : Kelulusan SMK (Tentatif)</t>
  </si>
  <si>
    <t>13 Mei 2025 : Hari Raya Waisak</t>
  </si>
  <si>
    <t>29 Mei 2025 : Kenaikan Isa Almasih</t>
  </si>
  <si>
    <t>JUNI 2025</t>
  </si>
  <si>
    <t>1 Juni 2025 : Hari Lahir Pancasila</t>
  </si>
  <si>
    <t>2 - 10 Juni 2025 : Penilaian Sumatif Akhir Semester II ( Kelas X dan XI)</t>
  </si>
  <si>
    <t>7 Juni 2025 : Hari Raya Idul Adha 1446 H</t>
  </si>
  <si>
    <t>20 Juni 2025 : Penerimaan Laporan Hasil Belajar Akhir Tahun</t>
  </si>
  <si>
    <t>23 - 30 Juni 2025 : Libur Akhir Tahun Pelajaran 2024/2025</t>
  </si>
  <si>
    <t>26 Juni 2025 : Tahun Baru Hijriyah 1447 H</t>
  </si>
  <si>
    <t>JULI 2025</t>
  </si>
  <si>
    <t>1 - 11 Juli 2025 : Libur Akhir Tahun Pelajaran 2024/2025</t>
  </si>
  <si>
    <t>14 Juli 2025 : Tahun Ajaran Baru 2025/2026</t>
  </si>
  <si>
    <t>SEPTEMBER 2024</t>
  </si>
  <si>
    <t>NOPEMBER 2024</t>
  </si>
  <si>
    <t>APRIL 2025</t>
  </si>
  <si>
    <t>Yogyakarta, 8 Juli 2024</t>
  </si>
  <si>
    <t>Kepala SMK N 3 Yogyakarta</t>
  </si>
  <si>
    <t>WIDADA, S.Pd., M.Pd.</t>
  </si>
  <si>
    <t>NIP. 196902122000121002</t>
  </si>
  <si>
    <t>: 2024/2025</t>
  </si>
  <si>
    <t>TH 2024 - 2025</t>
  </si>
  <si>
    <t>Tahun Pelajaran 2024/2025</t>
  </si>
  <si>
    <t>WKS Kurikulum</t>
  </si>
  <si>
    <t>: Genap</t>
  </si>
  <si>
    <t>Koord Mapel/KPK</t>
  </si>
  <si>
    <t>Januari</t>
  </si>
  <si>
    <t>Februari</t>
  </si>
  <si>
    <t>Maret</t>
  </si>
  <si>
    <t>April</t>
  </si>
  <si>
    <t>Juni</t>
  </si>
  <si>
    <t>KPK/Koordinator Mapel</t>
  </si>
  <si>
    <t>Yogyakarta,       Juli  2024</t>
  </si>
  <si>
    <t>Yogyakarta,  Juli 2024</t>
  </si>
  <si>
    <t>Tahun Pelajaran :  2024/2025</t>
  </si>
  <si>
    <t>Kelas/Semester :  Gasal</t>
  </si>
  <si>
    <t>7-11 Oktober 2024 AAS tingkat 12</t>
  </si>
  <si>
    <t>Teknik Elektronika</t>
  </si>
  <si>
    <t>Elektronika Industri</t>
  </si>
  <si>
    <t>F</t>
  </si>
  <si>
    <t>Pemrograman Sistem Embeded</t>
  </si>
  <si>
    <t>XI</t>
  </si>
  <si>
    <t>Gasal</t>
  </si>
  <si>
    <t>2024/2025</t>
  </si>
  <si>
    <t>Jumari, S.Pd.T., M.Eng</t>
  </si>
  <si>
    <t>NIP. 198311152024211006</t>
  </si>
  <si>
    <t>Taufiq Afandi, S.Pd</t>
  </si>
  <si>
    <t>NIP. 197505112006041004</t>
  </si>
  <si>
    <t>Pemrograman Sistem Embedded</t>
  </si>
  <si>
    <t>: Pemrograman Sistem Embeded</t>
  </si>
  <si>
    <t xml:space="preserve">ELEMEN </t>
  </si>
  <si>
    <t>: Jumari, S.Pd.T., M.Eng</t>
  </si>
  <si>
    <t>: 2024 / 2025</t>
  </si>
  <si>
    <t>NIP. 198311152024211000</t>
  </si>
  <si>
    <t>PSE</t>
  </si>
  <si>
    <t>KOMDAT</t>
  </si>
  <si>
    <t>INFORMATIKA</t>
  </si>
  <si>
    <t>: XI TE</t>
  </si>
  <si>
    <t>Memahami Dan Menjelaskan Pemrograman Sistem Embedded.</t>
  </si>
  <si>
    <t>Mengidentifikasi dan Mengevaluasi Pin diagram dan fungsi Pinout pada Mikrokontroler Keluarga ATMEGA.</t>
  </si>
  <si>
    <t>Mampu Memahami dan Menjelaskan Arsitektur Mikrokontroler Keluarga ATMega.</t>
  </si>
  <si>
    <t>Memahami, Mengartikan dan Menerapkan Bahasa Pemrograman C.</t>
  </si>
  <si>
    <t>Memahami, Mengartikan dan Menerapkan Bahasa Pemrograman Asembler</t>
  </si>
  <si>
    <t>Mengimplementasikan serta Mengoperasikan Software Simulator Offline Proteus.</t>
  </si>
  <si>
    <t>Mengimplementasikan, Menerapkan dan Mengoperasikan Software Compiler IDE Arduino.</t>
  </si>
  <si>
    <t>Mengimplemantasikan, Menerapkan dan Mengoperasikan Software Compiler AVR</t>
  </si>
  <si>
    <t>PAT</t>
  </si>
  <si>
    <t>GASAL</t>
  </si>
  <si>
    <t>Yogyakarta,   Juli 2024</t>
  </si>
  <si>
    <t>Elemen 1</t>
  </si>
  <si>
    <t>Elemen 2</t>
  </si>
  <si>
    <t>Elemen 3</t>
  </si>
  <si>
    <t>Elemen 4</t>
  </si>
  <si>
    <t>Elemen 5</t>
  </si>
  <si>
    <t>Elemen 6</t>
  </si>
  <si>
    <t>Elemen 7</t>
  </si>
  <si>
    <t>Elemen 8</t>
  </si>
  <si>
    <t>√</t>
  </si>
  <si>
    <t>Gunawan S Pd., M Pd</t>
  </si>
  <si>
    <t>Widada, S.Pd., M.Pd.</t>
  </si>
  <si>
    <t>: Teknik Elektronika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</si>
</sst>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0.0"/>
    <numFmt numFmtId="165" formatCode="0.0%"/>
  </numFmts>
  <fonts count="10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 Narrow"/>
      <family val="2"/>
    </font>
    <font>
      <sz val="12"/>
      <color theme="1"/>
      <name val="Calibri"/>
      <family val="2"/>
      <charset val="1"/>
      <scheme val="minor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20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12"/>
      <color theme="1"/>
      <name val="Arial Narrow"/>
      <family val="2"/>
    </font>
    <font>
      <i/>
      <sz val="14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Arial Narrow"/>
      <family val="2"/>
    </font>
    <font>
      <sz val="12"/>
      <color theme="1"/>
      <name val="Arial"/>
      <family val="2"/>
    </font>
    <font>
      <b/>
      <sz val="12"/>
      <name val="Arial Narrow"/>
      <family val="2"/>
    </font>
    <font>
      <i/>
      <sz val="14"/>
      <name val="Arial Narrow"/>
      <family val="2"/>
    </font>
    <font>
      <sz val="12"/>
      <color rgb="FF00000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b/>
      <sz val="9"/>
      <color theme="1"/>
      <name val="Times New Roman"/>
      <family val="1"/>
    </font>
    <font>
      <sz val="8"/>
      <color indexed="8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8"/>
      <color theme="1"/>
      <name val="Times New Roman"/>
      <family val="1"/>
    </font>
    <font>
      <sz val="11"/>
      <color rgb="FFFF0000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6"/>
      <color theme="1"/>
      <name val="Times New Roman"/>
      <family val="1"/>
    </font>
    <font>
      <b/>
      <sz val="8"/>
      <name val="Times New Roman"/>
      <family val="1"/>
    </font>
    <font>
      <u/>
      <sz val="10"/>
      <color indexed="8"/>
      <name val="Times New Roman"/>
      <family val="1"/>
    </font>
    <font>
      <u/>
      <sz val="8"/>
      <color indexed="8"/>
      <name val="Times New Roman"/>
      <family val="1"/>
    </font>
    <font>
      <i/>
      <sz val="8"/>
      <name val="Times New Roman"/>
      <family val="1"/>
    </font>
    <font>
      <sz val="24"/>
      <color theme="1"/>
      <name val="Calibri"/>
      <family val="2"/>
      <charset val="1"/>
      <scheme val="minor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9"/>
      <color rgb="FFFF0000"/>
      <name val="Times New Roman"/>
      <family val="1"/>
    </font>
    <font>
      <b/>
      <sz val="22"/>
      <color theme="1"/>
      <name val="Times New Roman"/>
      <family val="1"/>
    </font>
    <font>
      <b/>
      <sz val="2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8"/>
      <color rgb="FFFF0000"/>
      <name val="Calibri"/>
      <family val="2"/>
      <charset val="1"/>
      <scheme val="minor"/>
    </font>
    <font>
      <sz val="24"/>
      <color rgb="FFFF0000"/>
      <name val="Calibri"/>
      <family val="2"/>
      <charset val="1"/>
      <scheme val="minor"/>
    </font>
    <font>
      <b/>
      <sz val="14"/>
      <name val="Times New Roman"/>
      <family val="1"/>
    </font>
    <font>
      <b/>
      <i/>
      <sz val="11"/>
      <color rgb="FFFF0000"/>
      <name val="Times New Roman"/>
      <family val="1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7"/>
      <color theme="1"/>
      <name val="Times New Roman"/>
      <family val="1"/>
    </font>
    <font>
      <sz val="11"/>
      <color theme="0"/>
      <name val="Times New Roman"/>
      <family val="1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2"/>
      <name val="Times New Roman"/>
      <family val="1"/>
    </font>
    <font>
      <i/>
      <sz val="11"/>
      <color theme="1"/>
      <name val="Times New Roman"/>
      <family val="1"/>
    </font>
    <font>
      <b/>
      <sz val="14"/>
      <color rgb="FF000000"/>
      <name val="Calibri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u/>
      <sz val="10"/>
      <color rgb="FF000000"/>
      <name val="Arial"/>
      <family val="2"/>
    </font>
    <font>
      <u/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charset val="1"/>
      <scheme val="minor"/>
    </font>
    <font>
      <sz val="12"/>
      <color rgb="FF2F3031"/>
      <name val="Times New Roman"/>
      <family val="1"/>
    </font>
    <font>
      <u/>
      <sz val="11"/>
      <color theme="1"/>
      <name val="Times New Roman"/>
      <family val="1"/>
    </font>
    <font>
      <sz val="8"/>
      <name val="Calibri"/>
      <family val="2"/>
      <charset val="1"/>
      <scheme val="minor"/>
    </font>
    <font>
      <sz val="12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DADA"/>
      </patternFill>
    </fill>
    <fill>
      <patternFill patternType="solid">
        <fgColor rgb="FFE6B8B7"/>
      </patternFill>
    </fill>
    <fill>
      <patternFill patternType="solid">
        <fgColor rgb="FFFFFF00"/>
      </patternFill>
    </fill>
    <fill>
      <patternFill patternType="solid">
        <fgColor rgb="FFB1A0C7"/>
      </patternFill>
    </fill>
    <fill>
      <patternFill patternType="solid">
        <fgColor rgb="FFFF0000"/>
      </patternFill>
    </fill>
    <fill>
      <patternFill patternType="solid">
        <fgColor rgb="FF948A54"/>
      </patternFill>
    </fill>
    <fill>
      <patternFill patternType="solid">
        <fgColor rgb="FFE26B0A"/>
      </patternFill>
    </fill>
    <fill>
      <patternFill patternType="solid">
        <fgColor rgb="FF00B0F0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DA9694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33CC33"/>
        <bgColor indexed="64"/>
      </patternFill>
    </fill>
    <fill>
      <patternFill patternType="solid">
        <fgColor rgb="FFFF9933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ashDotDot">
        <color indexed="64"/>
      </bottom>
      <diagonal/>
    </border>
    <border>
      <left/>
      <right style="thin">
        <color indexed="64"/>
      </right>
      <top style="double">
        <color indexed="64"/>
      </top>
      <bottom style="dashDotDot">
        <color indexed="64"/>
      </bottom>
      <diagonal/>
    </border>
    <border>
      <left style="thin">
        <color indexed="64"/>
      </left>
      <right/>
      <top style="dashDotDot">
        <color indexed="64"/>
      </top>
      <bottom style="thin">
        <color indexed="64"/>
      </bottom>
      <diagonal/>
    </border>
    <border>
      <left/>
      <right style="thin">
        <color indexed="64"/>
      </right>
      <top style="dashDotDot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ashDotDot">
        <color indexed="64"/>
      </top>
      <bottom style="double">
        <color indexed="64"/>
      </bottom>
      <diagonal/>
    </border>
    <border>
      <left/>
      <right style="thin">
        <color indexed="64"/>
      </right>
      <top style="dashDotDot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ashDotDot">
        <color indexed="64"/>
      </bottom>
      <diagonal/>
    </border>
    <border>
      <left/>
      <right style="thin">
        <color indexed="64"/>
      </right>
      <top/>
      <bottom style="dashDotDot">
        <color indexed="64"/>
      </bottom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double">
        <color indexed="64"/>
      </top>
      <bottom style="dashDotDot">
        <color indexed="64"/>
      </bottom>
      <diagonal/>
    </border>
  </borders>
  <cellStyleXfs count="16">
    <xf numFmtId="0" fontId="0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2" fontId="25" fillId="0" borderId="0" applyFont="0" applyFill="0" applyBorder="0" applyAlignment="0" applyProtection="0"/>
    <xf numFmtId="0" fontId="9" fillId="0" borderId="0"/>
    <xf numFmtId="42" fontId="9" fillId="0" borderId="0" applyFont="0" applyFill="0" applyBorder="0" applyAlignment="0" applyProtection="0"/>
    <xf numFmtId="0" fontId="9" fillId="0" borderId="0"/>
    <xf numFmtId="42" fontId="9" fillId="0" borderId="0" applyFont="0" applyFill="0" applyBorder="0" applyAlignment="0" applyProtection="0"/>
    <xf numFmtId="0" fontId="9" fillId="0" borderId="0"/>
    <xf numFmtId="42" fontId="9" fillId="0" borderId="0" applyFont="0" applyFill="0" applyBorder="0" applyAlignment="0" applyProtection="0"/>
  </cellStyleXfs>
  <cellXfs count="1030">
    <xf numFmtId="0" fontId="0" fillId="0" borderId="0" xfId="0"/>
    <xf numFmtId="0" fontId="13" fillId="0" borderId="0" xfId="0" applyFont="1"/>
    <xf numFmtId="0" fontId="12" fillId="0" borderId="0" xfId="0" applyFont="1"/>
    <xf numFmtId="0" fontId="18" fillId="0" borderId="0" xfId="0" applyFont="1"/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8" fillId="0" borderId="6" xfId="0" applyFont="1" applyBorder="1"/>
    <xf numFmtId="0" fontId="18" fillId="0" borderId="0" xfId="0" applyFont="1" applyAlignment="1">
      <alignment vertical="center"/>
    </xf>
    <xf numFmtId="0" fontId="21" fillId="0" borderId="0" xfId="0" applyFont="1"/>
    <xf numFmtId="0" fontId="19" fillId="0" borderId="0" xfId="0" applyFont="1"/>
    <xf numFmtId="0" fontId="18" fillId="0" borderId="12" xfId="0" applyFont="1" applyBorder="1"/>
    <xf numFmtId="0" fontId="19" fillId="0" borderId="0" xfId="0" applyFont="1" applyAlignment="1">
      <alignment vertical="center"/>
    </xf>
    <xf numFmtId="0" fontId="18" fillId="0" borderId="18" xfId="0" applyFont="1" applyBorder="1"/>
    <xf numFmtId="0" fontId="18" fillId="0" borderId="13" xfId="0" applyFont="1" applyBorder="1"/>
    <xf numFmtId="0" fontId="18" fillId="0" borderId="15" xfId="0" applyFont="1" applyBorder="1"/>
    <xf numFmtId="0" fontId="18" fillId="0" borderId="16" xfId="0" applyFont="1" applyBorder="1"/>
    <xf numFmtId="0" fontId="15" fillId="0" borderId="14" xfId="0" applyFont="1" applyBorder="1"/>
    <xf numFmtId="0" fontId="23" fillId="0" borderId="21" xfId="0" applyFont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5" fontId="19" fillId="0" borderId="2" xfId="0" applyNumberFormat="1" applyFont="1" applyBorder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8" fillId="0" borderId="0" xfId="1" applyFont="1"/>
    <xf numFmtId="0" fontId="18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1" fillId="0" borderId="0" xfId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0" fillId="0" borderId="0" xfId="0" applyFont="1"/>
    <xf numFmtId="0" fontId="27" fillId="0" borderId="0" xfId="0" applyFont="1"/>
    <xf numFmtId="0" fontId="10" fillId="0" borderId="0" xfId="0" applyFont="1" applyAlignment="1">
      <alignment horizontal="center"/>
    </xf>
    <xf numFmtId="0" fontId="31" fillId="0" borderId="0" xfId="0" applyFont="1"/>
    <xf numFmtId="0" fontId="32" fillId="0" borderId="0" xfId="0" applyFont="1" applyAlignment="1">
      <alignment vertical="center"/>
    </xf>
    <xf numFmtId="0" fontId="3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/>
    <xf numFmtId="0" fontId="35" fillId="0" borderId="0" xfId="0" applyFont="1" applyAlignment="1">
      <alignment vertical="center"/>
    </xf>
    <xf numFmtId="0" fontId="33" fillId="0" borderId="0" xfId="0" applyFont="1"/>
    <xf numFmtId="0" fontId="33" fillId="0" borderId="0" xfId="0" applyFont="1" applyAlignment="1">
      <alignment vertical="center"/>
    </xf>
    <xf numFmtId="0" fontId="33" fillId="0" borderId="2" xfId="0" applyFont="1" applyBorder="1"/>
    <xf numFmtId="0" fontId="37" fillId="0" borderId="0" xfId="0" applyFont="1" applyAlignment="1">
      <alignment vertical="center"/>
    </xf>
    <xf numFmtId="0" fontId="40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41" fillId="0" borderId="0" xfId="0" applyFont="1"/>
    <xf numFmtId="0" fontId="37" fillId="0" borderId="2" xfId="0" applyFont="1" applyBorder="1" applyAlignment="1">
      <alignment horizontal="center"/>
    </xf>
    <xf numFmtId="0" fontId="35" fillId="0" borderId="0" xfId="0" applyFont="1" applyAlignment="1">
      <alignment horizontal="left"/>
    </xf>
    <xf numFmtId="0" fontId="34" fillId="0" borderId="0" xfId="0" applyFont="1" applyAlignment="1">
      <alignment vertical="center"/>
    </xf>
    <xf numFmtId="0" fontId="41" fillId="0" borderId="0" xfId="0" applyFont="1" applyAlignment="1">
      <alignment horizontal="left"/>
    </xf>
    <xf numFmtId="0" fontId="46" fillId="0" borderId="0" xfId="0" applyFont="1"/>
    <xf numFmtId="0" fontId="47" fillId="0" borderId="2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/>
    <xf numFmtId="0" fontId="46" fillId="0" borderId="1" xfId="0" applyFont="1" applyBorder="1"/>
    <xf numFmtId="0" fontId="46" fillId="0" borderId="2" xfId="0" applyFont="1" applyBorder="1"/>
    <xf numFmtId="0" fontId="36" fillId="0" borderId="0" xfId="0" applyFont="1"/>
    <xf numFmtId="0" fontId="36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2" xfId="0" applyFont="1" applyBorder="1" applyAlignment="1">
      <alignment horizontal="center"/>
    </xf>
    <xf numFmtId="0" fontId="35" fillId="0" borderId="0" xfId="1" applyFont="1" applyAlignment="1">
      <alignment horizontal="left" vertical="center"/>
    </xf>
    <xf numFmtId="0" fontId="35" fillId="0" borderId="0" xfId="1" applyFont="1" applyAlignment="1">
      <alignment vertical="center"/>
    </xf>
    <xf numFmtId="0" fontId="35" fillId="0" borderId="0" xfId="1" applyFont="1" applyAlignment="1">
      <alignment horizontal="center" vertical="center"/>
    </xf>
    <xf numFmtId="0" fontId="33" fillId="0" borderId="0" xfId="1" applyFont="1" applyAlignment="1">
      <alignment vertical="center"/>
    </xf>
    <xf numFmtId="0" fontId="33" fillId="0" borderId="0" xfId="1" applyFont="1" applyAlignment="1">
      <alignment horizontal="left" vertical="center"/>
    </xf>
    <xf numFmtId="0" fontId="39" fillId="0" borderId="72" xfId="1" applyFont="1" applyBorder="1" applyAlignment="1">
      <alignment horizontal="center" vertical="center"/>
    </xf>
    <xf numFmtId="0" fontId="39" fillId="2" borderId="61" xfId="1" applyFont="1" applyFill="1" applyBorder="1" applyAlignment="1">
      <alignment horizontal="center" vertical="center"/>
    </xf>
    <xf numFmtId="0" fontId="39" fillId="2" borderId="62" xfId="1" applyFont="1" applyFill="1" applyBorder="1" applyAlignment="1">
      <alignment horizontal="center" vertical="center"/>
    </xf>
    <xf numFmtId="0" fontId="39" fillId="2" borderId="65" xfId="1" applyFont="1" applyFill="1" applyBorder="1" applyAlignment="1">
      <alignment horizontal="center" vertical="center"/>
    </xf>
    <xf numFmtId="0" fontId="39" fillId="2" borderId="63" xfId="1" applyFont="1" applyFill="1" applyBorder="1" applyAlignment="1">
      <alignment horizontal="center" vertical="center"/>
    </xf>
    <xf numFmtId="0" fontId="33" fillId="0" borderId="53" xfId="1" applyFont="1" applyBorder="1" applyAlignment="1">
      <alignment horizontal="center" vertical="center"/>
    </xf>
    <xf numFmtId="0" fontId="47" fillId="0" borderId="6" xfId="1" applyFont="1" applyBorder="1" applyAlignment="1">
      <alignment horizontal="left" vertical="center"/>
    </xf>
    <xf numFmtId="0" fontId="47" fillId="0" borderId="53" xfId="1" applyFont="1" applyBorder="1" applyAlignment="1">
      <alignment horizontal="left" vertical="center"/>
    </xf>
    <xf numFmtId="0" fontId="36" fillId="2" borderId="46" xfId="1" applyFont="1" applyFill="1" applyBorder="1" applyAlignment="1">
      <alignment horizontal="center" vertical="center"/>
    </xf>
    <xf numFmtId="0" fontId="36" fillId="2" borderId="1" xfId="1" applyFont="1" applyFill="1" applyBorder="1" applyAlignment="1">
      <alignment horizontal="center" vertical="center"/>
    </xf>
    <xf numFmtId="0" fontId="36" fillId="2" borderId="47" xfId="1" applyFont="1" applyFill="1" applyBorder="1" applyAlignment="1">
      <alignment horizontal="center" vertical="center"/>
    </xf>
    <xf numFmtId="0" fontId="36" fillId="2" borderId="16" xfId="1" applyFont="1" applyFill="1" applyBorder="1" applyAlignment="1">
      <alignment horizontal="center" vertical="center"/>
    </xf>
    <xf numFmtId="0" fontId="36" fillId="2" borderId="36" xfId="1" applyFont="1" applyFill="1" applyBorder="1" applyAlignment="1">
      <alignment horizontal="center" vertical="center"/>
    </xf>
    <xf numFmtId="0" fontId="36" fillId="2" borderId="37" xfId="1" applyFont="1" applyFill="1" applyBorder="1" applyAlignment="1">
      <alignment horizontal="center" vertical="center"/>
    </xf>
    <xf numFmtId="0" fontId="36" fillId="2" borderId="60" xfId="1" applyFont="1" applyFill="1" applyBorder="1" applyAlignment="1">
      <alignment horizontal="center" vertical="center"/>
    </xf>
    <xf numFmtId="0" fontId="33" fillId="0" borderId="52" xfId="1" applyFont="1" applyBorder="1" applyAlignment="1">
      <alignment vertical="center"/>
    </xf>
    <xf numFmtId="0" fontId="33" fillId="0" borderId="57" xfId="1" applyFont="1" applyBorder="1" applyAlignment="1">
      <alignment horizontal="center" vertical="center"/>
    </xf>
    <xf numFmtId="0" fontId="48" fillId="0" borderId="29" xfId="1" applyFont="1" applyBorder="1" applyAlignment="1">
      <alignment horizontal="left" vertical="center"/>
    </xf>
    <xf numFmtId="0" fontId="48" fillId="0" borderId="57" xfId="1" applyFont="1" applyBorder="1" applyAlignment="1">
      <alignment horizontal="left" vertical="center"/>
    </xf>
    <xf numFmtId="3" fontId="33" fillId="0" borderId="42" xfId="1" applyNumberFormat="1" applyFont="1" applyBorder="1" applyAlignment="1">
      <alignment horizontal="center" vertical="center"/>
    </xf>
    <xf numFmtId="3" fontId="33" fillId="0" borderId="2" xfId="1" applyNumberFormat="1" applyFont="1" applyBorder="1" applyAlignment="1">
      <alignment horizontal="center" vertical="center"/>
    </xf>
    <xf numFmtId="0" fontId="33" fillId="0" borderId="43" xfId="1" applyFont="1" applyBorder="1" applyAlignment="1">
      <alignment vertical="center"/>
    </xf>
    <xf numFmtId="0" fontId="33" fillId="0" borderId="5" xfId="1" applyFont="1" applyBorder="1" applyAlignment="1">
      <alignment vertical="center"/>
    </xf>
    <xf numFmtId="3" fontId="33" fillId="0" borderId="73" xfId="1" applyNumberFormat="1" applyFont="1" applyBorder="1" applyAlignment="1">
      <alignment horizontal="center" vertical="center"/>
    </xf>
    <xf numFmtId="3" fontId="33" fillId="0" borderId="12" xfId="1" applyNumberFormat="1" applyFont="1" applyBorder="1" applyAlignment="1">
      <alignment horizontal="center" vertical="center"/>
    </xf>
    <xf numFmtId="0" fontId="33" fillId="0" borderId="74" xfId="1" applyFont="1" applyBorder="1" applyAlignment="1">
      <alignment vertical="center"/>
    </xf>
    <xf numFmtId="0" fontId="36" fillId="2" borderId="71" xfId="1" applyFont="1" applyFill="1" applyBorder="1" applyAlignment="1">
      <alignment horizontal="center" vertical="center"/>
    </xf>
    <xf numFmtId="0" fontId="36" fillId="2" borderId="29" xfId="1" applyFont="1" applyFill="1" applyBorder="1" applyAlignment="1">
      <alignment horizontal="center" vertical="center"/>
    </xf>
    <xf numFmtId="0" fontId="36" fillId="2" borderId="64" xfId="1" applyFont="1" applyFill="1" applyBorder="1" applyAlignment="1">
      <alignment horizontal="center" vertical="center"/>
    </xf>
    <xf numFmtId="3" fontId="33" fillId="0" borderId="71" xfId="1" applyNumberFormat="1" applyFont="1" applyBorder="1" applyAlignment="1">
      <alignment horizontal="center" vertical="center"/>
    </xf>
    <xf numFmtId="3" fontId="33" fillId="0" borderId="29" xfId="1" applyNumberFormat="1" applyFont="1" applyBorder="1" applyAlignment="1">
      <alignment horizontal="center" vertical="center"/>
    </xf>
    <xf numFmtId="0" fontId="33" fillId="0" borderId="64" xfId="1" applyFont="1" applyBorder="1" applyAlignment="1">
      <alignment vertical="center"/>
    </xf>
    <xf numFmtId="0" fontId="50" fillId="0" borderId="29" xfId="1" applyFont="1" applyBorder="1" applyAlignment="1">
      <alignment horizontal="left" vertical="center"/>
    </xf>
    <xf numFmtId="0" fontId="50" fillId="0" borderId="57" xfId="1" applyFont="1" applyBorder="1" applyAlignment="1">
      <alignment horizontal="left" vertical="center"/>
    </xf>
    <xf numFmtId="0" fontId="47" fillId="0" borderId="29" xfId="1" applyFont="1" applyBorder="1" applyAlignment="1">
      <alignment horizontal="left" vertical="center"/>
    </xf>
    <xf numFmtId="0" fontId="47" fillId="0" borderId="57" xfId="1" applyFont="1" applyBorder="1" applyAlignment="1">
      <alignment horizontal="left" vertical="center"/>
    </xf>
    <xf numFmtId="3" fontId="33" fillId="0" borderId="43" xfId="1" applyNumberFormat="1" applyFont="1" applyBorder="1" applyAlignment="1">
      <alignment horizontal="center" vertical="center"/>
    </xf>
    <xf numFmtId="3" fontId="33" fillId="0" borderId="5" xfId="1" applyNumberFormat="1" applyFont="1" applyBorder="1" applyAlignment="1">
      <alignment horizontal="center" vertical="center"/>
    </xf>
    <xf numFmtId="0" fontId="33" fillId="0" borderId="58" xfId="1" applyFont="1" applyBorder="1" applyAlignment="1">
      <alignment horizontal="center" vertical="center"/>
    </xf>
    <xf numFmtId="0" fontId="48" fillId="0" borderId="31" xfId="1" applyFont="1" applyBorder="1" applyAlignment="1">
      <alignment horizontal="left" vertical="center"/>
    </xf>
    <xf numFmtId="0" fontId="48" fillId="0" borderId="58" xfId="1" applyFont="1" applyBorder="1" applyAlignment="1">
      <alignment horizontal="left" vertical="center"/>
    </xf>
    <xf numFmtId="3" fontId="33" fillId="0" borderId="44" xfId="1" applyNumberFormat="1" applyFont="1" applyBorder="1" applyAlignment="1">
      <alignment horizontal="center" vertical="center"/>
    </xf>
    <xf numFmtId="3" fontId="33" fillId="0" borderId="22" xfId="1" applyNumberFormat="1" applyFont="1" applyBorder="1" applyAlignment="1">
      <alignment horizontal="center" vertical="center"/>
    </xf>
    <xf numFmtId="0" fontId="33" fillId="0" borderId="45" xfId="1" applyFont="1" applyBorder="1" applyAlignment="1">
      <alignment vertical="center"/>
    </xf>
    <xf numFmtId="0" fontId="33" fillId="0" borderId="59" xfId="1" applyFont="1" applyBorder="1" applyAlignment="1">
      <alignment vertical="center"/>
    </xf>
    <xf numFmtId="3" fontId="33" fillId="0" borderId="70" xfId="1" applyNumberFormat="1" applyFont="1" applyBorder="1" applyAlignment="1">
      <alignment horizontal="center" vertical="center"/>
    </xf>
    <xf numFmtId="3" fontId="33" fillId="0" borderId="31" xfId="1" applyNumberFormat="1" applyFont="1" applyBorder="1" applyAlignment="1">
      <alignment horizontal="center" vertical="center"/>
    </xf>
    <xf numFmtId="0" fontId="33" fillId="0" borderId="66" xfId="1" applyFont="1" applyBorder="1" applyAlignment="1">
      <alignment vertical="center"/>
    </xf>
    <xf numFmtId="0" fontId="33" fillId="0" borderId="28" xfId="1" applyFont="1" applyBorder="1" applyAlignment="1">
      <alignment vertical="center"/>
    </xf>
    <xf numFmtId="0" fontId="33" fillId="0" borderId="24" xfId="1" applyFont="1" applyBorder="1" applyAlignment="1">
      <alignment vertical="center"/>
    </xf>
    <xf numFmtId="0" fontId="33" fillId="0" borderId="26" xfId="1" applyFont="1" applyBorder="1" applyAlignment="1">
      <alignment vertical="center"/>
    </xf>
    <xf numFmtId="0" fontId="33" fillId="0" borderId="27" xfId="1" applyFont="1" applyBorder="1" applyAlignment="1">
      <alignment vertical="center"/>
    </xf>
    <xf numFmtId="0" fontId="33" fillId="0" borderId="9" xfId="1" applyFont="1" applyBorder="1" applyAlignment="1">
      <alignment vertical="center"/>
    </xf>
    <xf numFmtId="0" fontId="37" fillId="0" borderId="0" xfId="1" applyFont="1" applyAlignment="1">
      <alignment horizontal="left" vertical="center"/>
    </xf>
    <xf numFmtId="0" fontId="34" fillId="0" borderId="0" xfId="1" applyFont="1" applyAlignment="1">
      <alignment vertical="center"/>
    </xf>
    <xf numFmtId="0" fontId="51" fillId="0" borderId="0" xfId="1" applyFont="1" applyAlignment="1">
      <alignment horizontal="center" vertical="center"/>
    </xf>
    <xf numFmtId="15" fontId="36" fillId="0" borderId="0" xfId="0" applyNumberFormat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3" fillId="0" borderId="6" xfId="1" applyFont="1" applyBorder="1" applyAlignment="1">
      <alignment horizontal="center" vertical="center"/>
    </xf>
    <xf numFmtId="0" fontId="39" fillId="0" borderId="53" xfId="1" applyFont="1" applyBorder="1" applyAlignment="1">
      <alignment horizontal="center" vertical="center"/>
    </xf>
    <xf numFmtId="0" fontId="36" fillId="2" borderId="17" xfId="1" applyFont="1" applyFill="1" applyBorder="1" applyAlignment="1">
      <alignment horizontal="center" vertical="center"/>
    </xf>
    <xf numFmtId="0" fontId="33" fillId="0" borderId="6" xfId="1" applyFont="1" applyBorder="1" applyAlignment="1">
      <alignment vertical="center"/>
    </xf>
    <xf numFmtId="0" fontId="33" fillId="0" borderId="53" xfId="1" applyFont="1" applyBorder="1" applyAlignment="1">
      <alignment vertical="center"/>
    </xf>
    <xf numFmtId="0" fontId="33" fillId="0" borderId="29" xfId="1" applyFont="1" applyBorder="1" applyAlignment="1">
      <alignment horizontal="center" vertical="center"/>
    </xf>
    <xf numFmtId="0" fontId="48" fillId="0" borderId="67" xfId="1" applyFont="1" applyBorder="1" applyAlignment="1">
      <alignment horizontal="left" vertical="center"/>
    </xf>
    <xf numFmtId="3" fontId="33" fillId="0" borderId="19" xfId="1" applyNumberFormat="1" applyFont="1" applyBorder="1" applyAlignment="1">
      <alignment horizontal="center" vertical="center"/>
    </xf>
    <xf numFmtId="0" fontId="33" fillId="0" borderId="57" xfId="1" applyFont="1" applyBorder="1" applyAlignment="1">
      <alignment vertical="center"/>
    </xf>
    <xf numFmtId="0" fontId="46" fillId="0" borderId="57" xfId="1" applyFont="1" applyBorder="1" applyAlignment="1">
      <alignment horizontal="left" vertical="center"/>
    </xf>
    <xf numFmtId="0" fontId="33" fillId="0" borderId="31" xfId="1" applyFont="1" applyBorder="1" applyAlignment="1">
      <alignment horizontal="center" vertical="center"/>
    </xf>
    <xf numFmtId="3" fontId="33" fillId="0" borderId="32" xfId="1" applyNumberFormat="1" applyFont="1" applyBorder="1" applyAlignment="1">
      <alignment horizontal="center" vertical="center"/>
    </xf>
    <xf numFmtId="0" fontId="33" fillId="0" borderId="10" xfId="1" applyFont="1" applyBorder="1" applyAlignment="1">
      <alignment vertical="center"/>
    </xf>
    <xf numFmtId="0" fontId="33" fillId="0" borderId="58" xfId="1" applyFont="1" applyBorder="1" applyAlignment="1">
      <alignment vertical="center"/>
    </xf>
    <xf numFmtId="0" fontId="32" fillId="0" borderId="0" xfId="1" applyFont="1" applyAlignment="1">
      <alignment vertical="center"/>
    </xf>
    <xf numFmtId="0" fontId="52" fillId="0" borderId="0" xfId="1" applyFont="1" applyAlignment="1">
      <alignment vertical="center"/>
    </xf>
    <xf numFmtId="0" fontId="53" fillId="0" borderId="0" xfId="1" applyFont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3" fillId="0" borderId="0" xfId="1" applyFont="1"/>
    <xf numFmtId="0" fontId="36" fillId="0" borderId="0" xfId="1" applyFont="1"/>
    <xf numFmtId="0" fontId="34" fillId="0" borderId="2" xfId="1" applyFont="1" applyBorder="1" applyAlignment="1">
      <alignment horizontal="center" vertical="center" wrapText="1"/>
    </xf>
    <xf numFmtId="0" fontId="39" fillId="0" borderId="2" xfId="1" applyFont="1" applyBorder="1" applyAlignment="1">
      <alignment horizontal="center" vertical="center" wrapText="1"/>
    </xf>
    <xf numFmtId="0" fontId="33" fillId="0" borderId="2" xfId="1" applyFont="1" applyBorder="1"/>
    <xf numFmtId="0" fontId="33" fillId="0" borderId="0" xfId="1" applyFont="1" applyAlignment="1">
      <alignment horizontal="left" indent="7"/>
    </xf>
    <xf numFmtId="0" fontId="33" fillId="0" borderId="0" xfId="1" applyFont="1" applyAlignment="1">
      <alignment horizontal="left" indent="20"/>
    </xf>
    <xf numFmtId="0" fontId="33" fillId="2" borderId="0" xfId="0" applyFont="1" applyFill="1"/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top"/>
    </xf>
    <xf numFmtId="9" fontId="39" fillId="0" borderId="0" xfId="0" applyNumberFormat="1" applyFont="1" applyAlignment="1">
      <alignment vertical="center"/>
    </xf>
    <xf numFmtId="165" fontId="39" fillId="0" borderId="0" xfId="0" applyNumberFormat="1" applyFont="1" applyAlignment="1">
      <alignment vertical="center"/>
    </xf>
    <xf numFmtId="0" fontId="39" fillId="0" borderId="0" xfId="0" applyFont="1" applyAlignment="1">
      <alignment vertical="top"/>
    </xf>
    <xf numFmtId="165" fontId="39" fillId="0" borderId="0" xfId="0" applyNumberFormat="1" applyFont="1" applyAlignment="1">
      <alignment vertical="top"/>
    </xf>
    <xf numFmtId="165" fontId="39" fillId="0" borderId="0" xfId="0" applyNumberFormat="1" applyFont="1"/>
    <xf numFmtId="9" fontId="36" fillId="0" borderId="0" xfId="0" applyNumberFormat="1" applyFont="1"/>
    <xf numFmtId="1" fontId="33" fillId="0" borderId="0" xfId="0" applyNumberFormat="1" applyFont="1"/>
    <xf numFmtId="10" fontId="39" fillId="0" borderId="0" xfId="0" applyNumberFormat="1" applyFont="1" applyAlignment="1">
      <alignment vertical="center"/>
    </xf>
    <xf numFmtId="0" fontId="39" fillId="0" borderId="0" xfId="0" applyFont="1" applyAlignment="1">
      <alignment horizontal="center"/>
    </xf>
    <xf numFmtId="165" fontId="39" fillId="0" borderId="0" xfId="0" applyNumberFormat="1" applyFont="1" applyAlignment="1">
      <alignment horizontal="center" vertical="top"/>
    </xf>
    <xf numFmtId="165" fontId="39" fillId="0" borderId="0" xfId="0" applyNumberFormat="1" applyFont="1" applyAlignment="1">
      <alignment horizontal="center"/>
    </xf>
    <xf numFmtId="0" fontId="39" fillId="0" borderId="0" xfId="0" applyFont="1" applyAlignment="1">
      <alignment horizontal="left" vertical="top"/>
    </xf>
    <xf numFmtId="9" fontId="39" fillId="0" borderId="0" xfId="0" applyNumberFormat="1" applyFont="1" applyAlignment="1">
      <alignment horizontal="center"/>
    </xf>
    <xf numFmtId="9" fontId="39" fillId="0" borderId="0" xfId="0" applyNumberFormat="1" applyFont="1" applyAlignment="1">
      <alignment horizontal="center" vertical="top"/>
    </xf>
    <xf numFmtId="9" fontId="54" fillId="0" borderId="0" xfId="0" applyNumberFormat="1" applyFont="1" applyAlignment="1">
      <alignment horizontal="center" vertical="top"/>
    </xf>
    <xf numFmtId="0" fontId="36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52" fillId="0" borderId="0" xfId="0" applyFont="1" applyAlignment="1">
      <alignment vertical="center"/>
    </xf>
    <xf numFmtId="0" fontId="52" fillId="0" borderId="0" xfId="0" applyFont="1"/>
    <xf numFmtId="0" fontId="56" fillId="0" borderId="0" xfId="0" applyFont="1"/>
    <xf numFmtId="0" fontId="34" fillId="0" borderId="0" xfId="0" applyFont="1"/>
    <xf numFmtId="0" fontId="57" fillId="0" borderId="0" xfId="0" applyFont="1"/>
    <xf numFmtId="0" fontId="40" fillId="0" borderId="0" xfId="0" applyFont="1"/>
    <xf numFmtId="0" fontId="54" fillId="3" borderId="2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4" fillId="0" borderId="18" xfId="0" applyFont="1" applyBorder="1" applyAlignment="1">
      <alignment horizontal="left" vertical="center"/>
    </xf>
    <xf numFmtId="0" fontId="33" fillId="0" borderId="21" xfId="0" applyFont="1" applyBorder="1"/>
    <xf numFmtId="0" fontId="34" fillId="0" borderId="21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3" xfId="0" applyFont="1" applyBorder="1"/>
    <xf numFmtId="0" fontId="34" fillId="0" borderId="29" xfId="0" applyFont="1" applyBorder="1" applyAlignment="1">
      <alignment vertical="center" wrapText="1"/>
    </xf>
    <xf numFmtId="0" fontId="33" fillId="0" borderId="21" xfId="0" applyFont="1" applyBorder="1" applyAlignment="1">
      <alignment horizontal="center" vertical="center"/>
    </xf>
    <xf numFmtId="0" fontId="35" fillId="0" borderId="0" xfId="0" applyFont="1" applyAlignment="1">
      <alignment horizontal="left" indent="3"/>
    </xf>
    <xf numFmtId="0" fontId="33" fillId="0" borderId="1" xfId="0" applyFont="1" applyBorder="1" applyAlignment="1">
      <alignment horizontal="center" vertical="top"/>
    </xf>
    <xf numFmtId="0" fontId="33" fillId="0" borderId="14" xfId="0" applyFont="1" applyBorder="1" applyAlignment="1">
      <alignment vertical="center" wrapText="1"/>
    </xf>
    <xf numFmtId="0" fontId="33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3" fillId="0" borderId="2" xfId="0" applyFont="1" applyBorder="1" applyAlignment="1">
      <alignment vertical="center"/>
    </xf>
    <xf numFmtId="0" fontId="34" fillId="0" borderId="2" xfId="0" applyFont="1" applyBorder="1" applyAlignment="1">
      <alignment vertical="center"/>
    </xf>
    <xf numFmtId="0" fontId="34" fillId="0" borderId="2" xfId="0" applyFont="1" applyBorder="1" applyAlignment="1">
      <alignment horizontal="center" vertical="center"/>
    </xf>
    <xf numFmtId="0" fontId="45" fillId="0" borderId="0" xfId="0" applyFont="1"/>
    <xf numFmtId="15" fontId="36" fillId="0" borderId="2" xfId="0" applyNumberFormat="1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37" fillId="0" borderId="8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/>
    </xf>
    <xf numFmtId="0" fontId="37" fillId="0" borderId="0" xfId="0" applyFont="1"/>
    <xf numFmtId="16" fontId="33" fillId="0" borderId="1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wrapText="1"/>
    </xf>
    <xf numFmtId="0" fontId="35" fillId="0" borderId="2" xfId="0" applyFont="1" applyBorder="1" applyAlignment="1">
      <alignment horizontal="center" wrapText="1"/>
    </xf>
    <xf numFmtId="0" fontId="35" fillId="0" borderId="2" xfId="0" applyFont="1" applyBorder="1"/>
    <xf numFmtId="0" fontId="35" fillId="0" borderId="5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7" fillId="0" borderId="2" xfId="0" applyFont="1" applyBorder="1"/>
    <xf numFmtId="0" fontId="35" fillId="0" borderId="42" xfId="0" applyFont="1" applyBorder="1" applyAlignment="1">
      <alignment horizontal="center"/>
    </xf>
    <xf numFmtId="0" fontId="35" fillId="0" borderId="64" xfId="0" applyFont="1" applyBorder="1" applyAlignment="1">
      <alignment horizontal="center"/>
    </xf>
    <xf numFmtId="0" fontId="58" fillId="0" borderId="0" xfId="0" applyFont="1"/>
    <xf numFmtId="0" fontId="35" fillId="0" borderId="2" xfId="0" applyFont="1" applyBorder="1" applyAlignment="1">
      <alignment horizontal="center" vertical="center"/>
    </xf>
    <xf numFmtId="0" fontId="39" fillId="0" borderId="0" xfId="0" applyFont="1"/>
    <xf numFmtId="0" fontId="39" fillId="0" borderId="21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57" fillId="0" borderId="1" xfId="0" applyFont="1" applyBorder="1" applyAlignment="1">
      <alignment horizontal="center" vertical="center"/>
    </xf>
    <xf numFmtId="0" fontId="60" fillId="0" borderId="7" xfId="0" applyFont="1" applyBorder="1" applyAlignment="1">
      <alignment horizontal="left" vertical="center" indent="1"/>
    </xf>
    <xf numFmtId="1" fontId="57" fillId="0" borderId="1" xfId="0" applyNumberFormat="1" applyFont="1" applyBorder="1"/>
    <xf numFmtId="0" fontId="57" fillId="0" borderId="1" xfId="0" applyFont="1" applyBorder="1"/>
    <xf numFmtId="1" fontId="57" fillId="0" borderId="1" xfId="0" applyNumberFormat="1" applyFont="1" applyBorder="1" applyAlignment="1">
      <alignment horizontal="center"/>
    </xf>
    <xf numFmtId="2" fontId="57" fillId="0" borderId="1" xfId="0" applyNumberFormat="1" applyFont="1" applyBorder="1"/>
    <xf numFmtId="10" fontId="57" fillId="0" borderId="1" xfId="0" applyNumberFormat="1" applyFont="1" applyBorder="1"/>
    <xf numFmtId="0" fontId="57" fillId="0" borderId="2" xfId="0" applyFont="1" applyBorder="1" applyAlignment="1">
      <alignment horizontal="center" vertical="center"/>
    </xf>
    <xf numFmtId="0" fontId="60" fillId="0" borderId="2" xfId="2" applyFont="1" applyBorder="1" applyAlignment="1">
      <alignment horizontal="left" vertical="center" indent="1"/>
    </xf>
    <xf numFmtId="1" fontId="57" fillId="0" borderId="2" xfId="0" applyNumberFormat="1" applyFont="1" applyBorder="1"/>
    <xf numFmtId="0" fontId="57" fillId="0" borderId="2" xfId="0" applyFont="1" applyBorder="1"/>
    <xf numFmtId="2" fontId="57" fillId="0" borderId="2" xfId="0" applyNumberFormat="1" applyFont="1" applyBorder="1"/>
    <xf numFmtId="0" fontId="36" fillId="0" borderId="0" xfId="0" applyFont="1" applyAlignment="1">
      <alignment vertical="top"/>
    </xf>
    <xf numFmtId="0" fontId="60" fillId="0" borderId="2" xfId="0" applyFont="1" applyBorder="1" applyAlignment="1">
      <alignment horizontal="left" vertical="center" indent="1"/>
    </xf>
    <xf numFmtId="0" fontId="57" fillId="0" borderId="0" xfId="0" applyFont="1" applyAlignment="1">
      <alignment vertical="top"/>
    </xf>
    <xf numFmtId="164" fontId="36" fillId="0" borderId="0" xfId="0" applyNumberFormat="1" applyFont="1"/>
    <xf numFmtId="0" fontId="36" fillId="0" borderId="0" xfId="0" applyFont="1" applyAlignment="1">
      <alignment horizontal="left" indent="2"/>
    </xf>
    <xf numFmtId="0" fontId="56" fillId="0" borderId="0" xfId="0" applyFont="1" applyAlignment="1">
      <alignment vertical="center"/>
    </xf>
    <xf numFmtId="0" fontId="36" fillId="0" borderId="0" xfId="0" applyFont="1" applyAlignment="1">
      <alignment horizontal="left"/>
    </xf>
    <xf numFmtId="0" fontId="63" fillId="2" borderId="2" xfId="0" applyFont="1" applyFill="1" applyBorder="1" applyAlignment="1">
      <alignment horizontal="left" vertical="center" indent="1"/>
    </xf>
    <xf numFmtId="0" fontId="34" fillId="0" borderId="8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4" fillId="0" borderId="0" xfId="0" applyFont="1"/>
    <xf numFmtId="0" fontId="33" fillId="0" borderId="1" xfId="0" applyFont="1" applyBorder="1" applyAlignment="1">
      <alignment horizontal="center"/>
    </xf>
    <xf numFmtId="0" fontId="35" fillId="0" borderId="0" xfId="0" applyFont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1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65" fillId="0" borderId="8" xfId="0" applyFont="1" applyBorder="1" applyAlignment="1">
      <alignment horizontal="center" vertical="center"/>
    </xf>
    <xf numFmtId="0" fontId="66" fillId="0" borderId="0" xfId="0" applyFont="1"/>
    <xf numFmtId="0" fontId="37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3" fillId="0" borderId="0" xfId="0" applyFont="1"/>
    <xf numFmtId="0" fontId="35" fillId="0" borderId="1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66" fillId="0" borderId="2" xfId="0" applyFont="1" applyBorder="1" applyAlignment="1">
      <alignment horizontal="left" vertical="center" indent="1"/>
    </xf>
    <xf numFmtId="0" fontId="48" fillId="0" borderId="2" xfId="0" applyFont="1" applyBorder="1" applyAlignment="1">
      <alignment horizontal="left" vertical="center" indent="1"/>
    </xf>
    <xf numFmtId="0" fontId="66" fillId="0" borderId="2" xfId="0" applyFont="1" applyBorder="1" applyAlignment="1">
      <alignment horizontal="center"/>
    </xf>
    <xf numFmtId="0" fontId="33" fillId="2" borderId="0" xfId="0" applyFont="1" applyFill="1" applyAlignment="1">
      <alignment vertical="center"/>
    </xf>
    <xf numFmtId="0" fontId="40" fillId="0" borderId="0" xfId="0" applyFont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3" borderId="8" xfId="0" applyFont="1" applyFill="1" applyBorder="1" applyAlignment="1">
      <alignment horizontal="center" vertical="center" wrapText="1"/>
    </xf>
    <xf numFmtId="0" fontId="34" fillId="4" borderId="8" xfId="0" applyFont="1" applyFill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3" fillId="5" borderId="0" xfId="0" applyFont="1" applyFill="1" applyAlignment="1">
      <alignment vertical="center"/>
    </xf>
    <xf numFmtId="0" fontId="32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55" fillId="0" borderId="0" xfId="0" applyFont="1" applyAlignment="1">
      <alignment vertical="center"/>
    </xf>
    <xf numFmtId="15" fontId="67" fillId="0" borderId="0" xfId="0" applyNumberFormat="1" applyFont="1" applyAlignment="1">
      <alignment horizontal="center" vertical="center"/>
    </xf>
    <xf numFmtId="15" fontId="51" fillId="0" borderId="0" xfId="0" applyNumberFormat="1" applyFont="1" applyAlignment="1">
      <alignment horizontal="center" vertical="center"/>
    </xf>
    <xf numFmtId="0" fontId="37" fillId="0" borderId="24" xfId="0" applyFont="1" applyBorder="1"/>
    <xf numFmtId="0" fontId="37" fillId="0" borderId="25" xfId="0" applyFont="1" applyBorder="1"/>
    <xf numFmtId="0" fontId="37" fillId="0" borderId="26" xfId="0" applyFont="1" applyBorder="1"/>
    <xf numFmtId="0" fontId="37" fillId="0" borderId="27" xfId="0" applyFont="1" applyBorder="1"/>
    <xf numFmtId="0" fontId="40" fillId="0" borderId="26" xfId="0" applyFont="1" applyBorder="1"/>
    <xf numFmtId="0" fontId="40" fillId="0" borderId="27" xfId="0" applyFont="1" applyBorder="1"/>
    <xf numFmtId="0" fontId="37" fillId="0" borderId="9" xfId="0" applyFont="1" applyBorder="1"/>
    <xf numFmtId="0" fontId="37" fillId="0" borderId="10" xfId="0" applyFont="1" applyBorder="1"/>
    <xf numFmtId="0" fontId="37" fillId="0" borderId="28" xfId="0" applyFont="1" applyBorder="1"/>
    <xf numFmtId="0" fontId="38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4" fillId="3" borderId="37" xfId="0" applyFont="1" applyFill="1" applyBorder="1" applyAlignment="1">
      <alignment vertical="center"/>
    </xf>
    <xf numFmtId="0" fontId="48" fillId="0" borderId="1" xfId="0" applyFont="1" applyBorder="1" applyAlignment="1">
      <alignment horizontal="left" vertical="center" indent="1"/>
    </xf>
    <xf numFmtId="0" fontId="37" fillId="0" borderId="75" xfId="0" applyFont="1" applyBorder="1" applyAlignment="1">
      <alignment horizontal="center" vertical="center"/>
    </xf>
    <xf numFmtId="0" fontId="37" fillId="0" borderId="75" xfId="0" applyFont="1" applyBorder="1" applyAlignment="1">
      <alignment horizontal="center" vertical="center" wrapText="1"/>
    </xf>
    <xf numFmtId="0" fontId="72" fillId="0" borderId="0" xfId="0" applyFont="1"/>
    <xf numFmtId="0" fontId="73" fillId="0" borderId="0" xfId="0" applyFont="1" applyAlignment="1">
      <alignment vertical="center"/>
    </xf>
    <xf numFmtId="0" fontId="44" fillId="0" borderId="0" xfId="0" applyFont="1"/>
    <xf numFmtId="0" fontId="66" fillId="0" borderId="0" xfId="0" applyFont="1" applyAlignment="1">
      <alignment vertical="center" wrapText="1"/>
    </xf>
    <xf numFmtId="0" fontId="76" fillId="0" borderId="0" xfId="0" applyFont="1"/>
    <xf numFmtId="0" fontId="36" fillId="0" borderId="2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15" fontId="66" fillId="0" borderId="2" xfId="0" applyNumberFormat="1" applyFont="1" applyBorder="1" applyAlignment="1">
      <alignment horizontal="center" vertical="center"/>
    </xf>
    <xf numFmtId="15" fontId="19" fillId="0" borderId="13" xfId="0" applyNumberFormat="1" applyFont="1" applyBorder="1" applyAlignment="1">
      <alignment vertical="center"/>
    </xf>
    <xf numFmtId="15" fontId="19" fillId="0" borderId="0" xfId="0" applyNumberFormat="1" applyFont="1" applyAlignment="1">
      <alignment vertical="center"/>
    </xf>
    <xf numFmtId="0" fontId="51" fillId="0" borderId="0" xfId="1" applyFont="1" applyAlignment="1">
      <alignment vertical="center"/>
    </xf>
    <xf numFmtId="15" fontId="36" fillId="0" borderId="0" xfId="0" applyNumberFormat="1" applyFont="1" applyAlignment="1">
      <alignment vertical="center"/>
    </xf>
    <xf numFmtId="0" fontId="51" fillId="0" borderId="2" xfId="1" applyFont="1" applyBorder="1" applyAlignment="1">
      <alignment horizontal="center" vertical="center"/>
    </xf>
    <xf numFmtId="15" fontId="66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71" fillId="0" borderId="0" xfId="0" applyFont="1" applyAlignment="1">
      <alignment horizontal="center" vertical="center"/>
    </xf>
    <xf numFmtId="0" fontId="78" fillId="0" borderId="93" xfId="0" applyFont="1" applyBorder="1" applyAlignment="1">
      <alignment horizontal="center" vertical="center"/>
    </xf>
    <xf numFmtId="0" fontId="78" fillId="0" borderId="9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25" fillId="0" borderId="0" xfId="0" applyFont="1" applyAlignment="1">
      <alignment horizontal="justify" vertical="center"/>
    </xf>
    <xf numFmtId="0" fontId="25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5" fillId="0" borderId="2" xfId="0" applyFont="1" applyBorder="1" applyAlignment="1">
      <alignment horizontal="justify" vertical="center"/>
    </xf>
    <xf numFmtId="0" fontId="25" fillId="0" borderId="2" xfId="0" applyFont="1" applyBorder="1"/>
    <xf numFmtId="0" fontId="79" fillId="0" borderId="98" xfId="0" applyFont="1" applyBorder="1" applyAlignment="1">
      <alignment horizontal="center" vertical="center" wrapText="1"/>
    </xf>
    <xf numFmtId="0" fontId="79" fillId="0" borderId="99" xfId="0" applyFont="1" applyBorder="1" applyAlignment="1">
      <alignment horizontal="center" vertical="center" wrapText="1"/>
    </xf>
    <xf numFmtId="0" fontId="0" fillId="0" borderId="100" xfId="0" applyBorder="1" applyAlignment="1">
      <alignment vertical="top" wrapText="1"/>
    </xf>
    <xf numFmtId="0" fontId="79" fillId="0" borderId="100" xfId="0" applyFont="1" applyBorder="1" applyAlignment="1">
      <alignment horizontal="center" vertical="center" wrapText="1"/>
    </xf>
    <xf numFmtId="20" fontId="79" fillId="0" borderId="100" xfId="0" applyNumberFormat="1" applyFont="1" applyBorder="1" applyAlignment="1">
      <alignment horizontal="center" vertical="center" wrapText="1"/>
    </xf>
    <xf numFmtId="0" fontId="78" fillId="0" borderId="0" xfId="0" applyFont="1" applyAlignment="1">
      <alignment horizontal="center"/>
    </xf>
    <xf numFmtId="20" fontId="79" fillId="0" borderId="99" xfId="0" applyNumberFormat="1" applyFont="1" applyBorder="1" applyAlignment="1">
      <alignment horizontal="center" vertical="center" wrapText="1"/>
    </xf>
    <xf numFmtId="0" fontId="82" fillId="0" borderId="98" xfId="0" applyFont="1" applyBorder="1" applyAlignment="1">
      <alignment horizontal="center" vertical="center" wrapText="1"/>
    </xf>
    <xf numFmtId="0" fontId="82" fillId="0" borderId="99" xfId="0" applyFont="1" applyBorder="1" applyAlignment="1">
      <alignment horizontal="center" vertical="center" wrapText="1"/>
    </xf>
    <xf numFmtId="0" fontId="79" fillId="0" borderId="100" xfId="0" applyFont="1" applyBorder="1" applyAlignment="1">
      <alignment vertical="center" wrapText="1"/>
    </xf>
    <xf numFmtId="0" fontId="78" fillId="0" borderId="0" xfId="0" applyFont="1" applyAlignment="1">
      <alignment horizontal="left"/>
    </xf>
    <xf numFmtId="15" fontId="56" fillId="0" borderId="0" xfId="0" applyNumberFormat="1" applyFont="1" applyAlignment="1">
      <alignment vertical="center"/>
    </xf>
    <xf numFmtId="0" fontId="78" fillId="0" borderId="0" xfId="0" applyFont="1"/>
    <xf numFmtId="0" fontId="25" fillId="0" borderId="2" xfId="0" applyFont="1" applyBorder="1" applyAlignment="1">
      <alignment horizontal="justify" vertical="center" wrapText="1"/>
    </xf>
    <xf numFmtId="0" fontId="78" fillId="0" borderId="2" xfId="0" applyFont="1" applyBorder="1" applyAlignment="1">
      <alignment horizontal="justify" vertical="center" wrapText="1"/>
    </xf>
    <xf numFmtId="0" fontId="78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justify" vertical="center" wrapText="1"/>
    </xf>
    <xf numFmtId="0" fontId="25" fillId="0" borderId="105" xfId="0" applyFont="1" applyBorder="1" applyAlignment="1">
      <alignment horizontal="center" vertical="center" wrapText="1"/>
    </xf>
    <xf numFmtId="0" fontId="25" fillId="0" borderId="106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 indent="2"/>
    </xf>
    <xf numFmtId="0" fontId="78" fillId="0" borderId="105" xfId="0" applyFont="1" applyBorder="1" applyAlignment="1">
      <alignment horizontal="center" vertical="center" wrapText="1"/>
    </xf>
    <xf numFmtId="0" fontId="78" fillId="0" borderId="106" xfId="0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wrapText="1"/>
    </xf>
    <xf numFmtId="0" fontId="37" fillId="0" borderId="75" xfId="0" applyFont="1" applyBorder="1" applyAlignment="1">
      <alignment horizontal="center"/>
    </xf>
    <xf numFmtId="0" fontId="0" fillId="0" borderId="2" xfId="0" applyBorder="1" applyAlignment="1">
      <alignment vertical="center"/>
    </xf>
    <xf numFmtId="0" fontId="78" fillId="3" borderId="2" xfId="0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85" fillId="0" borderId="1" xfId="0" applyFont="1" applyBorder="1" applyAlignment="1">
      <alignment horizontal="center" vertical="center"/>
    </xf>
    <xf numFmtId="0" fontId="85" fillId="0" borderId="2" xfId="0" applyFont="1" applyBorder="1" applyAlignment="1">
      <alignment horizontal="center" vertical="center"/>
    </xf>
    <xf numFmtId="0" fontId="85" fillId="2" borderId="2" xfId="0" applyFont="1" applyFill="1" applyBorder="1" applyAlignment="1">
      <alignment horizontal="center" vertical="center"/>
    </xf>
    <xf numFmtId="0" fontId="85" fillId="0" borderId="0" xfId="0" applyFont="1" applyAlignment="1">
      <alignment vertical="center"/>
    </xf>
    <xf numFmtId="0" fontId="37" fillId="0" borderId="48" xfId="0" applyFont="1" applyBorder="1" applyAlignment="1">
      <alignment horizontal="center" wrapText="1"/>
    </xf>
    <xf numFmtId="0" fontId="35" fillId="0" borderId="42" xfId="0" applyFont="1" applyBorder="1" applyAlignment="1">
      <alignment horizontal="center" wrapText="1"/>
    </xf>
    <xf numFmtId="0" fontId="35" fillId="0" borderId="22" xfId="0" applyFont="1" applyBorder="1"/>
    <xf numFmtId="0" fontId="35" fillId="0" borderId="44" xfId="0" applyFont="1" applyBorder="1" applyAlignment="1">
      <alignment horizontal="center"/>
    </xf>
    <xf numFmtId="0" fontId="33" fillId="0" borderId="1" xfId="0" applyFont="1" applyBorder="1" applyAlignment="1">
      <alignment horizontal="left" vertical="center" indent="1"/>
    </xf>
    <xf numFmtId="0" fontId="33" fillId="0" borderId="2" xfId="0" applyFont="1" applyBorder="1" applyAlignment="1">
      <alignment horizontal="left" vertical="center" indent="1"/>
    </xf>
    <xf numFmtId="0" fontId="38" fillId="0" borderId="0" xfId="0" applyFont="1"/>
    <xf numFmtId="0" fontId="87" fillId="0" borderId="26" xfId="0" applyFont="1" applyBorder="1" applyAlignment="1">
      <alignment vertical="center"/>
    </xf>
    <xf numFmtId="0" fontId="87" fillId="0" borderId="0" xfId="0" applyFont="1" applyAlignment="1">
      <alignment vertical="center"/>
    </xf>
    <xf numFmtId="0" fontId="87" fillId="0" borderId="15" xfId="0" applyFont="1" applyBorder="1" applyAlignment="1">
      <alignment vertical="center"/>
    </xf>
    <xf numFmtId="0" fontId="37" fillId="0" borderId="19" xfId="0" applyFont="1" applyBorder="1" applyAlignment="1">
      <alignment horizontal="center"/>
    </xf>
    <xf numFmtId="0" fontId="37" fillId="0" borderId="2" xfId="0" applyFont="1" applyBorder="1" applyAlignment="1">
      <alignment horizontal="center" wrapText="1"/>
    </xf>
    <xf numFmtId="0" fontId="37" fillId="0" borderId="2" xfId="0" applyFont="1" applyBorder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28" fillId="0" borderId="2" xfId="0" applyFont="1" applyBorder="1" applyAlignment="1">
      <alignment vertical="center" wrapText="1"/>
    </xf>
    <xf numFmtId="0" fontId="28" fillId="0" borderId="2" xfId="0" applyFont="1" applyBorder="1" applyAlignment="1">
      <alignment horizontal="left" vertical="center" wrapText="1" indent="15"/>
    </xf>
    <xf numFmtId="0" fontId="28" fillId="0" borderId="2" xfId="0" applyFont="1" applyBorder="1" applyAlignment="1">
      <alignment horizontal="left" vertical="center" wrapText="1" indent="2"/>
    </xf>
    <xf numFmtId="0" fontId="88" fillId="0" borderId="2" xfId="0" applyFont="1" applyBorder="1" applyAlignment="1">
      <alignment horizontal="center" vertical="center" wrapText="1"/>
    </xf>
    <xf numFmtId="0" fontId="8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justify" vertical="center" wrapText="1"/>
    </xf>
    <xf numFmtId="0" fontId="28" fillId="0" borderId="2" xfId="0" applyFont="1" applyBorder="1" applyAlignment="1">
      <alignment horizontal="center" vertical="center" wrapText="1"/>
    </xf>
    <xf numFmtId="0" fontId="88" fillId="0" borderId="2" xfId="0" applyFont="1" applyBorder="1" applyAlignment="1">
      <alignment horizontal="justify" vertical="center" wrapText="1"/>
    </xf>
    <xf numFmtId="0" fontId="89" fillId="0" borderId="2" xfId="0" applyFont="1" applyBorder="1" applyAlignment="1">
      <alignment horizontal="justify" vertical="center" wrapText="1"/>
    </xf>
    <xf numFmtId="0" fontId="52" fillId="0" borderId="1" xfId="0" applyFont="1" applyBorder="1" applyAlignment="1">
      <alignment horizontal="center" vertical="center"/>
    </xf>
    <xf numFmtId="0" fontId="52" fillId="2" borderId="2" xfId="0" applyFont="1" applyFill="1" applyBorder="1" applyAlignment="1">
      <alignment horizontal="center" vertical="center"/>
    </xf>
    <xf numFmtId="0" fontId="33" fillId="0" borderId="2" xfId="1" applyFont="1" applyBorder="1" applyAlignment="1">
      <alignment horizontal="left" indent="7"/>
    </xf>
    <xf numFmtId="0" fontId="18" fillId="0" borderId="2" xfId="1" applyFont="1" applyBorder="1"/>
    <xf numFmtId="0" fontId="33" fillId="0" borderId="2" xfId="0" applyFont="1" applyBorder="1" applyAlignment="1">
      <alignment horizontal="center" vertical="center" wrapText="1"/>
    </xf>
    <xf numFmtId="0" fontId="33" fillId="7" borderId="21" xfId="0" applyFont="1" applyFill="1" applyBorder="1" applyAlignment="1">
      <alignment horizontal="center" vertical="center"/>
    </xf>
    <xf numFmtId="0" fontId="33" fillId="5" borderId="21" xfId="0" applyFont="1" applyFill="1" applyBorder="1" applyAlignment="1">
      <alignment horizontal="center" vertical="center"/>
    </xf>
    <xf numFmtId="0" fontId="33" fillId="6" borderId="21" xfId="0" applyFont="1" applyFill="1" applyBorder="1" applyAlignment="1">
      <alignment horizontal="center" vertical="center"/>
    </xf>
    <xf numFmtId="0" fontId="33" fillId="9" borderId="21" xfId="0" applyFont="1" applyFill="1" applyBorder="1" applyAlignment="1">
      <alignment horizontal="center" vertical="center"/>
    </xf>
    <xf numFmtId="0" fontId="33" fillId="8" borderId="21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28" fillId="0" borderId="21" xfId="0" applyFont="1" applyBorder="1" applyAlignment="1">
      <alignment vertical="top" wrapText="1"/>
    </xf>
    <xf numFmtId="0" fontId="28" fillId="0" borderId="2" xfId="0" applyFont="1" applyBorder="1" applyAlignment="1">
      <alignment vertical="top" wrapText="1"/>
    </xf>
    <xf numFmtId="0" fontId="66" fillId="0" borderId="2" xfId="0" quotePrefix="1" applyFont="1" applyBorder="1" applyAlignment="1">
      <alignment horizontal="left" vertical="center" indent="1"/>
    </xf>
    <xf numFmtId="12" fontId="35" fillId="0" borderId="2" xfId="0" applyNumberFormat="1" applyFont="1" applyBorder="1" applyAlignment="1">
      <alignment wrapText="1"/>
    </xf>
    <xf numFmtId="12" fontId="37" fillId="0" borderId="2" xfId="0" applyNumberFormat="1" applyFont="1" applyBorder="1" applyAlignment="1">
      <alignment vertical="center" wrapText="1"/>
    </xf>
    <xf numFmtId="0" fontId="66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35" fillId="0" borderId="0" xfId="0" applyFont="1" applyAlignment="1">
      <alignment horizontal="center"/>
    </xf>
    <xf numFmtId="0" fontId="13" fillId="0" borderId="0" xfId="0" applyFont="1" applyAlignment="1">
      <alignment vertical="justify" wrapText="1"/>
    </xf>
    <xf numFmtId="0" fontId="13" fillId="0" borderId="0" xfId="0" applyFont="1" applyAlignment="1">
      <alignment horizontal="center" vertical="justify"/>
    </xf>
    <xf numFmtId="0" fontId="13" fillId="0" borderId="0" xfId="0" applyFont="1" applyAlignment="1">
      <alignment vertical="justify"/>
    </xf>
    <xf numFmtId="0" fontId="12" fillId="0" borderId="0" xfId="0" applyFont="1" applyAlignment="1">
      <alignment vertical="justify"/>
    </xf>
    <xf numFmtId="0" fontId="12" fillId="0" borderId="14" xfId="0" applyFont="1" applyBorder="1" applyAlignment="1">
      <alignment horizontal="right" vertical="justify"/>
    </xf>
    <xf numFmtId="0" fontId="22" fillId="0" borderId="18" xfId="0" applyFont="1" applyBorder="1" applyAlignment="1">
      <alignment horizontal="left" vertical="justify"/>
    </xf>
    <xf numFmtId="0" fontId="22" fillId="0" borderId="0" xfId="0" applyFont="1" applyAlignment="1">
      <alignment horizontal="left" vertical="justify"/>
    </xf>
    <xf numFmtId="0" fontId="12" fillId="0" borderId="13" xfId="0" applyFont="1" applyBorder="1" applyAlignment="1">
      <alignment horizontal="right" vertical="justify"/>
    </xf>
    <xf numFmtId="0" fontId="22" fillId="0" borderId="15" xfId="0" applyFont="1" applyBorder="1" applyAlignment="1">
      <alignment horizontal="left" vertical="justify"/>
    </xf>
    <xf numFmtId="0" fontId="30" fillId="0" borderId="15" xfId="0" applyFont="1" applyBorder="1" applyAlignment="1">
      <alignment horizontal="left" vertical="justify"/>
    </xf>
    <xf numFmtId="0" fontId="13" fillId="0" borderId="16" xfId="0" applyFont="1" applyBorder="1" applyAlignment="1">
      <alignment vertical="justify"/>
    </xf>
    <xf numFmtId="0" fontId="13" fillId="0" borderId="17" xfId="0" applyFont="1" applyBorder="1" applyAlignment="1">
      <alignment vertical="justify"/>
    </xf>
    <xf numFmtId="0" fontId="12" fillId="0" borderId="16" xfId="0" applyFont="1" applyBorder="1" applyAlignment="1">
      <alignment horizontal="right" vertical="justify"/>
    </xf>
    <xf numFmtId="0" fontId="22" fillId="0" borderId="17" xfId="0" applyFont="1" applyBorder="1" applyAlignment="1">
      <alignment horizontal="left" vertical="justify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93" fillId="0" borderId="0" xfId="0" applyFont="1" applyAlignment="1">
      <alignment horizontal="left"/>
    </xf>
    <xf numFmtId="0" fontId="0" fillId="0" borderId="0" xfId="0" applyAlignment="1">
      <alignment horizontal="left"/>
    </xf>
    <xf numFmtId="0" fontId="94" fillId="0" borderId="0" xfId="0" applyFont="1" applyAlignment="1">
      <alignment horizontal="left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94" fillId="0" borderId="10" xfId="0" applyFont="1" applyBorder="1" applyAlignment="1">
      <alignment horizontal="left"/>
    </xf>
    <xf numFmtId="0" fontId="0" fillId="0" borderId="28" xfId="0" applyBorder="1" applyAlignment="1">
      <alignment horizontal="left"/>
    </xf>
    <xf numFmtId="0" fontId="95" fillId="0" borderId="30" xfId="0" applyFont="1" applyBorder="1" applyAlignment="1">
      <alignment horizontal="left" vertical="center"/>
    </xf>
    <xf numFmtId="0" fontId="96" fillId="0" borderId="30" xfId="0" applyFont="1" applyBorder="1" applyAlignment="1">
      <alignment horizontal="left" vertical="center"/>
    </xf>
    <xf numFmtId="0" fontId="95" fillId="0" borderId="0" xfId="0" applyFont="1" applyAlignment="1">
      <alignment horizontal="left" vertical="center"/>
    </xf>
    <xf numFmtId="0" fontId="96" fillId="0" borderId="0" xfId="0" applyFont="1" applyAlignment="1">
      <alignment horizontal="left" vertical="center"/>
    </xf>
    <xf numFmtId="0" fontId="95" fillId="0" borderId="109" xfId="0" applyFont="1" applyBorder="1" applyAlignment="1">
      <alignment horizontal="left" vertical="center" wrapText="1"/>
    </xf>
    <xf numFmtId="0" fontId="96" fillId="10" borderId="109" xfId="0" applyFont="1" applyFill="1" applyBorder="1" applyAlignment="1">
      <alignment horizontal="left" vertical="center" wrapText="1"/>
    </xf>
    <xf numFmtId="0" fontId="97" fillId="10" borderId="109" xfId="0" applyFont="1" applyFill="1" applyBorder="1" applyAlignment="1">
      <alignment horizontal="left" vertical="center" wrapText="1"/>
    </xf>
    <xf numFmtId="0" fontId="97" fillId="10" borderId="110" xfId="0" applyFont="1" applyFill="1" applyBorder="1" applyAlignment="1">
      <alignment horizontal="left" vertical="center" wrapText="1"/>
    </xf>
    <xf numFmtId="0" fontId="96" fillId="10" borderId="2" xfId="0" applyFont="1" applyFill="1" applyBorder="1" applyAlignment="1">
      <alignment horizontal="left" vertical="center" wrapText="1"/>
    </xf>
    <xf numFmtId="0" fontId="96" fillId="0" borderId="0" xfId="0" applyFont="1" applyAlignment="1">
      <alignment horizontal="left" vertical="center" wrapText="1"/>
    </xf>
    <xf numFmtId="0" fontId="96" fillId="11" borderId="109" xfId="0" applyFont="1" applyFill="1" applyBorder="1" applyAlignment="1">
      <alignment horizontal="left" vertical="center" wrapText="1"/>
    </xf>
    <xf numFmtId="0" fontId="96" fillId="12" borderId="109" xfId="0" applyFont="1" applyFill="1" applyBorder="1" applyAlignment="1">
      <alignment horizontal="left" vertical="center" wrapText="1"/>
    </xf>
    <xf numFmtId="0" fontId="96" fillId="0" borderId="109" xfId="0" applyFont="1" applyBorder="1" applyAlignment="1">
      <alignment horizontal="left" vertical="center" wrapText="1"/>
    </xf>
    <xf numFmtId="0" fontId="96" fillId="0" borderId="110" xfId="0" applyFont="1" applyBorder="1" applyAlignment="1">
      <alignment horizontal="left" vertical="center" wrapText="1"/>
    </xf>
    <xf numFmtId="0" fontId="96" fillId="0" borderId="2" xfId="0" applyFont="1" applyBorder="1" applyAlignment="1">
      <alignment horizontal="left" vertical="center" wrapText="1"/>
    </xf>
    <xf numFmtId="0" fontId="98" fillId="0" borderId="109" xfId="0" applyFont="1" applyBorder="1" applyAlignment="1">
      <alignment horizontal="left" vertical="center" wrapText="1"/>
    </xf>
    <xf numFmtId="0" fontId="99" fillId="0" borderId="109" xfId="0" applyFont="1" applyBorder="1" applyAlignment="1">
      <alignment horizontal="left" vertical="center" wrapText="1"/>
    </xf>
    <xf numFmtId="0" fontId="99" fillId="13" borderId="109" xfId="0" applyFont="1" applyFill="1" applyBorder="1" applyAlignment="1">
      <alignment horizontal="left" vertical="center" wrapText="1"/>
    </xf>
    <xf numFmtId="0" fontId="99" fillId="0" borderId="110" xfId="0" applyFont="1" applyBorder="1" applyAlignment="1">
      <alignment horizontal="left" vertical="center" wrapText="1"/>
    </xf>
    <xf numFmtId="0" fontId="99" fillId="14" borderId="109" xfId="0" applyFont="1" applyFill="1" applyBorder="1" applyAlignment="1">
      <alignment horizontal="left" vertical="center" wrapText="1"/>
    </xf>
    <xf numFmtId="0" fontId="98" fillId="0" borderId="0" xfId="0" applyFont="1" applyAlignment="1">
      <alignment horizontal="left" vertical="center" wrapText="1"/>
    </xf>
    <xf numFmtId="0" fontId="99" fillId="0" borderId="0" xfId="0" applyFont="1" applyAlignment="1">
      <alignment horizontal="left" vertical="center" wrapText="1"/>
    </xf>
    <xf numFmtId="17" fontId="95" fillId="0" borderId="0" xfId="0" quotePrefix="1" applyNumberFormat="1" applyFont="1" applyAlignment="1">
      <alignment horizontal="left" vertical="center"/>
    </xf>
    <xf numFmtId="0" fontId="95" fillId="0" borderId="111" xfId="0" applyFont="1" applyBorder="1" applyAlignment="1">
      <alignment horizontal="left" vertical="center" wrapText="1"/>
    </xf>
    <xf numFmtId="0" fontId="96" fillId="14" borderId="109" xfId="0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49" fontId="95" fillId="0" borderId="0" xfId="0" applyNumberFormat="1" applyFont="1" applyAlignment="1">
      <alignment horizontal="left" vertical="center"/>
    </xf>
    <xf numFmtId="0" fontId="99" fillId="15" borderId="109" xfId="0" applyFont="1" applyFill="1" applyBorder="1" applyAlignment="1">
      <alignment horizontal="left" vertical="center" wrapText="1"/>
    </xf>
    <xf numFmtId="0" fontId="99" fillId="17" borderId="110" xfId="0" applyFont="1" applyFill="1" applyBorder="1" applyAlignment="1">
      <alignment horizontal="left" vertical="center" wrapText="1"/>
    </xf>
    <xf numFmtId="0" fontId="99" fillId="18" borderId="110" xfId="0" applyFont="1" applyFill="1" applyBorder="1" applyAlignment="1">
      <alignment horizontal="left" vertical="center" wrapText="1"/>
    </xf>
    <xf numFmtId="0" fontId="95" fillId="0" borderId="2" xfId="0" applyFont="1" applyBorder="1" applyAlignment="1">
      <alignment horizontal="left" vertical="center" wrapText="1"/>
    </xf>
    <xf numFmtId="0" fontId="97" fillId="10" borderId="111" xfId="0" applyFont="1" applyFill="1" applyBorder="1" applyAlignment="1">
      <alignment horizontal="left" vertical="center" wrapText="1"/>
    </xf>
    <xf numFmtId="0" fontId="96" fillId="18" borderId="111" xfId="0" applyFont="1" applyFill="1" applyBorder="1" applyAlignment="1">
      <alignment horizontal="left" vertical="center" wrapText="1"/>
    </xf>
    <xf numFmtId="0" fontId="96" fillId="19" borderId="109" xfId="0" applyFont="1" applyFill="1" applyBorder="1" applyAlignment="1">
      <alignment horizontal="left" vertical="center" wrapText="1"/>
    </xf>
    <xf numFmtId="0" fontId="96" fillId="20" borderId="109" xfId="0" applyFont="1" applyFill="1" applyBorder="1" applyAlignment="1">
      <alignment horizontal="left" vertical="center" wrapText="1"/>
    </xf>
    <xf numFmtId="0" fontId="96" fillId="0" borderId="111" xfId="0" applyFont="1" applyBorder="1" applyAlignment="1">
      <alignment horizontal="left" vertical="center" wrapText="1"/>
    </xf>
    <xf numFmtId="0" fontId="96" fillId="0" borderId="10" xfId="0" applyFont="1" applyBorder="1" applyAlignment="1">
      <alignment horizontal="left" vertical="center"/>
    </xf>
    <xf numFmtId="0" fontId="100" fillId="0" borderId="0" xfId="0" applyFont="1" applyAlignment="1">
      <alignment horizontal="left" vertical="center"/>
    </xf>
    <xf numFmtId="0" fontId="96" fillId="0" borderId="112" xfId="0" applyFont="1" applyBorder="1" applyAlignment="1">
      <alignment horizontal="left" vertical="center" wrapText="1"/>
    </xf>
    <xf numFmtId="0" fontId="96" fillId="21" borderId="109" xfId="0" applyFont="1" applyFill="1" applyBorder="1" applyAlignment="1">
      <alignment horizontal="left" vertical="center" wrapText="1"/>
    </xf>
    <xf numFmtId="0" fontId="99" fillId="22" borderId="110" xfId="0" applyFont="1" applyFill="1" applyBorder="1" applyAlignment="1">
      <alignment horizontal="left" vertical="center" wrapText="1"/>
    </xf>
    <xf numFmtId="0" fontId="96" fillId="10" borderId="111" xfId="0" applyFont="1" applyFill="1" applyBorder="1" applyAlignment="1">
      <alignment horizontal="left" vertical="center" wrapText="1"/>
    </xf>
    <xf numFmtId="0" fontId="96" fillId="22" borderId="109" xfId="0" applyFont="1" applyFill="1" applyBorder="1" applyAlignment="1">
      <alignment horizontal="left" vertical="center" wrapText="1"/>
    </xf>
    <xf numFmtId="0" fontId="96" fillId="0" borderId="113" xfId="0" applyFont="1" applyBorder="1" applyAlignment="1">
      <alignment horizontal="left" vertical="center" wrapText="1"/>
    </xf>
    <xf numFmtId="0" fontId="96" fillId="16" borderId="109" xfId="0" applyFont="1" applyFill="1" applyBorder="1" applyAlignment="1">
      <alignment horizontal="left" vertical="center" wrapText="1"/>
    </xf>
    <xf numFmtId="0" fontId="95" fillId="0" borderId="114" xfId="0" applyFont="1" applyBorder="1" applyAlignment="1">
      <alignment horizontal="left" vertical="center" wrapText="1"/>
    </xf>
    <xf numFmtId="0" fontId="96" fillId="20" borderId="114" xfId="0" applyFont="1" applyFill="1" applyBorder="1" applyAlignment="1">
      <alignment horizontal="left" vertical="center" wrapText="1"/>
    </xf>
    <xf numFmtId="0" fontId="96" fillId="0" borderId="114" xfId="0" applyFont="1" applyBorder="1" applyAlignment="1">
      <alignment horizontal="left" vertical="center" wrapText="1"/>
    </xf>
    <xf numFmtId="0" fontId="96" fillId="14" borderId="114" xfId="0" applyFont="1" applyFill="1" applyBorder="1" applyAlignment="1">
      <alignment horizontal="left" vertical="center" wrapText="1"/>
    </xf>
    <xf numFmtId="0" fontId="99" fillId="12" borderId="109" xfId="0" applyFont="1" applyFill="1" applyBorder="1" applyAlignment="1">
      <alignment horizontal="left" vertical="center" wrapText="1"/>
    </xf>
    <xf numFmtId="0" fontId="99" fillId="0" borderId="114" xfId="0" applyFont="1" applyBorder="1" applyAlignment="1">
      <alignment horizontal="left" vertical="center" wrapText="1"/>
    </xf>
    <xf numFmtId="0" fontId="99" fillId="0" borderId="2" xfId="0" applyFont="1" applyBorder="1" applyAlignment="1">
      <alignment horizontal="left" vertical="center" wrapText="1"/>
    </xf>
    <xf numFmtId="0" fontId="96" fillId="18" borderId="109" xfId="0" applyFont="1" applyFill="1" applyBorder="1" applyAlignment="1">
      <alignment horizontal="left" vertical="center" wrapText="1"/>
    </xf>
    <xf numFmtId="0" fontId="96" fillId="17" borderId="114" xfId="0" applyFont="1" applyFill="1" applyBorder="1" applyAlignment="1">
      <alignment horizontal="left" vertical="center" wrapText="1"/>
    </xf>
    <xf numFmtId="0" fontId="96" fillId="14" borderId="110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52" fillId="0" borderId="0" xfId="0" applyFont="1" applyAlignment="1">
      <alignment horizontal="center"/>
    </xf>
    <xf numFmtId="0" fontId="41" fillId="0" borderId="0" xfId="0" applyFont="1" applyAlignment="1">
      <alignment horizontal="right"/>
    </xf>
    <xf numFmtId="0" fontId="96" fillId="7" borderId="109" xfId="0" applyFont="1" applyFill="1" applyBorder="1" applyAlignment="1">
      <alignment horizontal="left" vertical="center" wrapText="1"/>
    </xf>
    <xf numFmtId="0" fontId="99" fillId="2" borderId="109" xfId="0" applyFont="1" applyFill="1" applyBorder="1" applyAlignment="1">
      <alignment horizontal="left" vertical="center" wrapText="1"/>
    </xf>
    <xf numFmtId="0" fontId="37" fillId="3" borderId="21" xfId="0" applyFont="1" applyFill="1" applyBorder="1" applyAlignment="1">
      <alignment horizontal="center" vertical="center" wrapText="1"/>
    </xf>
    <xf numFmtId="0" fontId="102" fillId="0" borderId="2" xfId="0" applyFont="1" applyBorder="1" applyAlignment="1">
      <alignment vertical="center"/>
    </xf>
    <xf numFmtId="0" fontId="37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left" vertical="center" wrapText="1"/>
    </xf>
    <xf numFmtId="0" fontId="35" fillId="0" borderId="2" xfId="0" applyFont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16" fillId="2" borderId="79" xfId="0" applyFont="1" applyFill="1" applyBorder="1" applyAlignment="1">
      <alignment vertical="center"/>
    </xf>
    <xf numFmtId="0" fontId="21" fillId="2" borderId="80" xfId="0" applyFont="1" applyFill="1" applyBorder="1"/>
    <xf numFmtId="0" fontId="21" fillId="2" borderId="81" xfId="0" applyFont="1" applyFill="1" applyBorder="1"/>
    <xf numFmtId="0" fontId="16" fillId="2" borderId="83" xfId="0" applyFont="1" applyFill="1" applyBorder="1" applyAlignment="1">
      <alignment vertical="center"/>
    </xf>
    <xf numFmtId="0" fontId="16" fillId="2" borderId="84" xfId="0" applyFont="1" applyFill="1" applyBorder="1" applyAlignment="1">
      <alignment vertical="center"/>
    </xf>
    <xf numFmtId="0" fontId="16" fillId="2" borderId="87" xfId="0" applyFont="1" applyFill="1" applyBorder="1" applyAlignment="1">
      <alignment vertical="center"/>
    </xf>
    <xf numFmtId="0" fontId="16" fillId="2" borderId="88" xfId="0" applyFont="1" applyFill="1" applyBorder="1" applyAlignment="1">
      <alignment vertical="center"/>
    </xf>
    <xf numFmtId="0" fontId="103" fillId="0" borderId="0" xfId="0" applyFont="1"/>
    <xf numFmtId="0" fontId="35" fillId="0" borderId="2" xfId="0" applyFont="1" applyBorder="1" applyAlignment="1">
      <alignment wrapText="1"/>
    </xf>
    <xf numFmtId="0" fontId="102" fillId="0" borderId="2" xfId="0" applyFont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38" fillId="0" borderId="26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27" xfId="0" applyFont="1" applyBorder="1" applyAlignment="1">
      <alignment horizontal="center"/>
    </xf>
    <xf numFmtId="0" fontId="33" fillId="0" borderId="30" xfId="0" applyFont="1" applyBorder="1" applyAlignment="1">
      <alignment horizontal="center"/>
    </xf>
    <xf numFmtId="0" fontId="68" fillId="0" borderId="26" xfId="0" applyFont="1" applyBorder="1" applyAlignment="1">
      <alignment horizontal="center" vertical="center"/>
    </xf>
    <xf numFmtId="0" fontId="68" fillId="0" borderId="27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27" xfId="0" applyFont="1" applyBorder="1" applyAlignment="1">
      <alignment horizontal="center"/>
    </xf>
    <xf numFmtId="0" fontId="70" fillId="0" borderId="26" xfId="0" applyFont="1" applyBorder="1" applyAlignment="1">
      <alignment horizontal="center"/>
    </xf>
    <xf numFmtId="0" fontId="69" fillId="0" borderId="26" xfId="0" applyFont="1" applyBorder="1" applyAlignment="1">
      <alignment horizontal="center" vertical="center"/>
    </xf>
    <xf numFmtId="0" fontId="69" fillId="0" borderId="27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/>
    </xf>
    <xf numFmtId="0" fontId="43" fillId="0" borderId="27" xfId="0" applyFont="1" applyBorder="1" applyAlignment="1">
      <alignment horizontal="center"/>
    </xf>
    <xf numFmtId="0" fontId="38" fillId="0" borderId="0" xfId="0" applyFont="1" applyAlignment="1">
      <alignment horizontal="left" vertical="justify" wrapText="1"/>
    </xf>
    <xf numFmtId="0" fontId="14" fillId="0" borderId="0" xfId="0" applyFont="1" applyAlignment="1">
      <alignment horizontal="center" vertical="justify"/>
    </xf>
    <xf numFmtId="0" fontId="17" fillId="0" borderId="0" xfId="0" applyFont="1" applyAlignment="1">
      <alignment horizontal="center" vertical="justify"/>
    </xf>
    <xf numFmtId="0" fontId="40" fillId="0" borderId="0" xfId="0" applyFont="1" applyAlignment="1">
      <alignment horizontal="center" vertical="justify" wrapText="1"/>
    </xf>
    <xf numFmtId="0" fontId="66" fillId="0" borderId="0" xfId="0" applyFont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15" fontId="19" fillId="0" borderId="2" xfId="0" applyNumberFormat="1" applyFont="1" applyBorder="1" applyAlignment="1">
      <alignment horizontal="center" vertical="center"/>
    </xf>
    <xf numFmtId="0" fontId="96" fillId="0" borderId="0" xfId="0" applyFont="1" applyAlignment="1">
      <alignment horizontal="left" vertical="center"/>
    </xf>
    <xf numFmtId="0" fontId="96" fillId="0" borderId="13" xfId="0" applyFont="1" applyBorder="1" applyAlignment="1">
      <alignment horizontal="left" vertical="center"/>
    </xf>
    <xf numFmtId="0" fontId="96" fillId="0" borderId="30" xfId="0" applyFont="1" applyBorder="1" applyAlignment="1">
      <alignment horizontal="left" vertical="center"/>
    </xf>
    <xf numFmtId="0" fontId="96" fillId="0" borderId="13" xfId="0" applyFont="1" applyBorder="1" applyAlignment="1">
      <alignment vertical="center"/>
    </xf>
    <xf numFmtId="0" fontId="96" fillId="0" borderId="0" xfId="0" applyFont="1" applyAlignment="1">
      <alignment vertical="center"/>
    </xf>
    <xf numFmtId="0" fontId="96" fillId="0" borderId="113" xfId="0" applyFont="1" applyBorder="1" applyAlignment="1">
      <alignment horizontal="left" vertical="center"/>
    </xf>
    <xf numFmtId="0" fontId="96" fillId="0" borderId="10" xfId="0" applyFont="1" applyBorder="1" applyAlignment="1">
      <alignment horizontal="left" vertical="center"/>
    </xf>
    <xf numFmtId="15" fontId="96" fillId="0" borderId="13" xfId="0" quotePrefix="1" applyNumberFormat="1" applyFont="1" applyBorder="1" applyAlignment="1">
      <alignment horizontal="left" vertical="center"/>
    </xf>
    <xf numFmtId="15" fontId="96" fillId="0" borderId="0" xfId="0" quotePrefix="1" applyNumberFormat="1" applyFont="1" applyAlignment="1">
      <alignment horizontal="left" vertical="center"/>
    </xf>
    <xf numFmtId="0" fontId="101" fillId="0" borderId="0" xfId="0" applyFont="1" applyAlignment="1">
      <alignment horizontal="left" vertical="center"/>
    </xf>
    <xf numFmtId="0" fontId="92" fillId="0" borderId="30" xfId="0" applyFont="1" applyBorder="1" applyAlignment="1">
      <alignment horizontal="center"/>
    </xf>
    <xf numFmtId="0" fontId="9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2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4" fillId="3" borderId="29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6" fillId="2" borderId="78" xfId="0" applyFont="1" applyFill="1" applyBorder="1" applyAlignment="1">
      <alignment horizontal="center" vertical="center"/>
    </xf>
    <xf numFmtId="0" fontId="16" fillId="2" borderId="79" xfId="0" applyFont="1" applyFill="1" applyBorder="1" applyAlignment="1">
      <alignment horizontal="center" vertical="center"/>
    </xf>
    <xf numFmtId="0" fontId="16" fillId="2" borderId="83" xfId="0" applyFont="1" applyFill="1" applyBorder="1" applyAlignment="1">
      <alignment horizontal="center" vertical="center"/>
    </xf>
    <xf numFmtId="0" fontId="16" fillId="2" borderId="84" xfId="0" applyFont="1" applyFill="1" applyBorder="1" applyAlignment="1">
      <alignment horizontal="center" vertical="center"/>
    </xf>
    <xf numFmtId="0" fontId="16" fillId="23" borderId="78" xfId="0" applyFont="1" applyFill="1" applyBorder="1" applyAlignment="1">
      <alignment horizontal="center" vertical="center"/>
    </xf>
    <xf numFmtId="0" fontId="16" fillId="23" borderId="115" xfId="0" applyFont="1" applyFill="1" applyBorder="1" applyAlignment="1">
      <alignment horizontal="center" vertical="center"/>
    </xf>
    <xf numFmtId="0" fontId="16" fillId="23" borderId="79" xfId="0" applyFont="1" applyFill="1" applyBorder="1" applyAlignment="1">
      <alignment horizontal="center" vertical="center"/>
    </xf>
    <xf numFmtId="0" fontId="16" fillId="8" borderId="78" xfId="0" applyFont="1" applyFill="1" applyBorder="1" applyAlignment="1">
      <alignment horizontal="center"/>
    </xf>
    <xf numFmtId="0" fontId="16" fillId="8" borderId="115" xfId="0" applyFont="1" applyFill="1" applyBorder="1" applyAlignment="1">
      <alignment horizontal="center"/>
    </xf>
    <xf numFmtId="0" fontId="16" fillId="8" borderId="79" xfId="0" applyFont="1" applyFill="1" applyBorder="1" applyAlignment="1">
      <alignment horizontal="center"/>
    </xf>
    <xf numFmtId="0" fontId="29" fillId="2" borderId="78" xfId="0" applyFont="1" applyFill="1" applyBorder="1" applyAlignment="1">
      <alignment horizontal="center" vertical="center"/>
    </xf>
    <xf numFmtId="0" fontId="29" fillId="2" borderId="79" xfId="0" applyFont="1" applyFill="1" applyBorder="1" applyAlignment="1">
      <alignment horizontal="center" vertical="center"/>
    </xf>
    <xf numFmtId="0" fontId="16" fillId="2" borderId="85" xfId="0" applyFont="1" applyFill="1" applyBorder="1" applyAlignment="1">
      <alignment horizontal="center" vertical="center"/>
    </xf>
    <xf numFmtId="0" fontId="16" fillId="2" borderId="8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24" borderId="78" xfId="0" applyFont="1" applyFill="1" applyBorder="1" applyAlignment="1">
      <alignment horizontal="center" vertical="center"/>
    </xf>
    <xf numFmtId="0" fontId="16" fillId="24" borderId="115" xfId="0" applyFont="1" applyFill="1" applyBorder="1" applyAlignment="1">
      <alignment horizontal="center" vertical="center"/>
    </xf>
    <xf numFmtId="0" fontId="16" fillId="24" borderId="79" xfId="0" applyFont="1" applyFill="1" applyBorder="1" applyAlignment="1">
      <alignment horizontal="center" vertical="center"/>
    </xf>
    <xf numFmtId="0" fontId="16" fillId="8" borderId="78" xfId="0" applyFont="1" applyFill="1" applyBorder="1" applyAlignment="1">
      <alignment horizontal="center" vertical="center"/>
    </xf>
    <xf numFmtId="0" fontId="16" fillId="8" borderId="115" xfId="0" applyFont="1" applyFill="1" applyBorder="1" applyAlignment="1">
      <alignment horizontal="center" vertical="center"/>
    </xf>
    <xf numFmtId="0" fontId="16" fillId="8" borderId="79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wrapText="1"/>
    </xf>
    <xf numFmtId="0" fontId="23" fillId="0" borderId="12" xfId="0" applyFont="1" applyBorder="1" applyAlignment="1">
      <alignment horizontal="center" wrapText="1"/>
    </xf>
    <xf numFmtId="0" fontId="23" fillId="0" borderId="18" xfId="0" applyFont="1" applyBorder="1" applyAlignment="1">
      <alignment horizontal="center" wrapText="1"/>
    </xf>
    <xf numFmtId="0" fontId="23" fillId="0" borderId="14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78" fillId="0" borderId="16" xfId="0" applyFont="1" applyBorder="1" applyAlignment="1">
      <alignment horizontal="center"/>
    </xf>
    <xf numFmtId="0" fontId="78" fillId="0" borderId="6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75" fillId="0" borderId="0" xfId="0" applyFont="1" applyAlignment="1">
      <alignment horizontal="center" vertical="center"/>
    </xf>
    <xf numFmtId="0" fontId="34" fillId="3" borderId="33" xfId="0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center" vertical="center" wrapText="1"/>
    </xf>
    <xf numFmtId="0" fontId="33" fillId="0" borderId="82" xfId="0" applyFont="1" applyBorder="1" applyAlignment="1">
      <alignment horizontal="center" vertical="center"/>
    </xf>
    <xf numFmtId="0" fontId="33" fillId="0" borderId="108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19" xfId="0" applyFont="1" applyBorder="1" applyAlignment="1">
      <alignment horizontal="center" vertical="center"/>
    </xf>
    <xf numFmtId="1" fontId="33" fillId="0" borderId="0" xfId="0" applyNumberFormat="1" applyFont="1" applyAlignment="1">
      <alignment horizontal="left" vertic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21" xfId="0" applyFont="1" applyFill="1" applyBorder="1" applyAlignment="1">
      <alignment horizontal="center" vertical="center"/>
    </xf>
    <xf numFmtId="0" fontId="49" fillId="3" borderId="2" xfId="0" applyFont="1" applyFill="1" applyBorder="1" applyAlignment="1">
      <alignment horizontal="center" vertical="center"/>
    </xf>
    <xf numFmtId="0" fontId="49" fillId="3" borderId="2" xfId="0" applyFont="1" applyFill="1" applyBorder="1" applyAlignment="1">
      <alignment horizontal="center" vertical="center" wrapText="1"/>
    </xf>
    <xf numFmtId="0" fontId="49" fillId="3" borderId="21" xfId="0" applyFont="1" applyFill="1" applyBorder="1" applyAlignment="1">
      <alignment horizontal="center" vertical="center" wrapText="1"/>
    </xf>
    <xf numFmtId="0" fontId="49" fillId="3" borderId="23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15" fontId="36" fillId="0" borderId="2" xfId="0" applyNumberFormat="1" applyFont="1" applyBorder="1" applyAlignment="1">
      <alignment horizontal="center" vertical="center"/>
    </xf>
    <xf numFmtId="0" fontId="33" fillId="0" borderId="21" xfId="0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0" fillId="0" borderId="23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3" fillId="0" borderId="2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33" fillId="0" borderId="2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52" fillId="2" borderId="2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2" fillId="9" borderId="21" xfId="0" applyFont="1" applyFill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5" fillId="0" borderId="21" xfId="0" applyFont="1" applyBorder="1" applyAlignment="1" applyProtection="1">
      <alignment horizontal="left" vertical="center" wrapText="1"/>
      <protection locked="0"/>
    </xf>
    <xf numFmtId="0" fontId="35" fillId="0" borderId="1" xfId="0" applyFont="1" applyBorder="1" applyAlignment="1" applyProtection="1">
      <alignment horizontal="left" vertical="center" wrapText="1"/>
      <protection locked="0"/>
    </xf>
    <xf numFmtId="0" fontId="52" fillId="2" borderId="21" xfId="0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52" fillId="0" borderId="2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15" fontId="33" fillId="0" borderId="2" xfId="0" applyNumberFormat="1" applyFont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33" fillId="2" borderId="21" xfId="0" applyFont="1" applyFill="1" applyBorder="1" applyAlignment="1">
      <alignment horizontal="center" vertical="center"/>
    </xf>
    <xf numFmtId="0" fontId="33" fillId="2" borderId="21" xfId="0" applyFont="1" applyFill="1" applyBorder="1" applyAlignment="1">
      <alignment horizontal="center" vertical="center" wrapText="1"/>
    </xf>
    <xf numFmtId="0" fontId="33" fillId="2" borderId="23" xfId="0" applyFont="1" applyFill="1" applyBorder="1" applyAlignment="1">
      <alignment horizontal="center" vertical="center" wrapText="1"/>
    </xf>
    <xf numFmtId="0" fontId="33" fillId="2" borderId="29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19" xfId="0" applyFont="1" applyFill="1" applyBorder="1" applyAlignment="1">
      <alignment horizontal="center" vertical="center"/>
    </xf>
    <xf numFmtId="0" fontId="33" fillId="8" borderId="5" xfId="0" applyFont="1" applyFill="1" applyBorder="1" applyAlignment="1">
      <alignment horizontal="center" vertical="center"/>
    </xf>
    <xf numFmtId="0" fontId="33" fillId="8" borderId="29" xfId="0" applyFont="1" applyFill="1" applyBorder="1" applyAlignment="1">
      <alignment horizontal="center" vertical="center"/>
    </xf>
    <xf numFmtId="0" fontId="33" fillId="8" borderId="19" xfId="0" applyFont="1" applyFill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5" fillId="0" borderId="2" xfId="0" applyFont="1" applyBorder="1" applyAlignment="1" applyProtection="1">
      <alignment horizontal="left" vertical="center" wrapText="1"/>
      <protection locked="0"/>
    </xf>
    <xf numFmtId="0" fontId="33" fillId="9" borderId="21" xfId="0" applyFont="1" applyFill="1" applyBorder="1" applyAlignment="1">
      <alignment horizontal="center" vertical="center" wrapText="1"/>
    </xf>
    <xf numFmtId="0" fontId="52" fillId="9" borderId="2" xfId="0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 wrapText="1"/>
    </xf>
    <xf numFmtId="0" fontId="33" fillId="0" borderId="21" xfId="0" applyFont="1" applyBorder="1" applyAlignment="1" applyProtection="1">
      <alignment horizontal="left" vertical="center"/>
      <protection locked="0"/>
    </xf>
    <xf numFmtId="0" fontId="33" fillId="0" borderId="1" xfId="0" applyFont="1" applyBorder="1" applyAlignment="1" applyProtection="1">
      <alignment horizontal="left" vertical="center"/>
      <protection locked="0"/>
    </xf>
    <xf numFmtId="0" fontId="33" fillId="0" borderId="2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5" fontId="66" fillId="0" borderId="2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wrapText="1"/>
    </xf>
    <xf numFmtId="0" fontId="6" fillId="0" borderId="29" xfId="0" applyFont="1" applyBorder="1" applyAlignment="1">
      <alignment horizontal="left" wrapText="1"/>
    </xf>
    <xf numFmtId="0" fontId="6" fillId="0" borderId="19" xfId="0" applyFont="1" applyBorder="1" applyAlignment="1">
      <alignment horizontal="left" wrapText="1"/>
    </xf>
    <xf numFmtId="0" fontId="35" fillId="0" borderId="77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top"/>
    </xf>
    <xf numFmtId="0" fontId="35" fillId="0" borderId="2" xfId="0" applyFont="1" applyBorder="1" applyAlignment="1">
      <alignment horizontal="left" vertical="top"/>
    </xf>
    <xf numFmtId="0" fontId="35" fillId="0" borderId="23" xfId="0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top" wrapText="1"/>
    </xf>
    <xf numFmtId="0" fontId="105" fillId="0" borderId="2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left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7" fillId="3" borderId="2" xfId="0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37" fillId="3" borderId="21" xfId="0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 wrapText="1"/>
    </xf>
    <xf numFmtId="0" fontId="37" fillId="3" borderId="21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5" fontId="66" fillId="0" borderId="5" xfId="0" applyNumberFormat="1" applyFont="1" applyBorder="1" applyAlignment="1">
      <alignment horizontal="center" vertical="center"/>
    </xf>
    <xf numFmtId="15" fontId="66" fillId="0" borderId="19" xfId="0" applyNumberFormat="1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28" fillId="0" borderId="23" xfId="0" applyFont="1" applyBorder="1" applyAlignment="1">
      <alignment horizontal="left" vertical="top" wrapText="1"/>
    </xf>
    <xf numFmtId="0" fontId="28" fillId="0" borderId="2" xfId="0" applyFont="1" applyBorder="1" applyAlignment="1">
      <alignment vertical="center" wrapText="1"/>
    </xf>
    <xf numFmtId="0" fontId="86" fillId="0" borderId="21" xfId="0" applyFont="1" applyBorder="1" applyAlignment="1">
      <alignment horizontal="center" vertical="center" wrapText="1"/>
    </xf>
    <xf numFmtId="0" fontId="86" fillId="0" borderId="23" xfId="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86" fillId="0" borderId="2" xfId="0" applyFont="1" applyBorder="1" applyAlignment="1">
      <alignment horizontal="center" vertical="center" wrapText="1"/>
    </xf>
    <xf numFmtId="0" fontId="89" fillId="0" borderId="2" xfId="0" applyFont="1" applyBorder="1" applyAlignment="1">
      <alignment horizontal="left" vertical="center" wrapText="1"/>
    </xf>
    <xf numFmtId="0" fontId="86" fillId="0" borderId="5" xfId="0" applyFont="1" applyBorder="1" applyAlignment="1">
      <alignment horizontal="center" vertical="center" wrapText="1"/>
    </xf>
    <xf numFmtId="0" fontId="86" fillId="0" borderId="29" xfId="0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0" borderId="2" xfId="0" applyFont="1" applyBorder="1" applyAlignment="1">
      <alignment horizontal="left" vertical="center" wrapText="1"/>
    </xf>
    <xf numFmtId="1" fontId="33" fillId="0" borderId="2" xfId="0" applyNumberFormat="1" applyFont="1" applyBorder="1" applyAlignment="1">
      <alignment horizontal="center" vertical="center"/>
    </xf>
    <xf numFmtId="1" fontId="33" fillId="0" borderId="18" xfId="0" applyNumberFormat="1" applyFont="1" applyBorder="1" applyAlignment="1">
      <alignment horizontal="center" vertical="center"/>
    </xf>
    <xf numFmtId="1" fontId="33" fillId="0" borderId="15" xfId="0" applyNumberFormat="1" applyFont="1" applyBorder="1" applyAlignment="1">
      <alignment horizontal="center" vertical="center"/>
    </xf>
    <xf numFmtId="1" fontId="33" fillId="0" borderId="17" xfId="0" applyNumberFormat="1" applyFont="1" applyBorder="1" applyAlignment="1">
      <alignment horizontal="center" vertical="center"/>
    </xf>
    <xf numFmtId="0" fontId="42" fillId="0" borderId="21" xfId="0" applyFont="1" applyBorder="1" applyAlignment="1">
      <alignment horizontal="left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42" fillId="0" borderId="21" xfId="0" applyFont="1" applyBorder="1" applyAlignment="1">
      <alignment horizontal="left" vertical="top" wrapText="1"/>
    </xf>
    <xf numFmtId="0" fontId="42" fillId="0" borderId="23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/>
    </xf>
    <xf numFmtId="0" fontId="37" fillId="0" borderId="2" xfId="0" applyFont="1" applyBorder="1" applyAlignment="1">
      <alignment horizontal="center"/>
    </xf>
    <xf numFmtId="20" fontId="31" fillId="0" borderId="0" xfId="0" applyNumberFormat="1" applyFont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7" fillId="0" borderId="2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0" xfId="0" applyFont="1" applyAlignment="1">
      <alignment horizontal="left"/>
    </xf>
    <xf numFmtId="0" fontId="37" fillId="0" borderId="21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0" xfId="0" applyFont="1" applyBorder="1"/>
    <xf numFmtId="0" fontId="37" fillId="0" borderId="20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15" fontId="35" fillId="0" borderId="5" xfId="0" applyNumberFormat="1" applyFont="1" applyBorder="1" applyAlignment="1">
      <alignment horizontal="center" vertical="center"/>
    </xf>
    <xf numFmtId="15" fontId="35" fillId="0" borderId="29" xfId="0" applyNumberFormat="1" applyFont="1" applyBorder="1" applyAlignment="1">
      <alignment horizontal="center" vertical="center"/>
    </xf>
    <xf numFmtId="15" fontId="35" fillId="0" borderId="19" xfId="0" applyNumberFormat="1" applyFont="1" applyBorder="1" applyAlignment="1">
      <alignment horizontal="center" vertical="center"/>
    </xf>
    <xf numFmtId="0" fontId="65" fillId="0" borderId="0" xfId="0" applyFont="1" applyAlignment="1">
      <alignment horizontal="center"/>
    </xf>
    <xf numFmtId="0" fontId="39" fillId="0" borderId="39" xfId="1" applyFont="1" applyBorder="1" applyAlignment="1">
      <alignment horizontal="center" vertical="center"/>
    </xf>
    <xf numFmtId="0" fontId="39" fillId="0" borderId="68" xfId="1" applyFont="1" applyBorder="1" applyAlignment="1">
      <alignment horizontal="center" vertical="center"/>
    </xf>
    <xf numFmtId="0" fontId="39" fillId="0" borderId="40" xfId="1" applyFont="1" applyBorder="1" applyAlignment="1">
      <alignment horizontal="center" vertical="center"/>
    </xf>
    <xf numFmtId="0" fontId="34" fillId="0" borderId="39" xfId="1" applyFont="1" applyBorder="1" applyAlignment="1">
      <alignment horizontal="center" vertical="center"/>
    </xf>
    <xf numFmtId="0" fontId="34" fillId="0" borderId="68" xfId="1" applyFont="1" applyBorder="1" applyAlignment="1">
      <alignment horizontal="center" vertical="center"/>
    </xf>
    <xf numFmtId="0" fontId="34" fillId="0" borderId="40" xfId="1" applyFont="1" applyBorder="1" applyAlignment="1">
      <alignment horizontal="center" vertical="center"/>
    </xf>
    <xf numFmtId="0" fontId="37" fillId="0" borderId="54" xfId="1" applyFont="1" applyBorder="1" applyAlignment="1">
      <alignment horizontal="center" vertical="center"/>
    </xf>
    <xf numFmtId="0" fontId="37" fillId="0" borderId="55" xfId="1" applyFont="1" applyBorder="1" applyAlignment="1">
      <alignment horizontal="center" vertical="center"/>
    </xf>
    <xf numFmtId="0" fontId="37" fillId="0" borderId="56" xfId="1" applyFont="1" applyBorder="1" applyAlignment="1">
      <alignment horizontal="center" vertical="center"/>
    </xf>
    <xf numFmtId="0" fontId="35" fillId="0" borderId="55" xfId="0" applyFont="1" applyBorder="1"/>
    <xf numFmtId="0" fontId="35" fillId="0" borderId="56" xfId="0" applyFont="1" applyBorder="1"/>
    <xf numFmtId="0" fontId="49" fillId="0" borderId="25" xfId="1" applyFont="1" applyBorder="1" applyAlignment="1">
      <alignment horizontal="center" vertical="center" wrapText="1"/>
    </xf>
    <xf numFmtId="0" fontId="49" fillId="0" borderId="27" xfId="1" applyFont="1" applyBorder="1" applyAlignment="1">
      <alignment horizontal="center" vertical="center" wrapText="1"/>
    </xf>
    <xf numFmtId="0" fontId="49" fillId="0" borderId="28" xfId="1" applyFont="1" applyBorder="1" applyAlignment="1">
      <alignment horizontal="center" vertical="center" wrapText="1"/>
    </xf>
    <xf numFmtId="0" fontId="39" fillId="0" borderId="54" xfId="1" applyFont="1" applyBorder="1" applyAlignment="1">
      <alignment horizontal="center" vertical="center"/>
    </xf>
    <xf numFmtId="0" fontId="39" fillId="0" borderId="55" xfId="1" applyFont="1" applyBorder="1" applyAlignment="1">
      <alignment horizontal="center" vertical="center"/>
    </xf>
    <xf numFmtId="0" fontId="39" fillId="0" borderId="56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7" fillId="0" borderId="15" xfId="1" applyFont="1" applyBorder="1" applyAlignment="1">
      <alignment horizontal="center" vertical="center"/>
    </xf>
    <xf numFmtId="15" fontId="21" fillId="0" borderId="2" xfId="0" applyNumberFormat="1" applyFont="1" applyBorder="1" applyAlignment="1">
      <alignment horizontal="center" vertical="center"/>
    </xf>
    <xf numFmtId="0" fontId="37" fillId="0" borderId="55" xfId="0" applyFont="1" applyBorder="1"/>
    <xf numFmtId="0" fontId="37" fillId="0" borderId="24" xfId="1" applyFont="1" applyBorder="1" applyAlignment="1">
      <alignment horizontal="center" vertical="center"/>
    </xf>
    <xf numFmtId="0" fontId="37" fillId="0" borderId="30" xfId="1" applyFont="1" applyBorder="1" applyAlignment="1">
      <alignment horizontal="center" vertical="center"/>
    </xf>
    <xf numFmtId="0" fontId="37" fillId="0" borderId="25" xfId="1" applyFont="1" applyBorder="1" applyAlignment="1">
      <alignment horizontal="center" vertical="center"/>
    </xf>
    <xf numFmtId="0" fontId="37" fillId="0" borderId="26" xfId="1" applyFont="1" applyBorder="1" applyAlignment="1">
      <alignment horizontal="center" vertical="center"/>
    </xf>
    <xf numFmtId="0" fontId="37" fillId="0" borderId="27" xfId="1" applyFont="1" applyBorder="1" applyAlignment="1">
      <alignment horizontal="center" vertical="center"/>
    </xf>
    <xf numFmtId="0" fontId="37" fillId="0" borderId="9" xfId="1" applyFont="1" applyBorder="1" applyAlignment="1">
      <alignment horizontal="center" vertical="center"/>
    </xf>
    <xf numFmtId="0" fontId="37" fillId="0" borderId="10" xfId="1" applyFont="1" applyBorder="1" applyAlignment="1">
      <alignment horizontal="center" vertical="center"/>
    </xf>
    <xf numFmtId="0" fontId="37" fillId="0" borderId="28" xfId="1" applyFont="1" applyBorder="1" applyAlignment="1">
      <alignment horizontal="center" vertical="center"/>
    </xf>
    <xf numFmtId="0" fontId="35" fillId="0" borderId="0" xfId="1" applyFont="1" applyAlignment="1">
      <alignment horizontal="left" vertical="center"/>
    </xf>
    <xf numFmtId="0" fontId="33" fillId="0" borderId="10" xfId="1" applyFont="1" applyBorder="1" applyAlignment="1">
      <alignment horizontal="center" vertical="center"/>
    </xf>
    <xf numFmtId="0" fontId="33" fillId="0" borderId="28" xfId="1" applyFont="1" applyBorder="1" applyAlignment="1">
      <alignment horizontal="center" vertical="center"/>
    </xf>
    <xf numFmtId="0" fontId="37" fillId="0" borderId="0" xfId="1" applyFont="1" applyAlignment="1">
      <alignment horizontal="left" vertical="center"/>
    </xf>
    <xf numFmtId="0" fontId="33" fillId="0" borderId="30" xfId="1" applyFont="1" applyBorder="1" applyAlignment="1">
      <alignment horizontal="center" vertical="center"/>
    </xf>
    <xf numFmtId="0" fontId="33" fillId="0" borderId="25" xfId="1" applyFont="1" applyBorder="1" applyAlignment="1">
      <alignment horizontal="center" vertical="center"/>
    </xf>
    <xf numFmtId="0" fontId="34" fillId="0" borderId="54" xfId="1" applyFont="1" applyBorder="1" applyAlignment="1">
      <alignment horizontal="center" vertical="center"/>
    </xf>
    <xf numFmtId="0" fontId="34" fillId="0" borderId="55" xfId="1" applyFont="1" applyBorder="1" applyAlignment="1">
      <alignment horizontal="center" vertical="center"/>
    </xf>
    <xf numFmtId="0" fontId="34" fillId="0" borderId="56" xfId="1" applyFont="1" applyBorder="1" applyAlignment="1">
      <alignment horizontal="center" vertical="center"/>
    </xf>
    <xf numFmtId="0" fontId="39" fillId="0" borderId="9" xfId="1" applyFont="1" applyBorder="1" applyAlignment="1">
      <alignment horizontal="center" vertical="center"/>
    </xf>
    <xf numFmtId="0" fontId="39" fillId="0" borderId="10" xfId="1" applyFont="1" applyBorder="1" applyAlignment="1">
      <alignment horizontal="center" vertical="center"/>
    </xf>
    <xf numFmtId="0" fontId="39" fillId="0" borderId="69" xfId="1" applyFont="1" applyBorder="1" applyAlignment="1">
      <alignment horizontal="center" vertical="center"/>
    </xf>
    <xf numFmtId="0" fontId="51" fillId="0" borderId="5" xfId="1" applyFont="1" applyBorder="1" applyAlignment="1">
      <alignment horizontal="center" vertical="center"/>
    </xf>
    <xf numFmtId="0" fontId="51" fillId="0" borderId="19" xfId="1" applyFont="1" applyBorder="1" applyAlignment="1">
      <alignment horizontal="center" vertical="center"/>
    </xf>
    <xf numFmtId="0" fontId="51" fillId="0" borderId="0" xfId="1" applyFont="1" applyAlignment="1">
      <alignment horizontal="center" vertical="center"/>
    </xf>
    <xf numFmtId="15" fontId="36" fillId="0" borderId="0" xfId="0" applyNumberFormat="1" applyFont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18" fillId="0" borderId="21" xfId="1" applyFont="1" applyBorder="1" applyAlignment="1">
      <alignment horizontal="center" vertical="center" wrapText="1"/>
    </xf>
    <xf numFmtId="0" fontId="18" fillId="0" borderId="23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33" fillId="0" borderId="21" xfId="1" applyFont="1" applyBorder="1" applyAlignment="1">
      <alignment horizontal="center" vertical="center" wrapText="1"/>
    </xf>
    <xf numFmtId="0" fontId="33" fillId="0" borderId="1" xfId="1" applyFont="1" applyBorder="1" applyAlignment="1">
      <alignment horizontal="center" vertical="center" wrapText="1"/>
    </xf>
    <xf numFmtId="0" fontId="33" fillId="0" borderId="21" xfId="1" applyFont="1" applyBorder="1" applyAlignment="1">
      <alignment horizontal="left" vertical="top" wrapText="1"/>
    </xf>
    <xf numFmtId="0" fontId="33" fillId="0" borderId="23" xfId="1" applyFont="1" applyBorder="1" applyAlignment="1">
      <alignment horizontal="left" vertical="top" wrapText="1"/>
    </xf>
    <xf numFmtId="0" fontId="33" fillId="0" borderId="1" xfId="1" applyFont="1" applyBorder="1" applyAlignment="1">
      <alignment horizontal="left" vertical="top" wrapText="1"/>
    </xf>
    <xf numFmtId="0" fontId="33" fillId="0" borderId="23" xfId="1" applyFont="1" applyBorder="1" applyAlignment="1">
      <alignment horizontal="center" vertical="center" wrapText="1"/>
    </xf>
    <xf numFmtId="0" fontId="18" fillId="0" borderId="21" xfId="1" applyFont="1" applyBorder="1" applyAlignment="1">
      <alignment horizontal="left" vertical="top" wrapText="1"/>
    </xf>
    <xf numFmtId="0" fontId="18" fillId="0" borderId="23" xfId="1" applyFont="1" applyBorder="1" applyAlignment="1">
      <alignment horizontal="left" vertical="top" wrapText="1"/>
    </xf>
    <xf numFmtId="0" fontId="18" fillId="0" borderId="1" xfId="1" applyFont="1" applyBorder="1" applyAlignment="1">
      <alignment horizontal="left" vertical="top" wrapText="1"/>
    </xf>
    <xf numFmtId="0" fontId="33" fillId="0" borderId="21" xfId="1" applyFont="1" applyBorder="1" applyAlignment="1">
      <alignment horizontal="center" wrapText="1"/>
    </xf>
    <xf numFmtId="0" fontId="33" fillId="0" borderId="23" xfId="1" applyFont="1" applyBorder="1" applyAlignment="1">
      <alignment horizontal="center" wrapText="1"/>
    </xf>
    <xf numFmtId="0" fontId="33" fillId="0" borderId="1" xfId="1" applyFont="1" applyBorder="1" applyAlignment="1">
      <alignment horizontal="center" wrapText="1"/>
    </xf>
    <xf numFmtId="0" fontId="51" fillId="0" borderId="5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15" fontId="36" fillId="0" borderId="5" xfId="0" applyNumberFormat="1" applyFont="1" applyBorder="1" applyAlignment="1">
      <alignment horizontal="center" vertical="center"/>
    </xf>
    <xf numFmtId="15" fontId="36" fillId="0" borderId="19" xfId="0" applyNumberFormat="1" applyFont="1" applyBorder="1" applyAlignment="1">
      <alignment horizontal="center" vertical="center"/>
    </xf>
    <xf numFmtId="0" fontId="40" fillId="0" borderId="0" xfId="1" applyFont="1" applyAlignment="1">
      <alignment horizontal="center"/>
    </xf>
    <xf numFmtId="0" fontId="33" fillId="0" borderId="21" xfId="1" applyFont="1" applyBorder="1" applyAlignment="1">
      <alignment horizontal="center" vertical="center"/>
    </xf>
    <xf numFmtId="0" fontId="33" fillId="0" borderId="1" xfId="1" applyFont="1" applyBorder="1" applyAlignment="1">
      <alignment horizontal="center" vertical="center"/>
    </xf>
    <xf numFmtId="0" fontId="74" fillId="0" borderId="0" xfId="0" applyFont="1" applyAlignment="1">
      <alignment horizontal="center"/>
    </xf>
    <xf numFmtId="0" fontId="57" fillId="0" borderId="0" xfId="0" applyFont="1" applyAlignment="1">
      <alignment horizontal="left" wrapText="1"/>
    </xf>
    <xf numFmtId="0" fontId="37" fillId="0" borderId="0" xfId="0" applyFont="1" applyAlignment="1">
      <alignment horizontal="center"/>
    </xf>
    <xf numFmtId="0" fontId="39" fillId="0" borderId="2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 wrapText="1"/>
    </xf>
    <xf numFmtId="0" fontId="54" fillId="0" borderId="13" xfId="0" applyFont="1" applyBorder="1" applyAlignment="1">
      <alignment horizontal="center" vertical="center" wrapText="1"/>
    </xf>
    <xf numFmtId="0" fontId="54" fillId="0" borderId="38" xfId="0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0" fontId="54" fillId="0" borderId="20" xfId="0" applyFont="1" applyBorder="1" applyAlignment="1">
      <alignment horizontal="center" vertical="center" wrapText="1"/>
    </xf>
    <xf numFmtId="0" fontId="59" fillId="0" borderId="21" xfId="0" applyFont="1" applyBorder="1" applyAlignment="1">
      <alignment horizontal="center" vertical="center" wrapText="1"/>
    </xf>
    <xf numFmtId="0" fontId="59" fillId="0" borderId="23" xfId="0" applyFont="1" applyBorder="1" applyAlignment="1">
      <alignment horizontal="center" vertical="center" wrapText="1"/>
    </xf>
    <xf numFmtId="0" fontId="59" fillId="0" borderId="20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5" fillId="0" borderId="64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5" fillId="0" borderId="59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66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43" xfId="0" applyFont="1" applyBorder="1" applyAlignment="1">
      <alignment horizontal="center"/>
    </xf>
    <xf numFmtId="0" fontId="35" fillId="0" borderId="22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15" fontId="35" fillId="0" borderId="2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 vertical="center" wrapText="1"/>
    </xf>
    <xf numFmtId="0" fontId="37" fillId="0" borderId="41" xfId="0" applyFont="1" applyBorder="1" applyAlignment="1">
      <alignment horizontal="center"/>
    </xf>
    <xf numFmtId="0" fontId="37" fillId="0" borderId="25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wrapText="1"/>
    </xf>
    <xf numFmtId="0" fontId="90" fillId="0" borderId="0" xfId="0" applyFont="1" applyAlignment="1">
      <alignment horizontal="center"/>
    </xf>
    <xf numFmtId="0" fontId="37" fillId="0" borderId="42" xfId="0" applyFont="1" applyBorder="1" applyAlignment="1">
      <alignment horizontal="center"/>
    </xf>
    <xf numFmtId="0" fontId="37" fillId="0" borderId="43" xfId="0" applyFont="1" applyBorder="1" applyAlignment="1">
      <alignment horizontal="center"/>
    </xf>
    <xf numFmtId="0" fontId="37" fillId="0" borderId="75" xfId="0" applyFont="1" applyBorder="1" applyAlignment="1">
      <alignment horizontal="center"/>
    </xf>
    <xf numFmtId="0" fontId="37" fillId="0" borderId="76" xfId="0" applyFont="1" applyBorder="1" applyAlignment="1">
      <alignment horizontal="center"/>
    </xf>
    <xf numFmtId="0" fontId="35" fillId="0" borderId="42" xfId="0" applyFont="1" applyBorder="1" applyAlignment="1">
      <alignment horizontal="center"/>
    </xf>
    <xf numFmtId="0" fontId="35" fillId="0" borderId="44" xfId="0" applyFont="1" applyBorder="1" applyAlignment="1">
      <alignment horizontal="center" wrapText="1"/>
    </xf>
    <xf numFmtId="0" fontId="35" fillId="0" borderId="22" xfId="0" applyFont="1" applyBorder="1" applyAlignment="1">
      <alignment horizontal="center" wrapText="1"/>
    </xf>
    <xf numFmtId="0" fontId="37" fillId="0" borderId="90" xfId="0" applyFont="1" applyBorder="1" applyAlignment="1">
      <alignment horizontal="center" vertical="center"/>
    </xf>
    <xf numFmtId="0" fontId="37" fillId="0" borderId="89" xfId="0" applyFont="1" applyBorder="1" applyAlignment="1">
      <alignment horizontal="center" vertical="center"/>
    </xf>
    <xf numFmtId="0" fontId="39" fillId="0" borderId="90" xfId="0" applyFont="1" applyBorder="1" applyAlignment="1">
      <alignment horizontal="center" vertical="center"/>
    </xf>
    <xf numFmtId="0" fontId="39" fillId="0" borderId="37" xfId="0" applyFont="1" applyBorder="1" applyAlignment="1">
      <alignment horizontal="center" vertical="center"/>
    </xf>
    <xf numFmtId="0" fontId="39" fillId="0" borderId="89" xfId="0" applyFont="1" applyBorder="1" applyAlignment="1">
      <alignment horizontal="center" vertical="center"/>
    </xf>
    <xf numFmtId="0" fontId="37" fillId="0" borderId="60" xfId="0" applyFont="1" applyBorder="1" applyAlignment="1">
      <alignment horizontal="center" vertical="center"/>
    </xf>
    <xf numFmtId="0" fontId="58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40" fillId="0" borderId="15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9" fontId="33" fillId="0" borderId="30" xfId="0" applyNumberFormat="1" applyFont="1" applyBorder="1" applyAlignment="1">
      <alignment horizontal="center" vertical="center"/>
    </xf>
    <xf numFmtId="9" fontId="33" fillId="0" borderId="10" xfId="0" applyNumberFormat="1" applyFont="1" applyBorder="1" applyAlignment="1">
      <alignment horizontal="center" vertical="center"/>
    </xf>
    <xf numFmtId="9" fontId="33" fillId="0" borderId="25" xfId="0" applyNumberFormat="1" applyFont="1" applyBorder="1" applyAlignment="1">
      <alignment horizontal="center" vertical="center"/>
    </xf>
    <xf numFmtId="9" fontId="33" fillId="0" borderId="28" xfId="0" applyNumberFormat="1" applyFont="1" applyBorder="1" applyAlignment="1">
      <alignment horizontal="center" vertical="center"/>
    </xf>
    <xf numFmtId="0" fontId="55" fillId="0" borderId="0" xfId="0" applyFont="1" applyAlignment="1">
      <alignment horizontal="center" wrapText="1"/>
    </xf>
    <xf numFmtId="0" fontId="36" fillId="0" borderId="7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39" fillId="6" borderId="0" xfId="0" applyFont="1" applyFill="1" applyAlignment="1">
      <alignment horizontal="center" vertical="center"/>
    </xf>
    <xf numFmtId="0" fontId="33" fillId="0" borderId="77" xfId="0" applyFont="1" applyBorder="1" applyAlignment="1">
      <alignment horizontal="center" vertical="top"/>
    </xf>
    <xf numFmtId="0" fontId="33" fillId="0" borderId="23" xfId="0" applyFont="1" applyBorder="1" applyAlignment="1">
      <alignment horizontal="center" vertical="top"/>
    </xf>
    <xf numFmtId="0" fontId="33" fillId="0" borderId="2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/>
    </xf>
    <xf numFmtId="0" fontId="51" fillId="0" borderId="2" xfId="0" applyFont="1" applyBorder="1" applyAlignment="1">
      <alignment horizontal="center" vertical="center"/>
    </xf>
    <xf numFmtId="15" fontId="56" fillId="0" borderId="2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/>
    </xf>
    <xf numFmtId="0" fontId="39" fillId="3" borderId="2" xfId="0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horizontal="center" vertical="center"/>
    </xf>
    <xf numFmtId="0" fontId="49" fillId="3" borderId="8" xfId="0" applyFont="1" applyFill="1" applyBorder="1" applyAlignment="1">
      <alignment horizontal="center" vertical="center"/>
    </xf>
    <xf numFmtId="0" fontId="54" fillId="3" borderId="2" xfId="0" applyFont="1" applyFill="1" applyBorder="1" applyAlignment="1">
      <alignment horizontal="center" vertical="center" wrapText="1"/>
    </xf>
    <xf numFmtId="0" fontId="54" fillId="3" borderId="21" xfId="0" applyFont="1" applyFill="1" applyBorder="1" applyAlignment="1">
      <alignment horizontal="center" vertical="center" wrapText="1"/>
    </xf>
    <xf numFmtId="0" fontId="54" fillId="3" borderId="2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7" fillId="0" borderId="1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92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 wrapText="1"/>
    </xf>
    <xf numFmtId="0" fontId="71" fillId="0" borderId="93" xfId="0" applyFont="1" applyBorder="1" applyAlignment="1">
      <alignment horizontal="center" vertical="center" wrapText="1"/>
    </xf>
    <xf numFmtId="0" fontId="71" fillId="0" borderId="75" xfId="0" applyFont="1" applyBorder="1" applyAlignment="1">
      <alignment horizontal="center" vertical="center"/>
    </xf>
    <xf numFmtId="0" fontId="71" fillId="0" borderId="93" xfId="0" applyFont="1" applyBorder="1" applyAlignment="1">
      <alignment horizontal="center" vertical="center"/>
    </xf>
    <xf numFmtId="0" fontId="71" fillId="0" borderId="63" xfId="0" applyFont="1" applyBorder="1" applyAlignment="1">
      <alignment horizontal="center" vertical="center"/>
    </xf>
    <xf numFmtId="0" fontId="71" fillId="0" borderId="55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/>
    </xf>
    <xf numFmtId="0" fontId="71" fillId="0" borderId="94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5" fillId="0" borderId="0" xfId="0" applyFont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79" fillId="0" borderId="95" xfId="0" applyFont="1" applyBorder="1" applyAlignment="1">
      <alignment horizontal="center" vertical="center" wrapText="1"/>
    </xf>
    <xf numFmtId="0" fontId="79" fillId="0" borderId="96" xfId="0" applyFont="1" applyBorder="1" applyAlignment="1">
      <alignment horizontal="center" vertical="center" wrapText="1"/>
    </xf>
    <xf numFmtId="0" fontId="78" fillId="0" borderId="0" xfId="0" applyFont="1" applyAlignment="1">
      <alignment horizontal="center"/>
    </xf>
    <xf numFmtId="0" fontId="79" fillId="0" borderId="97" xfId="0" applyFont="1" applyBorder="1" applyAlignment="1">
      <alignment horizontal="center" vertical="center" wrapText="1"/>
    </xf>
    <xf numFmtId="0" fontId="80" fillId="0" borderId="103" xfId="0" applyFont="1" applyBorder="1" applyAlignment="1">
      <alignment horizontal="center" vertical="center" wrapText="1"/>
    </xf>
    <xf numFmtId="0" fontId="80" fillId="0" borderId="101" xfId="0" applyFont="1" applyBorder="1" applyAlignment="1">
      <alignment horizontal="center" vertical="center" wrapText="1"/>
    </xf>
    <xf numFmtId="0" fontId="80" fillId="0" borderId="98" xfId="0" applyFont="1" applyBorder="1" applyAlignment="1">
      <alignment horizontal="center" vertical="center" wrapText="1"/>
    </xf>
    <xf numFmtId="0" fontId="80" fillId="0" borderId="104" xfId="0" applyFont="1" applyBorder="1" applyAlignment="1">
      <alignment horizontal="center" vertical="center" wrapText="1"/>
    </xf>
    <xf numFmtId="0" fontId="80" fillId="0" borderId="102" xfId="0" applyFont="1" applyBorder="1" applyAlignment="1">
      <alignment horizontal="center" vertical="center" wrapText="1"/>
    </xf>
    <xf numFmtId="0" fontId="80" fillId="0" borderId="100" xfId="0" applyFont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/>
    </xf>
    <xf numFmtId="0" fontId="81" fillId="0" borderId="103" xfId="0" applyFont="1" applyBorder="1" applyAlignment="1">
      <alignment horizontal="center" vertical="center" wrapText="1"/>
    </xf>
    <xf numFmtId="0" fontId="81" fillId="0" borderId="101" xfId="0" applyFont="1" applyBorder="1" applyAlignment="1">
      <alignment horizontal="center" vertical="center" wrapText="1"/>
    </xf>
    <xf numFmtId="0" fontId="81" fillId="0" borderId="98" xfId="0" applyFont="1" applyBorder="1" applyAlignment="1">
      <alignment horizontal="center" vertical="center" wrapText="1"/>
    </xf>
    <xf numFmtId="0" fontId="81" fillId="0" borderId="104" xfId="0" applyFont="1" applyBorder="1" applyAlignment="1">
      <alignment horizontal="center" vertical="center" wrapText="1"/>
    </xf>
    <xf numFmtId="0" fontId="81" fillId="0" borderId="102" xfId="0" applyFont="1" applyBorder="1" applyAlignment="1">
      <alignment horizontal="center" vertical="center" wrapText="1"/>
    </xf>
    <xf numFmtId="0" fontId="81" fillId="0" borderId="100" xfId="0" applyFont="1" applyBorder="1" applyAlignment="1">
      <alignment horizontal="center" vertical="center" wrapText="1"/>
    </xf>
    <xf numFmtId="0" fontId="25" fillId="0" borderId="103" xfId="0" applyFont="1" applyBorder="1" applyAlignment="1">
      <alignment horizontal="center" vertical="center" wrapText="1"/>
    </xf>
    <xf numFmtId="0" fontId="25" fillId="0" borderId="101" xfId="0" applyFont="1" applyBorder="1" applyAlignment="1">
      <alignment horizontal="center" vertical="center" wrapText="1"/>
    </xf>
    <xf numFmtId="0" fontId="25" fillId="0" borderId="98" xfId="0" applyFont="1" applyBorder="1" applyAlignment="1">
      <alignment horizontal="center" vertical="center" wrapText="1"/>
    </xf>
    <xf numFmtId="0" fontId="25" fillId="0" borderId="104" xfId="0" applyFont="1" applyBorder="1" applyAlignment="1">
      <alignment horizontal="center" vertical="center" wrapText="1"/>
    </xf>
    <xf numFmtId="0" fontId="25" fillId="0" borderId="102" xfId="0" applyFont="1" applyBorder="1" applyAlignment="1">
      <alignment horizontal="center" vertical="center" wrapText="1"/>
    </xf>
    <xf numFmtId="0" fontId="25" fillId="0" borderId="100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justify" vertical="center" wrapText="1"/>
    </xf>
    <xf numFmtId="0" fontId="25" fillId="0" borderId="107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83" fillId="0" borderId="2" xfId="0" applyFont="1" applyBorder="1" applyAlignment="1">
      <alignment horizontal="justify" vertical="center" wrapText="1"/>
    </xf>
    <xf numFmtId="0" fontId="78" fillId="0" borderId="0" xfId="0" applyFont="1" applyAlignment="1">
      <alignment horizontal="center" vertical="center"/>
    </xf>
    <xf numFmtId="0" fontId="78" fillId="0" borderId="107" xfId="0" applyFont="1" applyBorder="1" applyAlignment="1">
      <alignment horizontal="center" vertical="center" wrapText="1"/>
    </xf>
    <xf numFmtId="0" fontId="78" fillId="0" borderId="55" xfId="0" applyFont="1" applyBorder="1" applyAlignment="1">
      <alignment horizontal="center" vertical="center" wrapText="1"/>
    </xf>
    <xf numFmtId="0" fontId="78" fillId="0" borderId="56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 indent="2"/>
    </xf>
    <xf numFmtId="0" fontId="83" fillId="0" borderId="2" xfId="0" applyFont="1" applyBorder="1" applyAlignment="1">
      <alignment horizontal="left" vertical="center" wrapText="1" indent="2"/>
    </xf>
    <xf numFmtId="0" fontId="25" fillId="0" borderId="2" xfId="0" applyFont="1" applyBorder="1" applyAlignment="1">
      <alignment horizontal="left" vertical="center" wrapText="1"/>
    </xf>
    <xf numFmtId="0" fontId="78" fillId="3" borderId="2" xfId="0" applyFont="1" applyFill="1" applyBorder="1" applyAlignment="1">
      <alignment horizontal="center" vertical="center"/>
    </xf>
    <xf numFmtId="0" fontId="78" fillId="3" borderId="14" xfId="0" applyFont="1" applyFill="1" applyBorder="1" applyAlignment="1">
      <alignment horizontal="center" vertical="center"/>
    </xf>
    <xf numFmtId="0" fontId="78" fillId="3" borderId="18" xfId="0" applyFont="1" applyFill="1" applyBorder="1" applyAlignment="1">
      <alignment horizontal="center" vertical="center"/>
    </xf>
    <xf numFmtId="0" fontId="78" fillId="3" borderId="13" xfId="0" applyFont="1" applyFill="1" applyBorder="1" applyAlignment="1">
      <alignment horizontal="center" vertical="center"/>
    </xf>
    <xf numFmtId="0" fontId="78" fillId="3" borderId="15" xfId="0" applyFont="1" applyFill="1" applyBorder="1" applyAlignment="1">
      <alignment horizontal="center" vertical="center"/>
    </xf>
    <xf numFmtId="0" fontId="78" fillId="3" borderId="16" xfId="0" applyFont="1" applyFill="1" applyBorder="1" applyAlignment="1">
      <alignment horizontal="center" vertical="center"/>
    </xf>
    <xf numFmtId="0" fontId="78" fillId="3" borderId="17" xfId="0" applyFont="1" applyFill="1" applyBorder="1" applyAlignment="1">
      <alignment horizontal="center" vertical="center"/>
    </xf>
    <xf numFmtId="0" fontId="78" fillId="0" borderId="0" xfId="0" applyFont="1" applyAlignment="1">
      <alignment horizontal="left" vertical="center"/>
    </xf>
    <xf numFmtId="0" fontId="78" fillId="0" borderId="0" xfId="0" applyFont="1" applyAlignment="1">
      <alignment horizontal="left"/>
    </xf>
    <xf numFmtId="0" fontId="33" fillId="0" borderId="0" xfId="0" applyFont="1" applyBorder="1" applyAlignment="1">
      <alignment horizontal="center"/>
    </xf>
    <xf numFmtId="0" fontId="37" fillId="0" borderId="0" xfId="0" applyFont="1" applyBorder="1"/>
    <xf numFmtId="0" fontId="43" fillId="0" borderId="0" xfId="0" applyFont="1" applyBorder="1" applyAlignment="1">
      <alignment horizontal="center"/>
    </xf>
    <xf numFmtId="0" fontId="68" fillId="0" borderId="0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/>
    </xf>
    <xf numFmtId="0" fontId="0" fillId="0" borderId="0" xfId="0" applyBorder="1"/>
    <xf numFmtId="0" fontId="40" fillId="0" borderId="0" xfId="0" applyFont="1" applyBorder="1" applyAlignment="1">
      <alignment horizontal="center"/>
    </xf>
    <xf numFmtId="0" fontId="40" fillId="0" borderId="0" xfId="0" applyFont="1" applyBorder="1"/>
    <xf numFmtId="0" fontId="33" fillId="0" borderId="0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1" fontId="40" fillId="0" borderId="0" xfId="0" applyNumberFormat="1" applyFont="1" applyBorder="1" applyAlignment="1">
      <alignment horizontal="left"/>
    </xf>
    <xf numFmtId="0" fontId="40" fillId="0" borderId="0" xfId="0" applyFont="1" applyBorder="1" applyAlignment="1">
      <alignment vertical="center"/>
    </xf>
    <xf numFmtId="0" fontId="33" fillId="0" borderId="0" xfId="0" applyFont="1" applyBorder="1"/>
    <xf numFmtId="1" fontId="40" fillId="0" borderId="27" xfId="0" applyNumberFormat="1" applyFont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40" fillId="0" borderId="0" xfId="0" applyFont="1" applyBorder="1" applyAlignment="1">
      <alignment horizontal="left"/>
    </xf>
    <xf numFmtId="12" fontId="40" fillId="0" borderId="0" xfId="0" applyNumberFormat="1" applyFont="1" applyBorder="1" applyAlignment="1">
      <alignment horizontal="left"/>
    </xf>
    <xf numFmtId="1" fontId="40" fillId="0" borderId="27" xfId="0" applyNumberFormat="1" applyFont="1" applyBorder="1"/>
    <xf numFmtId="0" fontId="70" fillId="0" borderId="0" xfId="0" applyFont="1" applyBorder="1" applyAlignment="1">
      <alignment horizontal="center"/>
    </xf>
    <xf numFmtId="0" fontId="70" fillId="0" borderId="27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96" fillId="0" borderId="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</cellXfs>
  <cellStyles count="16">
    <cellStyle name="Currency [0] 2" xfId="9" xr:uid="{00000000-0005-0000-0000-000000000000}"/>
    <cellStyle name="Currency [0] 2 2" xfId="13" xr:uid="{00000000-0005-0000-0000-000001000000}"/>
    <cellStyle name="Currency [0] 2 3" xfId="15" xr:uid="{00000000-0005-0000-0000-000002000000}"/>
    <cellStyle name="Currency [0] 2 4" xfId="11" xr:uid="{00000000-0005-0000-0000-000003000000}"/>
    <cellStyle name="Normal" xfId="0" builtinId="0"/>
    <cellStyle name="Normal 2" xfId="1" xr:uid="{00000000-0005-0000-0000-000005000000}"/>
    <cellStyle name="Normal 2 2" xfId="12" xr:uid="{00000000-0005-0000-0000-000006000000}"/>
    <cellStyle name="Normal 2 3" xfId="14" xr:uid="{00000000-0005-0000-0000-000007000000}"/>
    <cellStyle name="Normal 2 4" xfId="10" xr:uid="{00000000-0005-0000-0000-000008000000}"/>
    <cellStyle name="Normal 2 5" xfId="2" xr:uid="{00000000-0005-0000-0000-000009000000}"/>
    <cellStyle name="Normal 2 6" xfId="3" xr:uid="{00000000-0005-0000-0000-00000A000000}"/>
    <cellStyle name="Normal 2_SISWA BARU 1011 2" xfId="4" xr:uid="{00000000-0005-0000-0000-00000B000000}"/>
    <cellStyle name="Normal 3" xfId="5" xr:uid="{00000000-0005-0000-0000-00000C000000}"/>
    <cellStyle name="Normal 4" xfId="6" xr:uid="{00000000-0005-0000-0000-00000D000000}"/>
    <cellStyle name="Normal 5" xfId="7" xr:uid="{00000000-0005-0000-0000-00000E000000}"/>
    <cellStyle name="Normal 6" xfId="8" xr:uid="{00000000-0005-0000-0000-00000F000000}"/>
  </cellStyles>
  <dxfs count="0"/>
  <tableStyles count="0" defaultTableStyle="TableStyleMedium9" defaultPivotStyle="PivotStyleLight16"/>
  <colors>
    <mruColors>
      <color rgb="FFFF9933"/>
      <color rgb="FF33CC33"/>
      <color rgb="FFFF3399"/>
      <color rgb="FFFF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10</xdr:row>
      <xdr:rowOff>161927</xdr:rowOff>
    </xdr:from>
    <xdr:to>
      <xdr:col>9</xdr:col>
      <xdr:colOff>327024</xdr:colOff>
      <xdr:row>22</xdr:row>
      <xdr:rowOff>63500</xdr:rowOff>
    </xdr:to>
    <xdr:pic>
      <xdr:nvPicPr>
        <xdr:cNvPr id="3" name="Picture 1" descr="tut-wuri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9850" y="2460627"/>
          <a:ext cx="2365374" cy="2193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344366</xdr:colOff>
      <xdr:row>23</xdr:row>
      <xdr:rowOff>114300</xdr:rowOff>
    </xdr:from>
    <xdr:to>
      <xdr:col>5</xdr:col>
      <xdr:colOff>344366</xdr:colOff>
      <xdr:row>32</xdr:row>
      <xdr:rowOff>13190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2173166" y="4543425"/>
          <a:ext cx="352425" cy="1613390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344366</xdr:colOff>
      <xdr:row>19</xdr:row>
      <xdr:rowOff>104775</xdr:rowOff>
    </xdr:from>
    <xdr:to>
      <xdr:col>7</xdr:col>
      <xdr:colOff>0</xdr:colOff>
      <xdr:row>32</xdr:row>
      <xdr:rowOff>3664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2525591" y="3771900"/>
          <a:ext cx="360484" cy="2375389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180976</xdr:colOff>
      <xdr:row>14</xdr:row>
      <xdr:rowOff>76201</xdr:rowOff>
    </xdr:from>
    <xdr:to>
      <xdr:col>1</xdr:col>
      <xdr:colOff>428625</xdr:colOff>
      <xdr:row>26</xdr:row>
      <xdr:rowOff>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1C00-000031000000}"/>
            </a:ext>
          </a:extLst>
        </xdr:cNvPr>
        <xdr:cNvSpPr/>
      </xdr:nvSpPr>
      <xdr:spPr>
        <a:xfrm>
          <a:off x="733426" y="2790826"/>
          <a:ext cx="247649" cy="2209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Prosentase</a:t>
          </a:r>
        </a:p>
      </xdr:txBody>
    </xdr:sp>
    <xdr:clientData/>
  </xdr:twoCellAnchor>
  <xdr:twoCellAnchor>
    <xdr:from>
      <xdr:col>2</xdr:col>
      <xdr:colOff>342900</xdr:colOff>
      <xdr:row>32</xdr:row>
      <xdr:rowOff>3969</xdr:rowOff>
    </xdr:from>
    <xdr:to>
      <xdr:col>16</xdr:col>
      <xdr:colOff>9525</xdr:colOff>
      <xdr:row>32</xdr:row>
      <xdr:rowOff>9525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1C00-000032000000}"/>
            </a:ext>
          </a:extLst>
        </xdr:cNvPr>
        <xdr:cNvCxnSpPr/>
      </xdr:nvCxnSpPr>
      <xdr:spPr>
        <a:xfrm>
          <a:off x="1466850" y="6147594"/>
          <a:ext cx="4619625" cy="5556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180976</xdr:colOff>
      <xdr:row>14</xdr:row>
      <xdr:rowOff>76201</xdr:rowOff>
    </xdr:from>
    <xdr:to>
      <xdr:col>1</xdr:col>
      <xdr:colOff>428625</xdr:colOff>
      <xdr:row>26</xdr:row>
      <xdr:rowOff>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1C00-000033000000}"/>
            </a:ext>
          </a:extLst>
        </xdr:cNvPr>
        <xdr:cNvSpPr/>
      </xdr:nvSpPr>
      <xdr:spPr>
        <a:xfrm>
          <a:off x="733426" y="2790826"/>
          <a:ext cx="247649" cy="2209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Prosentase</a:t>
          </a:r>
        </a:p>
      </xdr:txBody>
    </xdr:sp>
    <xdr:clientData/>
  </xdr:twoCellAnchor>
  <xdr:twoCellAnchor>
    <xdr:from>
      <xdr:col>2</xdr:col>
      <xdr:colOff>342900</xdr:colOff>
      <xdr:row>32</xdr:row>
      <xdr:rowOff>3969</xdr:rowOff>
    </xdr:from>
    <xdr:to>
      <xdr:col>16</xdr:col>
      <xdr:colOff>9525</xdr:colOff>
      <xdr:row>32</xdr:row>
      <xdr:rowOff>9525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1C00-000034000000}"/>
            </a:ext>
          </a:extLst>
        </xdr:cNvPr>
        <xdr:cNvCxnSpPr/>
      </xdr:nvCxnSpPr>
      <xdr:spPr>
        <a:xfrm>
          <a:off x="1466850" y="6147594"/>
          <a:ext cx="4619625" cy="555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7327</xdr:colOff>
      <xdr:row>26</xdr:row>
      <xdr:rowOff>161926</xdr:rowOff>
    </xdr:from>
    <xdr:to>
      <xdr:col>4</xdr:col>
      <xdr:colOff>337038</xdr:colOff>
      <xdr:row>32</xdr:row>
      <xdr:rowOff>9526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1C00-000035000000}"/>
            </a:ext>
          </a:extLst>
        </xdr:cNvPr>
        <xdr:cNvSpPr/>
      </xdr:nvSpPr>
      <xdr:spPr>
        <a:xfrm>
          <a:off x="1836127" y="5162551"/>
          <a:ext cx="329711" cy="990600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endParaRPr lang="en-US" sz="800">
            <a:solidFill>
              <a:sysClr val="windowText" lastClr="000000"/>
            </a:solidFill>
            <a:latin typeface="Bodoni MT Condensed" pitchFamily="18" charset="0"/>
          </a:endParaRPr>
        </a:p>
      </xdr:txBody>
    </xdr:sp>
    <xdr:clientData/>
  </xdr:twoCellAnchor>
  <xdr:twoCellAnchor>
    <xdr:from>
      <xdr:col>7</xdr:col>
      <xdr:colOff>5129</xdr:colOff>
      <xdr:row>18</xdr:row>
      <xdr:rowOff>47625</xdr:rowOff>
    </xdr:from>
    <xdr:to>
      <xdr:col>7</xdr:col>
      <xdr:colOff>342900</xdr:colOff>
      <xdr:row>31</xdr:row>
      <xdr:rowOff>186836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1C00-000036000000}"/>
            </a:ext>
          </a:extLst>
        </xdr:cNvPr>
        <xdr:cNvSpPr/>
      </xdr:nvSpPr>
      <xdr:spPr>
        <a:xfrm>
          <a:off x="2891204" y="3524250"/>
          <a:ext cx="337771" cy="2615711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20515</xdr:colOff>
      <xdr:row>18</xdr:row>
      <xdr:rowOff>47625</xdr:rowOff>
    </xdr:from>
    <xdr:to>
      <xdr:col>10</xdr:col>
      <xdr:colOff>13189</xdr:colOff>
      <xdr:row>32</xdr:row>
      <xdr:rowOff>13188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1C00-000037000000}"/>
            </a:ext>
          </a:extLst>
        </xdr:cNvPr>
        <xdr:cNvSpPr/>
      </xdr:nvSpPr>
      <xdr:spPr>
        <a:xfrm>
          <a:off x="3611440" y="3524250"/>
          <a:ext cx="335574" cy="2632563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9525</xdr:colOff>
      <xdr:row>18</xdr:row>
      <xdr:rowOff>47625</xdr:rowOff>
    </xdr:from>
    <xdr:to>
      <xdr:col>8</xdr:col>
      <xdr:colOff>346563</xdr:colOff>
      <xdr:row>32</xdr:row>
      <xdr:rowOff>5861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1C00-000038000000}"/>
            </a:ext>
          </a:extLst>
        </xdr:cNvPr>
        <xdr:cNvSpPr/>
      </xdr:nvSpPr>
      <xdr:spPr>
        <a:xfrm>
          <a:off x="3248025" y="3524250"/>
          <a:ext cx="337038" cy="2625236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30040</xdr:colOff>
      <xdr:row>18</xdr:row>
      <xdr:rowOff>47626</xdr:rowOff>
    </xdr:from>
    <xdr:to>
      <xdr:col>10</xdr:col>
      <xdr:colOff>382465</xdr:colOff>
      <xdr:row>32</xdr:row>
      <xdr:rowOff>5862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1C00-000039000000}"/>
            </a:ext>
          </a:extLst>
        </xdr:cNvPr>
        <xdr:cNvSpPr/>
      </xdr:nvSpPr>
      <xdr:spPr>
        <a:xfrm>
          <a:off x="3963865" y="3524251"/>
          <a:ext cx="314325" cy="2625236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0</xdr:colOff>
      <xdr:row>16</xdr:row>
      <xdr:rowOff>47625</xdr:rowOff>
    </xdr:from>
    <xdr:to>
      <xdr:col>12</xdr:col>
      <xdr:colOff>0</xdr:colOff>
      <xdr:row>32</xdr:row>
      <xdr:rowOff>5860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1C00-00003A000000}"/>
            </a:ext>
          </a:extLst>
        </xdr:cNvPr>
        <xdr:cNvSpPr/>
      </xdr:nvSpPr>
      <xdr:spPr>
        <a:xfrm>
          <a:off x="4276725" y="3143250"/>
          <a:ext cx="390525" cy="3006235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13</xdr:row>
      <xdr:rowOff>57150</xdr:rowOff>
    </xdr:from>
    <xdr:to>
      <xdr:col>13</xdr:col>
      <xdr:colOff>0</xdr:colOff>
      <xdr:row>32</xdr:row>
      <xdr:rowOff>5861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1C00-00003B000000}"/>
            </a:ext>
          </a:extLst>
        </xdr:cNvPr>
        <xdr:cNvSpPr/>
      </xdr:nvSpPr>
      <xdr:spPr>
        <a:xfrm>
          <a:off x="4667250" y="2581275"/>
          <a:ext cx="352425" cy="3568211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0</xdr:colOff>
      <xdr:row>32</xdr:row>
      <xdr:rowOff>5862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1C00-00003C000000}"/>
            </a:ext>
          </a:extLst>
        </xdr:cNvPr>
        <xdr:cNvSpPr/>
      </xdr:nvSpPr>
      <xdr:spPr>
        <a:xfrm>
          <a:off x="5019675" y="2333625"/>
          <a:ext cx="352425" cy="3815862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15</xdr:col>
      <xdr:colOff>0</xdr:colOff>
      <xdr:row>32</xdr:row>
      <xdr:rowOff>5862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1C00-00003D000000}"/>
            </a:ext>
          </a:extLst>
        </xdr:cNvPr>
        <xdr:cNvSpPr/>
      </xdr:nvSpPr>
      <xdr:spPr>
        <a:xfrm>
          <a:off x="5372100" y="2333625"/>
          <a:ext cx="352425" cy="3815862"/>
        </a:xfrm>
        <a:prstGeom prst="rect">
          <a:avLst/>
        </a:prstGeom>
        <a:solidFill>
          <a:schemeClr val="bg1">
            <a:lumMod val="7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323850</xdr:colOff>
      <xdr:row>11</xdr:row>
      <xdr:rowOff>95250</xdr:rowOff>
    </xdr:from>
    <xdr:to>
      <xdr:col>2</xdr:col>
      <xdr:colOff>342900</xdr:colOff>
      <xdr:row>32</xdr:row>
      <xdr:rowOff>38102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1C00-00003E000000}"/>
            </a:ext>
          </a:extLst>
        </xdr:cNvPr>
        <xdr:cNvCxnSpPr/>
      </xdr:nvCxnSpPr>
      <xdr:spPr>
        <a:xfrm flipH="1" flipV="1">
          <a:off x="1447800" y="2238375"/>
          <a:ext cx="19050" cy="394335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30</xdr:row>
      <xdr:rowOff>161925</xdr:rowOff>
    </xdr:from>
    <xdr:to>
      <xdr:col>3</xdr:col>
      <xdr:colOff>348761</xdr:colOff>
      <xdr:row>32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1C00-00005E000000}"/>
            </a:ext>
          </a:extLst>
        </xdr:cNvPr>
        <xdr:cNvSpPr/>
      </xdr:nvSpPr>
      <xdr:spPr>
        <a:xfrm>
          <a:off x="1495425" y="5924550"/>
          <a:ext cx="329711" cy="219075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endParaRPr lang="en-US" sz="800">
            <a:solidFill>
              <a:sysClr val="windowText" lastClr="000000"/>
            </a:solidFill>
            <a:latin typeface="Bodoni MT Condensed" pitchFamily="18" charset="0"/>
          </a:endParaRPr>
        </a:p>
      </xdr:txBody>
    </xdr:sp>
    <xdr:clientData/>
  </xdr:twoCellAnchor>
  <xdr:twoCellAnchor>
    <xdr:from>
      <xdr:col>4</xdr:col>
      <xdr:colOff>9525</xdr:colOff>
      <xdr:row>26</xdr:row>
      <xdr:rowOff>57150</xdr:rowOff>
    </xdr:from>
    <xdr:to>
      <xdr:col>4</xdr:col>
      <xdr:colOff>333375</xdr:colOff>
      <xdr:row>26</xdr:row>
      <xdr:rowOff>57150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1C00-00005F000000}"/>
            </a:ext>
          </a:extLst>
        </xdr:cNvPr>
        <xdr:cNvCxnSpPr/>
      </xdr:nvCxnSpPr>
      <xdr:spPr>
        <a:xfrm>
          <a:off x="1838325" y="5057775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20516</xdr:colOff>
      <xdr:row>24</xdr:row>
      <xdr:rowOff>38100</xdr:rowOff>
    </xdr:from>
    <xdr:to>
      <xdr:col>5</xdr:col>
      <xdr:colOff>344366</xdr:colOff>
      <xdr:row>24</xdr:row>
      <xdr:rowOff>38100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1C00-000060000000}"/>
            </a:ext>
          </a:extLst>
        </xdr:cNvPr>
        <xdr:cNvCxnSpPr/>
      </xdr:nvCxnSpPr>
      <xdr:spPr>
        <a:xfrm>
          <a:off x="2201741" y="4657725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19</xdr:row>
      <xdr:rowOff>9525</xdr:rowOff>
    </xdr:from>
    <xdr:to>
      <xdr:col>7</xdr:col>
      <xdr:colOff>0</xdr:colOff>
      <xdr:row>19</xdr:row>
      <xdr:rowOff>9525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1C00-000061000000}"/>
            </a:ext>
          </a:extLst>
        </xdr:cNvPr>
        <xdr:cNvCxnSpPr/>
      </xdr:nvCxnSpPr>
      <xdr:spPr>
        <a:xfrm>
          <a:off x="2562225" y="3676650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17</xdr:row>
      <xdr:rowOff>142875</xdr:rowOff>
    </xdr:from>
    <xdr:to>
      <xdr:col>7</xdr:col>
      <xdr:colOff>342900</xdr:colOff>
      <xdr:row>17</xdr:row>
      <xdr:rowOff>142875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1C00-000062000000}"/>
            </a:ext>
          </a:extLst>
        </xdr:cNvPr>
        <xdr:cNvCxnSpPr/>
      </xdr:nvCxnSpPr>
      <xdr:spPr>
        <a:xfrm>
          <a:off x="2905125" y="3429000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323850</xdr:colOff>
      <xdr:row>17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1C00-000063000000}"/>
            </a:ext>
          </a:extLst>
        </xdr:cNvPr>
        <xdr:cNvCxnSpPr/>
      </xdr:nvCxnSpPr>
      <xdr:spPr>
        <a:xfrm>
          <a:off x="3238500" y="3286125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133350</xdr:rowOff>
    </xdr:from>
    <xdr:to>
      <xdr:col>9</xdr:col>
      <xdr:colOff>333375</xdr:colOff>
      <xdr:row>16</xdr:row>
      <xdr:rowOff>133350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1C00-000064000000}"/>
            </a:ext>
          </a:extLst>
        </xdr:cNvPr>
        <xdr:cNvCxnSpPr/>
      </xdr:nvCxnSpPr>
      <xdr:spPr>
        <a:xfrm>
          <a:off x="3600450" y="3228975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16</xdr:row>
      <xdr:rowOff>66675</xdr:rowOff>
    </xdr:from>
    <xdr:to>
      <xdr:col>10</xdr:col>
      <xdr:colOff>333375</xdr:colOff>
      <xdr:row>16</xdr:row>
      <xdr:rowOff>66675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1C00-000065000000}"/>
            </a:ext>
          </a:extLst>
        </xdr:cNvPr>
        <xdr:cNvCxnSpPr/>
      </xdr:nvCxnSpPr>
      <xdr:spPr>
        <a:xfrm>
          <a:off x="3952875" y="3162300"/>
          <a:ext cx="314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15</xdr:row>
      <xdr:rowOff>142875</xdr:rowOff>
    </xdr:from>
    <xdr:to>
      <xdr:col>11</xdr:col>
      <xdr:colOff>361950</xdr:colOff>
      <xdr:row>15</xdr:row>
      <xdr:rowOff>142875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1C00-000066000000}"/>
            </a:ext>
          </a:extLst>
        </xdr:cNvPr>
        <xdr:cNvCxnSpPr/>
      </xdr:nvCxnSpPr>
      <xdr:spPr>
        <a:xfrm>
          <a:off x="4314825" y="3048000"/>
          <a:ext cx="32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24</xdr:row>
      <xdr:rowOff>38100</xdr:rowOff>
    </xdr:from>
    <xdr:to>
      <xdr:col>5</xdr:col>
      <xdr:colOff>161925</xdr:colOff>
      <xdr:row>26</xdr:row>
      <xdr:rowOff>66676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1C00-000067000000}"/>
            </a:ext>
          </a:extLst>
        </xdr:cNvPr>
        <xdr:cNvCxnSpPr/>
      </xdr:nvCxnSpPr>
      <xdr:spPr>
        <a:xfrm flipV="1">
          <a:off x="2000250" y="4657725"/>
          <a:ext cx="342900" cy="4095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19</xdr:row>
      <xdr:rowOff>9525</xdr:rowOff>
    </xdr:from>
    <xdr:to>
      <xdr:col>6</xdr:col>
      <xdr:colOff>209550</xdr:colOff>
      <xdr:row>24</xdr:row>
      <xdr:rowOff>76202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1C00-000068000000}"/>
            </a:ext>
          </a:extLst>
        </xdr:cNvPr>
        <xdr:cNvCxnSpPr/>
      </xdr:nvCxnSpPr>
      <xdr:spPr>
        <a:xfrm flipV="1">
          <a:off x="2343150" y="3676650"/>
          <a:ext cx="400050" cy="10191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17</xdr:row>
      <xdr:rowOff>152400</xdr:rowOff>
    </xdr:from>
    <xdr:to>
      <xdr:col>7</xdr:col>
      <xdr:colOff>209550</xdr:colOff>
      <xdr:row>19</xdr:row>
      <xdr:rowOff>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1C00-000069000000}"/>
            </a:ext>
          </a:extLst>
        </xdr:cNvPr>
        <xdr:cNvCxnSpPr/>
      </xdr:nvCxnSpPr>
      <xdr:spPr>
        <a:xfrm flipV="1">
          <a:off x="2781300" y="3438525"/>
          <a:ext cx="314325" cy="228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Technic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CCAF0A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00C8C3"/>
      </a:hlink>
      <a:folHlink>
        <a:srgbClr val="A116E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S42"/>
  <sheetViews>
    <sheetView zoomScaleNormal="100" workbookViewId="0">
      <selection activeCell="M6" sqref="M6"/>
    </sheetView>
  </sheetViews>
  <sheetFormatPr defaultColWidth="9.1796875" defaultRowHeight="15" x14ac:dyDescent="0.3"/>
  <cols>
    <col min="1" max="1" width="6.08984375" style="201" customWidth="1"/>
    <col min="2" max="2" width="2" style="201" customWidth="1"/>
    <col min="3" max="3" width="10.7265625" style="201" customWidth="1"/>
    <col min="4" max="4" width="7.1796875" style="201" customWidth="1"/>
    <col min="5" max="5" width="4.7265625" style="201" customWidth="1"/>
    <col min="6" max="6" width="12.1796875" style="201" customWidth="1"/>
    <col min="7" max="7" width="2.54296875" style="201" customWidth="1"/>
    <col min="8" max="8" width="1.81640625" style="201" customWidth="1"/>
    <col min="9" max="11" width="9.1796875" style="201"/>
    <col min="12" max="12" width="10.7265625" style="201" customWidth="1"/>
    <col min="13" max="16384" width="9.1796875" style="201"/>
  </cols>
  <sheetData>
    <row r="1" spans="3:12" x14ac:dyDescent="0.3">
      <c r="L1" s="274"/>
    </row>
    <row r="2" spans="3:12" ht="6" customHeight="1" thickBot="1" x14ac:dyDescent="0.35">
      <c r="L2" s="275"/>
    </row>
    <row r="3" spans="3:12" ht="15.75" customHeight="1" x14ac:dyDescent="0.3">
      <c r="C3" s="276"/>
      <c r="D3" s="517"/>
      <c r="E3" s="517"/>
      <c r="F3" s="517"/>
      <c r="G3" s="517"/>
      <c r="H3" s="517"/>
      <c r="I3" s="517"/>
      <c r="J3" s="517"/>
      <c r="K3" s="517"/>
      <c r="L3" s="277"/>
    </row>
    <row r="4" spans="3:12" ht="15.75" customHeight="1" x14ac:dyDescent="0.3">
      <c r="C4" s="278"/>
      <c r="D4" s="1003"/>
      <c r="E4" s="1003"/>
      <c r="F4" s="1003"/>
      <c r="G4" s="1003"/>
      <c r="H4" s="1003"/>
      <c r="I4" s="1003"/>
      <c r="J4" s="1003"/>
      <c r="K4" s="1003"/>
      <c r="L4" s="279"/>
    </row>
    <row r="5" spans="3:12" x14ac:dyDescent="0.3">
      <c r="C5" s="278"/>
      <c r="D5" s="1004"/>
      <c r="E5" s="1004"/>
      <c r="F5" s="1004"/>
      <c r="G5" s="1004"/>
      <c r="H5" s="1004"/>
      <c r="I5" s="1004"/>
      <c r="J5" s="1004"/>
      <c r="K5" s="1004"/>
      <c r="L5" s="279"/>
    </row>
    <row r="6" spans="3:12" ht="22.5" x14ac:dyDescent="0.45">
      <c r="C6" s="526" t="s">
        <v>386</v>
      </c>
      <c r="D6" s="1005"/>
      <c r="E6" s="1005"/>
      <c r="F6" s="1005"/>
      <c r="G6" s="1005"/>
      <c r="H6" s="1005"/>
      <c r="I6" s="1005"/>
      <c r="J6" s="1005"/>
      <c r="K6" s="1005"/>
      <c r="L6" s="527"/>
    </row>
    <row r="7" spans="3:12" ht="27.5" x14ac:dyDescent="0.3">
      <c r="C7" s="518" t="s">
        <v>39</v>
      </c>
      <c r="D7" s="1006"/>
      <c r="E7" s="1006"/>
      <c r="F7" s="1006"/>
      <c r="G7" s="1006"/>
      <c r="H7" s="1006"/>
      <c r="I7" s="1006"/>
      <c r="J7" s="1006"/>
      <c r="K7" s="1006"/>
      <c r="L7" s="519"/>
    </row>
    <row r="8" spans="3:12" ht="34.5" x14ac:dyDescent="0.3">
      <c r="C8" s="524" t="s">
        <v>143</v>
      </c>
      <c r="D8" s="1007"/>
      <c r="E8" s="1007"/>
      <c r="F8" s="1007"/>
      <c r="G8" s="1007"/>
      <c r="H8" s="1007"/>
      <c r="I8" s="1007"/>
      <c r="J8" s="1007"/>
      <c r="K8" s="1007"/>
      <c r="L8" s="525"/>
    </row>
    <row r="9" spans="3:12" x14ac:dyDescent="0.3">
      <c r="C9" s="278"/>
      <c r="D9" s="1004"/>
      <c r="E9" s="1004"/>
      <c r="F9" s="1004"/>
      <c r="G9" s="1004"/>
      <c r="H9" s="1004"/>
      <c r="I9" s="1004"/>
      <c r="J9" s="1004"/>
      <c r="K9" s="1004"/>
      <c r="L9" s="279"/>
    </row>
    <row r="10" spans="3:12" x14ac:dyDescent="0.3">
      <c r="C10" s="278"/>
      <c r="D10" s="1004"/>
      <c r="E10" s="1004"/>
      <c r="F10" s="1008"/>
      <c r="G10" s="1004"/>
      <c r="H10" s="1004"/>
      <c r="I10" s="1004"/>
      <c r="J10" s="1004"/>
      <c r="K10" s="1004"/>
      <c r="L10" s="279"/>
    </row>
    <row r="11" spans="3:12" x14ac:dyDescent="0.3">
      <c r="C11" s="278"/>
      <c r="D11" s="1004"/>
      <c r="E11" s="1004"/>
      <c r="F11" s="1008"/>
      <c r="G11" s="1004"/>
      <c r="H11" s="1004"/>
      <c r="I11" s="1004"/>
      <c r="J11" s="1004"/>
      <c r="K11" s="1004"/>
      <c r="L11" s="279"/>
    </row>
    <row r="12" spans="3:12" ht="15.5" x14ac:dyDescent="0.35">
      <c r="C12" s="278"/>
      <c r="D12" s="1004"/>
      <c r="E12" s="1004"/>
      <c r="F12" s="1008"/>
      <c r="G12" s="1004"/>
      <c r="H12" s="1004"/>
      <c r="I12" s="1004"/>
      <c r="J12" s="1009"/>
      <c r="K12" s="1004"/>
      <c r="L12" s="279"/>
    </row>
    <row r="13" spans="3:12" x14ac:dyDescent="0.3">
      <c r="C13" s="278"/>
      <c r="D13" s="1004"/>
      <c r="E13" s="1004"/>
      <c r="F13" s="1008"/>
      <c r="G13" s="1004"/>
      <c r="H13" s="1004"/>
      <c r="I13" s="1004"/>
      <c r="J13" s="1004"/>
      <c r="K13" s="1004"/>
      <c r="L13" s="279"/>
    </row>
    <row r="14" spans="3:12" x14ac:dyDescent="0.3">
      <c r="C14" s="278"/>
      <c r="D14" s="1004"/>
      <c r="E14" s="1004"/>
      <c r="F14" s="1008"/>
      <c r="G14" s="1004"/>
      <c r="H14" s="1004"/>
      <c r="I14" s="1004"/>
      <c r="J14" s="1004"/>
      <c r="K14" s="1004"/>
      <c r="L14" s="279"/>
    </row>
    <row r="15" spans="3:12" x14ac:dyDescent="0.3">
      <c r="C15" s="278"/>
      <c r="D15" s="1004"/>
      <c r="E15" s="1004"/>
      <c r="F15" s="1008"/>
      <c r="G15" s="1004"/>
      <c r="H15" s="1004"/>
      <c r="I15" s="1004"/>
      <c r="J15" s="1004"/>
      <c r="K15" s="1004"/>
      <c r="L15" s="279"/>
    </row>
    <row r="16" spans="3:12" x14ac:dyDescent="0.3">
      <c r="C16" s="278"/>
      <c r="D16" s="1004"/>
      <c r="E16" s="1004"/>
      <c r="F16" s="1004"/>
      <c r="G16" s="1004"/>
      <c r="H16" s="1004"/>
      <c r="I16" s="1004"/>
      <c r="J16" s="1004"/>
      <c r="K16" s="1004"/>
      <c r="L16" s="279"/>
    </row>
    <row r="17" spans="3:16" x14ac:dyDescent="0.3">
      <c r="C17" s="278"/>
      <c r="D17" s="1004"/>
      <c r="E17" s="1004"/>
      <c r="F17" s="1004"/>
      <c r="G17" s="1004"/>
      <c r="H17" s="1004"/>
      <c r="I17" s="1004"/>
      <c r="J17" s="1004"/>
      <c r="K17" s="1004"/>
      <c r="L17" s="279"/>
    </row>
    <row r="18" spans="3:16" x14ac:dyDescent="0.3">
      <c r="C18" s="278"/>
      <c r="D18" s="1004"/>
      <c r="E18" s="1004"/>
      <c r="F18" s="1004"/>
      <c r="G18" s="1004"/>
      <c r="H18" s="1004"/>
      <c r="I18" s="1004"/>
      <c r="J18" s="1004"/>
      <c r="K18" s="1004"/>
      <c r="L18" s="279"/>
    </row>
    <row r="19" spans="3:16" x14ac:dyDescent="0.3">
      <c r="C19" s="278"/>
      <c r="D19" s="1004"/>
      <c r="E19" s="1004"/>
      <c r="F19" s="1004"/>
      <c r="G19" s="1004"/>
      <c r="H19" s="1004"/>
      <c r="I19" s="1004"/>
      <c r="J19" s="1004"/>
      <c r="K19" s="1004"/>
      <c r="L19" s="279"/>
    </row>
    <row r="20" spans="3:16" x14ac:dyDescent="0.3">
      <c r="C20" s="278"/>
      <c r="D20" s="1004"/>
      <c r="E20" s="1004"/>
      <c r="F20" s="1004"/>
      <c r="G20" s="1004"/>
      <c r="H20" s="1004"/>
      <c r="I20" s="1004"/>
      <c r="J20" s="1004"/>
      <c r="K20" s="1004"/>
      <c r="L20" s="279"/>
    </row>
    <row r="21" spans="3:16" x14ac:dyDescent="0.3">
      <c r="C21" s="278"/>
      <c r="D21" s="1004"/>
      <c r="E21" s="1004"/>
      <c r="F21" s="1004"/>
      <c r="G21" s="1004"/>
      <c r="H21" s="1004"/>
      <c r="I21" s="1004"/>
      <c r="J21" s="1004"/>
      <c r="K21" s="1004"/>
      <c r="L21" s="279"/>
    </row>
    <row r="22" spans="3:16" x14ac:dyDescent="0.3">
      <c r="C22" s="278"/>
      <c r="D22" s="1004"/>
      <c r="E22" s="1004"/>
      <c r="F22" s="1004"/>
      <c r="G22" s="1004"/>
      <c r="H22" s="1004"/>
      <c r="I22" s="1004"/>
      <c r="J22" s="1004"/>
      <c r="K22" s="1004"/>
      <c r="L22" s="279"/>
    </row>
    <row r="23" spans="3:16" x14ac:dyDescent="0.3">
      <c r="C23" s="278"/>
      <c r="D23" s="1004"/>
      <c r="E23" s="1004"/>
      <c r="F23" s="1004"/>
      <c r="G23" s="1004"/>
      <c r="H23" s="1004"/>
      <c r="I23" s="1004"/>
      <c r="J23" s="1004"/>
      <c r="K23" s="1004"/>
      <c r="L23" s="279"/>
    </row>
    <row r="24" spans="3:16" ht="17.5" x14ac:dyDescent="0.35">
      <c r="C24" s="520"/>
      <c r="D24" s="1010"/>
      <c r="E24" s="1010"/>
      <c r="F24" s="1010"/>
      <c r="G24" s="1010"/>
      <c r="H24" s="1010"/>
      <c r="I24" s="1010"/>
      <c r="J24" s="1010"/>
      <c r="K24" s="1010"/>
      <c r="L24" s="522"/>
    </row>
    <row r="25" spans="3:16" ht="17.5" x14ac:dyDescent="0.35">
      <c r="C25" s="280"/>
      <c r="D25" s="1011"/>
      <c r="E25" s="1011"/>
      <c r="F25" s="1011"/>
      <c r="G25" s="1011"/>
      <c r="H25" s="1011"/>
      <c r="I25" s="1011"/>
      <c r="J25" s="1011"/>
      <c r="K25" s="1011"/>
      <c r="L25" s="281"/>
    </row>
    <row r="26" spans="3:16" ht="17.5" x14ac:dyDescent="0.35">
      <c r="C26" s="280"/>
      <c r="D26" s="1012" t="s">
        <v>661</v>
      </c>
      <c r="E26" s="1004"/>
      <c r="F26" s="1013"/>
      <c r="G26" s="1012" t="s">
        <v>35</v>
      </c>
      <c r="H26" s="1011" t="s">
        <v>1007</v>
      </c>
      <c r="I26" s="1014"/>
      <c r="J26" s="1014"/>
      <c r="K26" s="1011"/>
      <c r="L26" s="281"/>
    </row>
    <row r="27" spans="3:16" ht="17.5" x14ac:dyDescent="0.35">
      <c r="C27" s="280"/>
      <c r="D27" s="1012" t="s">
        <v>663</v>
      </c>
      <c r="E27" s="1004"/>
      <c r="F27" s="1013"/>
      <c r="G27" s="1012" t="s">
        <v>35</v>
      </c>
      <c r="H27" s="1015" t="s">
        <v>1008</v>
      </c>
      <c r="I27" s="1011"/>
      <c r="J27" s="1011"/>
      <c r="K27" s="1011"/>
      <c r="L27" s="281"/>
    </row>
    <row r="28" spans="3:16" ht="17.5" x14ac:dyDescent="0.35">
      <c r="C28" s="280"/>
      <c r="D28" s="1012" t="s">
        <v>40</v>
      </c>
      <c r="E28" s="1004"/>
      <c r="F28" s="1012"/>
      <c r="G28" s="1012" t="s">
        <v>35</v>
      </c>
      <c r="H28" s="1011" t="s">
        <v>1010</v>
      </c>
      <c r="I28" s="1011"/>
      <c r="J28" s="1011"/>
      <c r="K28" s="1004"/>
      <c r="L28" s="279"/>
      <c r="M28" s="278"/>
    </row>
    <row r="29" spans="3:16" ht="17.5" x14ac:dyDescent="0.35">
      <c r="C29" s="280"/>
      <c r="D29" s="1012" t="s">
        <v>662</v>
      </c>
      <c r="E29" s="1004"/>
      <c r="F29" s="1013"/>
      <c r="G29" s="1016" t="s">
        <v>35</v>
      </c>
      <c r="H29" s="1015" t="s">
        <v>1009</v>
      </c>
      <c r="I29" s="1011"/>
      <c r="J29" s="1004"/>
      <c r="K29" s="1004"/>
      <c r="L29" s="279"/>
      <c r="M29" s="278"/>
    </row>
    <row r="30" spans="3:16" ht="17.5" x14ac:dyDescent="0.35">
      <c r="C30" s="280"/>
      <c r="D30" s="1012" t="s">
        <v>41</v>
      </c>
      <c r="E30" s="1004"/>
      <c r="F30" s="1013"/>
      <c r="G30" s="1012" t="s">
        <v>35</v>
      </c>
      <c r="H30" s="1011" t="s">
        <v>1011</v>
      </c>
      <c r="I30" s="1011"/>
      <c r="J30" s="1011"/>
      <c r="K30" s="1014"/>
      <c r="L30" s="1017"/>
      <c r="M30" s="278"/>
      <c r="N30" s="44"/>
      <c r="O30" s="52"/>
      <c r="P30" s="44"/>
    </row>
    <row r="31" spans="3:16" ht="17.5" x14ac:dyDescent="0.35">
      <c r="C31" s="280"/>
      <c r="D31" s="1012" t="s">
        <v>111</v>
      </c>
      <c r="E31" s="1004"/>
      <c r="F31" s="1013"/>
      <c r="G31" s="1012" t="s">
        <v>35</v>
      </c>
      <c r="H31" s="1004" t="s">
        <v>1012</v>
      </c>
      <c r="I31" s="1004"/>
      <c r="J31" s="1004"/>
      <c r="K31" s="1011"/>
      <c r="L31" s="281"/>
      <c r="M31" s="278"/>
      <c r="N31" s="44"/>
      <c r="O31" s="52"/>
      <c r="P31" s="44"/>
    </row>
    <row r="32" spans="3:16" ht="17.5" x14ac:dyDescent="0.35">
      <c r="C32" s="280"/>
      <c r="D32" s="1012" t="s">
        <v>42</v>
      </c>
      <c r="E32" s="1004"/>
      <c r="F32" s="1013"/>
      <c r="G32" s="1012" t="s">
        <v>35</v>
      </c>
      <c r="H32" s="1004" t="s">
        <v>1013</v>
      </c>
      <c r="I32" s="1004"/>
      <c r="J32" s="1004"/>
      <c r="K32" s="1011"/>
      <c r="L32" s="281"/>
      <c r="M32" s="278"/>
      <c r="N32" s="44"/>
      <c r="O32" s="44"/>
      <c r="P32" s="44"/>
    </row>
    <row r="33" spans="3:19" ht="17.5" x14ac:dyDescent="0.35">
      <c r="C33" s="280"/>
      <c r="D33" s="1004"/>
      <c r="E33" s="1004"/>
      <c r="F33" s="1004"/>
      <c r="G33" s="1004"/>
      <c r="H33" s="1004"/>
      <c r="I33" s="1004"/>
      <c r="J33" s="1004"/>
      <c r="K33" s="1004"/>
      <c r="L33" s="281"/>
      <c r="M33" s="278"/>
      <c r="N33" s="44"/>
      <c r="O33" s="52"/>
      <c r="P33" s="43"/>
    </row>
    <row r="34" spans="3:19" ht="17.5" x14ac:dyDescent="0.35">
      <c r="C34" s="280"/>
      <c r="D34" s="1018" t="s">
        <v>45</v>
      </c>
      <c r="E34" s="1004"/>
      <c r="F34" s="1004"/>
      <c r="G34" s="1004" t="s">
        <v>71</v>
      </c>
      <c r="H34" s="1011" t="s">
        <v>1014</v>
      </c>
      <c r="I34" s="1011"/>
      <c r="J34" s="1011"/>
      <c r="K34" s="1011"/>
      <c r="L34" s="281"/>
      <c r="M34" s="278"/>
      <c r="N34" s="44"/>
      <c r="O34" s="52"/>
      <c r="P34" s="44"/>
      <c r="S34" s="177"/>
    </row>
    <row r="35" spans="3:19" ht="17.5" x14ac:dyDescent="0.35">
      <c r="C35" s="280"/>
      <c r="D35" s="1018" t="s">
        <v>0</v>
      </c>
      <c r="E35" s="1004"/>
      <c r="F35" s="1019"/>
      <c r="G35" s="1004" t="s">
        <v>71</v>
      </c>
      <c r="H35" s="1020">
        <v>1.9831115202421101E+17</v>
      </c>
      <c r="I35" s="1020"/>
      <c r="J35" s="1020"/>
      <c r="K35" s="1020"/>
      <c r="L35" s="1021"/>
      <c r="M35" s="278"/>
      <c r="N35" s="44"/>
      <c r="O35" s="52"/>
      <c r="P35" s="44"/>
    </row>
    <row r="36" spans="3:19" ht="17.5" x14ac:dyDescent="0.35">
      <c r="C36" s="280"/>
      <c r="D36" s="1004"/>
      <c r="E36" s="1019"/>
      <c r="F36" s="1019"/>
      <c r="G36" s="1004"/>
      <c r="H36" s="1004"/>
      <c r="I36" s="1004"/>
      <c r="J36" s="1004"/>
      <c r="K36" s="1004"/>
      <c r="L36" s="279"/>
      <c r="M36" s="278"/>
      <c r="N36" s="44"/>
      <c r="O36" s="52"/>
      <c r="P36" s="44"/>
    </row>
    <row r="37" spans="3:19" ht="17.5" x14ac:dyDescent="0.35">
      <c r="C37" s="280"/>
      <c r="D37" s="1011"/>
      <c r="E37" s="1011"/>
      <c r="F37" s="1011"/>
      <c r="G37" s="1011"/>
      <c r="H37" s="1011"/>
      <c r="I37" s="1011"/>
      <c r="J37" s="1011"/>
      <c r="K37" s="1011"/>
      <c r="L37" s="281"/>
      <c r="M37" s="278"/>
    </row>
    <row r="38" spans="3:19" ht="25" x14ac:dyDescent="0.5">
      <c r="C38" s="523" t="s">
        <v>36</v>
      </c>
      <c r="D38" s="1022"/>
      <c r="E38" s="1022"/>
      <c r="F38" s="1022"/>
      <c r="G38" s="1022"/>
      <c r="H38" s="1022"/>
      <c r="I38" s="1022"/>
      <c r="J38" s="1022"/>
      <c r="K38" s="1022"/>
      <c r="L38" s="1023"/>
      <c r="M38" s="278"/>
    </row>
    <row r="39" spans="3:19" ht="18" x14ac:dyDescent="0.4">
      <c r="C39" s="514" t="s">
        <v>139</v>
      </c>
      <c r="D39" s="1024"/>
      <c r="E39" s="1024"/>
      <c r="F39" s="1024"/>
      <c r="G39" s="1024"/>
      <c r="H39" s="1024"/>
      <c r="I39" s="1024"/>
      <c r="J39" s="1024"/>
      <c r="K39" s="1024"/>
      <c r="L39" s="516"/>
    </row>
    <row r="40" spans="3:19" ht="18" x14ac:dyDescent="0.4">
      <c r="C40" s="514" t="s">
        <v>140</v>
      </c>
      <c r="D40" s="1024"/>
      <c r="E40" s="1024"/>
      <c r="F40" s="1024"/>
      <c r="G40" s="1024"/>
      <c r="H40" s="1024"/>
      <c r="I40" s="1024"/>
      <c r="J40" s="1024"/>
      <c r="K40" s="1024"/>
      <c r="L40" s="516"/>
    </row>
    <row r="41" spans="3:19" x14ac:dyDescent="0.3">
      <c r="C41" s="278"/>
      <c r="D41" s="1004"/>
      <c r="E41" s="1004"/>
      <c r="F41" s="1004"/>
      <c r="G41" s="1004"/>
      <c r="H41" s="1004"/>
      <c r="I41" s="1004"/>
      <c r="J41" s="1004"/>
      <c r="K41" s="1004"/>
      <c r="L41" s="279"/>
    </row>
    <row r="42" spans="3:19" ht="15.5" thickBot="1" x14ac:dyDescent="0.35">
      <c r="C42" s="282"/>
      <c r="D42" s="283"/>
      <c r="E42" s="283"/>
      <c r="F42" s="283"/>
      <c r="G42" s="283"/>
      <c r="H42" s="283"/>
      <c r="I42" s="283"/>
      <c r="J42" s="283"/>
      <c r="K42" s="283"/>
      <c r="L42" s="284"/>
    </row>
  </sheetData>
  <mergeCells count="9">
    <mergeCell ref="C40:L40"/>
    <mergeCell ref="C39:L39"/>
    <mergeCell ref="D3:K3"/>
    <mergeCell ref="C7:L7"/>
    <mergeCell ref="C24:L24"/>
    <mergeCell ref="C38:L38"/>
    <mergeCell ref="C8:L8"/>
    <mergeCell ref="C6:L6"/>
    <mergeCell ref="H35:K35"/>
  </mergeCells>
  <pageMargins left="0.83" right="0.39370078740157483" top="0.47244094488188981" bottom="1.5748031496062993" header="0.31496062992125984" footer="0.31496062992125984"/>
  <pageSetup paperSize="2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="85" zoomScaleNormal="85" workbookViewId="0">
      <selection activeCell="I10" sqref="I10"/>
    </sheetView>
  </sheetViews>
  <sheetFormatPr defaultColWidth="9.1796875" defaultRowHeight="18" x14ac:dyDescent="0.4"/>
  <cols>
    <col min="1" max="1" width="4.453125" style="1" customWidth="1"/>
    <col min="2" max="2" width="26.453125" style="1" customWidth="1"/>
    <col min="3" max="3" width="6" style="1" customWidth="1"/>
    <col min="4" max="4" width="6.26953125" style="1" customWidth="1"/>
    <col min="5" max="5" width="26.1796875" style="1" customWidth="1"/>
    <col min="6" max="6" width="10.81640625" style="1" hidden="1" customWidth="1"/>
    <col min="7" max="7" width="13.1796875" style="1" customWidth="1"/>
    <col min="8" max="16384" width="9.1796875" style="1"/>
  </cols>
  <sheetData>
    <row r="1" spans="1:8" ht="25" x14ac:dyDescent="0.4">
      <c r="A1" s="530" t="s">
        <v>90</v>
      </c>
      <c r="B1" s="530"/>
      <c r="C1" s="530"/>
      <c r="D1" s="530"/>
      <c r="E1" s="530"/>
      <c r="F1" s="530"/>
      <c r="G1" s="530"/>
    </row>
    <row r="2" spans="1:8" ht="25" x14ac:dyDescent="0.4">
      <c r="A2" s="530" t="s">
        <v>36</v>
      </c>
      <c r="B2" s="530"/>
      <c r="C2" s="530"/>
      <c r="D2" s="530"/>
      <c r="E2" s="530"/>
      <c r="F2" s="530"/>
      <c r="G2" s="530"/>
    </row>
    <row r="3" spans="1:8" ht="20" x14ac:dyDescent="0.4">
      <c r="A3" s="529" t="s">
        <v>91</v>
      </c>
      <c r="B3" s="529"/>
      <c r="C3" s="529"/>
      <c r="D3" s="529"/>
      <c r="E3" s="529"/>
      <c r="F3" s="529"/>
      <c r="G3" s="529"/>
    </row>
    <row r="4" spans="1:8" ht="57.75" customHeight="1" x14ac:dyDescent="0.4">
      <c r="A4" s="403"/>
      <c r="B4" s="531" t="s">
        <v>387</v>
      </c>
      <c r="C4" s="531"/>
      <c r="D4" s="531"/>
      <c r="E4" s="531"/>
      <c r="F4" s="531"/>
      <c r="G4" s="531"/>
    </row>
    <row r="5" spans="1:8" ht="20" x14ac:dyDescent="0.4">
      <c r="A5" s="529" t="s">
        <v>92</v>
      </c>
      <c r="B5" s="529"/>
      <c r="C5" s="529"/>
      <c r="D5" s="529"/>
      <c r="E5" s="529"/>
      <c r="F5" s="529"/>
      <c r="G5" s="529"/>
    </row>
    <row r="6" spans="1:8" ht="37.5" customHeight="1" x14ac:dyDescent="0.4">
      <c r="A6" s="404">
        <v>1</v>
      </c>
      <c r="B6" s="528" t="s">
        <v>388</v>
      </c>
      <c r="C6" s="528"/>
      <c r="D6" s="528"/>
      <c r="E6" s="528"/>
      <c r="F6" s="528"/>
      <c r="G6" s="528"/>
    </row>
    <row r="7" spans="1:8" ht="42" customHeight="1" x14ac:dyDescent="0.4">
      <c r="A7" s="404">
        <v>2</v>
      </c>
      <c r="B7" s="528" t="s">
        <v>389</v>
      </c>
      <c r="C7" s="528"/>
      <c r="D7" s="528"/>
      <c r="E7" s="528"/>
      <c r="F7" s="528"/>
      <c r="G7" s="528"/>
      <c r="H7" s="286"/>
    </row>
    <row r="8" spans="1:8" ht="43.5" customHeight="1" x14ac:dyDescent="0.4">
      <c r="A8" s="404">
        <v>3</v>
      </c>
      <c r="B8" s="528" t="s">
        <v>390</v>
      </c>
      <c r="C8" s="528"/>
      <c r="D8" s="528"/>
      <c r="E8" s="528"/>
      <c r="F8" s="528"/>
      <c r="G8" s="528"/>
      <c r="H8" s="286"/>
    </row>
    <row r="9" spans="1:8" ht="39.75" customHeight="1" x14ac:dyDescent="0.4">
      <c r="A9" s="404">
        <v>4</v>
      </c>
      <c r="B9" s="528" t="s">
        <v>391</v>
      </c>
      <c r="C9" s="528"/>
      <c r="D9" s="528"/>
      <c r="E9" s="528"/>
      <c r="F9" s="528"/>
      <c r="G9" s="528"/>
      <c r="H9" s="286"/>
    </row>
    <row r="10" spans="1:8" ht="39" customHeight="1" x14ac:dyDescent="0.4">
      <c r="A10" s="404">
        <v>5</v>
      </c>
      <c r="B10" s="528" t="s">
        <v>392</v>
      </c>
      <c r="C10" s="528"/>
      <c r="D10" s="528"/>
      <c r="E10" s="528"/>
      <c r="F10" s="528"/>
      <c r="G10" s="528"/>
    </row>
    <row r="11" spans="1:8" ht="30" customHeight="1" x14ac:dyDescent="0.4">
      <c r="A11" s="405"/>
      <c r="B11" s="405"/>
      <c r="C11" s="405"/>
      <c r="D11" s="405"/>
      <c r="E11" s="405"/>
      <c r="F11" s="405"/>
      <c r="G11" s="405"/>
    </row>
    <row r="12" spans="1:8" ht="20" x14ac:dyDescent="0.4">
      <c r="A12" s="529" t="s">
        <v>93</v>
      </c>
      <c r="B12" s="529"/>
      <c r="C12" s="529"/>
      <c r="D12" s="529"/>
      <c r="E12" s="529"/>
      <c r="F12" s="529"/>
      <c r="G12" s="529"/>
    </row>
    <row r="13" spans="1:8" ht="12" customHeight="1" x14ac:dyDescent="0.4">
      <c r="A13" s="405"/>
      <c r="B13" s="405"/>
      <c r="C13" s="405"/>
      <c r="D13" s="405"/>
      <c r="E13" s="405"/>
      <c r="F13" s="405"/>
      <c r="G13" s="405"/>
    </row>
    <row r="14" spans="1:8" ht="24" customHeight="1" x14ac:dyDescent="0.4">
      <c r="A14" s="404">
        <v>1</v>
      </c>
      <c r="B14" s="528" t="s">
        <v>394</v>
      </c>
      <c r="C14" s="528"/>
      <c r="D14" s="528"/>
      <c r="E14" s="528"/>
      <c r="F14" s="528"/>
      <c r="G14" s="528"/>
    </row>
    <row r="15" spans="1:8" ht="39" customHeight="1" x14ac:dyDescent="0.4">
      <c r="A15" s="404">
        <v>2</v>
      </c>
      <c r="B15" s="528" t="s">
        <v>395</v>
      </c>
      <c r="C15" s="528"/>
      <c r="D15" s="528"/>
      <c r="E15" s="528"/>
      <c r="F15" s="528"/>
      <c r="G15" s="528"/>
    </row>
    <row r="16" spans="1:8" ht="39" customHeight="1" x14ac:dyDescent="0.4">
      <c r="A16" s="404">
        <v>3</v>
      </c>
      <c r="B16" s="528" t="s">
        <v>396</v>
      </c>
      <c r="C16" s="528"/>
      <c r="D16" s="528"/>
      <c r="E16" s="528"/>
      <c r="F16" s="528"/>
      <c r="G16" s="528"/>
    </row>
    <row r="17" spans="1:7" ht="24" customHeight="1" x14ac:dyDescent="0.4">
      <c r="A17" s="404">
        <v>4</v>
      </c>
      <c r="B17" s="528" t="s">
        <v>397</v>
      </c>
      <c r="C17" s="528"/>
      <c r="D17" s="528"/>
      <c r="E17" s="528"/>
      <c r="F17" s="528"/>
      <c r="G17" s="528"/>
    </row>
    <row r="18" spans="1:7" ht="38.25" customHeight="1" x14ac:dyDescent="0.4">
      <c r="A18" s="404">
        <v>5</v>
      </c>
      <c r="B18" s="528" t="s">
        <v>398</v>
      </c>
      <c r="C18" s="528"/>
      <c r="D18" s="528"/>
      <c r="E18" s="528"/>
      <c r="F18" s="528"/>
      <c r="G18" s="528"/>
    </row>
    <row r="19" spans="1:7" ht="34.5" customHeight="1" x14ac:dyDescent="0.4">
      <c r="A19" s="404">
        <v>6</v>
      </c>
      <c r="B19" s="528" t="s">
        <v>393</v>
      </c>
      <c r="C19" s="528"/>
      <c r="D19" s="528"/>
      <c r="E19" s="528"/>
      <c r="F19" s="528"/>
      <c r="G19" s="528"/>
    </row>
    <row r="20" spans="1:7" ht="17.5" customHeight="1" x14ac:dyDescent="0.4">
      <c r="A20" s="405"/>
      <c r="B20" s="405"/>
      <c r="C20" s="405"/>
      <c r="D20" s="405"/>
      <c r="E20" s="405"/>
      <c r="F20" s="405"/>
      <c r="G20" s="405"/>
    </row>
    <row r="21" spans="1:7" ht="20" x14ac:dyDescent="0.4">
      <c r="A21" s="529" t="s">
        <v>94</v>
      </c>
      <c r="B21" s="529"/>
      <c r="C21" s="529"/>
      <c r="D21" s="529"/>
      <c r="E21" s="529"/>
      <c r="F21" s="529"/>
      <c r="G21" s="529"/>
    </row>
    <row r="22" spans="1:7" ht="12" customHeight="1" x14ac:dyDescent="0.4">
      <c r="A22" s="406"/>
      <c r="B22" s="405"/>
      <c r="C22" s="405"/>
      <c r="D22" s="405"/>
      <c r="E22" s="405"/>
      <c r="F22" s="405"/>
      <c r="G22" s="405"/>
    </row>
    <row r="23" spans="1:7" x14ac:dyDescent="0.4">
      <c r="A23" s="407" t="s">
        <v>72</v>
      </c>
      <c r="B23" s="408" t="s">
        <v>75</v>
      </c>
      <c r="C23" s="409"/>
      <c r="D23" s="407" t="s">
        <v>84</v>
      </c>
      <c r="E23" s="408" t="s">
        <v>80</v>
      </c>
      <c r="F23" s="405"/>
      <c r="G23" s="405"/>
    </row>
    <row r="24" spans="1:7" x14ac:dyDescent="0.4">
      <c r="A24" s="410" t="s">
        <v>2</v>
      </c>
      <c r="B24" s="411" t="s">
        <v>76</v>
      </c>
      <c r="C24" s="409"/>
      <c r="D24" s="410" t="s">
        <v>81</v>
      </c>
      <c r="E24" s="411" t="s">
        <v>110</v>
      </c>
      <c r="F24" s="405"/>
      <c r="G24" s="405"/>
    </row>
    <row r="25" spans="1:7" x14ac:dyDescent="0.4">
      <c r="A25" s="410" t="s">
        <v>31</v>
      </c>
      <c r="B25" s="411" t="s">
        <v>77</v>
      </c>
      <c r="C25" s="409"/>
      <c r="D25" s="410" t="s">
        <v>30</v>
      </c>
      <c r="E25" s="411" t="s">
        <v>85</v>
      </c>
      <c r="F25" s="405"/>
      <c r="G25" s="405"/>
    </row>
    <row r="26" spans="1:7" x14ac:dyDescent="0.4">
      <c r="A26" s="410" t="s">
        <v>73</v>
      </c>
      <c r="B26" s="412" t="s">
        <v>142</v>
      </c>
      <c r="C26" s="409"/>
      <c r="D26" s="410" t="s">
        <v>81</v>
      </c>
      <c r="E26" s="411" t="s">
        <v>86</v>
      </c>
      <c r="F26" s="405"/>
      <c r="G26" s="405"/>
    </row>
    <row r="27" spans="1:7" x14ac:dyDescent="0.4">
      <c r="A27" s="410" t="s">
        <v>2</v>
      </c>
      <c r="B27" s="411" t="s">
        <v>78</v>
      </c>
      <c r="C27" s="409"/>
      <c r="D27" s="410" t="s">
        <v>82</v>
      </c>
      <c r="E27" s="411" t="s">
        <v>87</v>
      </c>
      <c r="F27" s="405"/>
      <c r="G27" s="405"/>
    </row>
    <row r="28" spans="1:7" x14ac:dyDescent="0.4">
      <c r="A28" s="410" t="s">
        <v>74</v>
      </c>
      <c r="B28" s="411" t="s">
        <v>79</v>
      </c>
      <c r="C28" s="409"/>
      <c r="D28" s="410" t="s">
        <v>83</v>
      </c>
      <c r="E28" s="411" t="s">
        <v>88</v>
      </c>
      <c r="F28" s="405"/>
      <c r="G28" s="405"/>
    </row>
    <row r="29" spans="1:7" x14ac:dyDescent="0.4">
      <c r="A29" s="413"/>
      <c r="B29" s="414"/>
      <c r="C29" s="405"/>
      <c r="D29" s="415" t="s">
        <v>31</v>
      </c>
      <c r="E29" s="416" t="s">
        <v>89</v>
      </c>
      <c r="F29" s="405"/>
      <c r="G29" s="405"/>
    </row>
  </sheetData>
  <mergeCells count="18">
    <mergeCell ref="B10:G10"/>
    <mergeCell ref="B14:G14"/>
    <mergeCell ref="B15:G15"/>
    <mergeCell ref="A12:G12"/>
    <mergeCell ref="A21:G21"/>
    <mergeCell ref="B19:G19"/>
    <mergeCell ref="A1:G1"/>
    <mergeCell ref="A2:G2"/>
    <mergeCell ref="B16:G16"/>
    <mergeCell ref="B17:G17"/>
    <mergeCell ref="B18:G18"/>
    <mergeCell ref="B7:G7"/>
    <mergeCell ref="B6:G6"/>
    <mergeCell ref="A3:G3"/>
    <mergeCell ref="A5:G5"/>
    <mergeCell ref="B4:G4"/>
    <mergeCell ref="B8:G8"/>
    <mergeCell ref="B9:G9"/>
  </mergeCells>
  <pageMargins left="1.1811023622047245" right="0.39370078740157483" top="0.98425196850393704" bottom="1.3779527559055118" header="0.31496062992125984" footer="0.31496062992125984"/>
  <pageSetup paperSize="258" scale="9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9"/>
  <sheetViews>
    <sheetView zoomScale="98" zoomScaleNormal="98" workbookViewId="0">
      <selection activeCell="E4" sqref="E4"/>
    </sheetView>
  </sheetViews>
  <sheetFormatPr defaultRowHeight="14.5" x14ac:dyDescent="0.35"/>
  <cols>
    <col min="2" max="2" width="6" customWidth="1"/>
    <col min="3" max="3" width="39.7265625" customWidth="1"/>
  </cols>
  <sheetData>
    <row r="2" spans="2:3" ht="17.5" x14ac:dyDescent="0.35">
      <c r="B2" s="521" t="s">
        <v>358</v>
      </c>
      <c r="C2" s="521"/>
    </row>
    <row r="4" spans="2:3" ht="20.149999999999999" customHeight="1" x14ac:dyDescent="0.35">
      <c r="B4" s="40">
        <v>1</v>
      </c>
      <c r="C4" s="39" t="s">
        <v>353</v>
      </c>
    </row>
    <row r="5" spans="2:3" ht="20.149999999999999" customHeight="1" x14ac:dyDescent="0.35">
      <c r="B5" s="40">
        <v>2</v>
      </c>
      <c r="C5" s="39" t="s">
        <v>354</v>
      </c>
    </row>
    <row r="6" spans="2:3" ht="20.149999999999999" customHeight="1" x14ac:dyDescent="0.35">
      <c r="B6" s="40">
        <v>3</v>
      </c>
      <c r="C6" s="39" t="s">
        <v>355</v>
      </c>
    </row>
    <row r="7" spans="2:3" ht="20.149999999999999" customHeight="1" x14ac:dyDescent="0.35">
      <c r="B7" s="40">
        <v>4</v>
      </c>
      <c r="C7" s="39" t="s">
        <v>356</v>
      </c>
    </row>
    <row r="8" spans="2:3" ht="20.149999999999999" customHeight="1" x14ac:dyDescent="0.35">
      <c r="B8" s="40">
        <v>5</v>
      </c>
      <c r="C8" s="39" t="s">
        <v>357</v>
      </c>
    </row>
    <row r="9" spans="2:3" ht="20.149999999999999" customHeight="1" x14ac:dyDescent="0.35">
      <c r="B9" s="40">
        <v>6</v>
      </c>
      <c r="C9" s="39" t="s">
        <v>683</v>
      </c>
    </row>
    <row r="10" spans="2:3" ht="20.149999999999999" customHeight="1" x14ac:dyDescent="0.35">
      <c r="B10" s="40">
        <v>7</v>
      </c>
      <c r="C10" s="39" t="s">
        <v>730</v>
      </c>
    </row>
    <row r="11" spans="2:3" ht="20.149999999999999" customHeight="1" x14ac:dyDescent="0.35">
      <c r="B11" s="40">
        <v>8</v>
      </c>
      <c r="C11" s="39" t="s">
        <v>731</v>
      </c>
    </row>
    <row r="12" spans="2:3" ht="20.149999999999999" customHeight="1" x14ac:dyDescent="0.35">
      <c r="B12" s="40">
        <v>9</v>
      </c>
      <c r="C12" s="296" t="s">
        <v>732</v>
      </c>
    </row>
    <row r="13" spans="2:3" ht="20.149999999999999" customHeight="1" x14ac:dyDescent="0.35">
      <c r="B13" s="40">
        <v>10</v>
      </c>
      <c r="C13" s="296" t="s">
        <v>684</v>
      </c>
    </row>
    <row r="14" spans="2:3" ht="20.149999999999999" customHeight="1" x14ac:dyDescent="0.35">
      <c r="B14" s="40">
        <v>11</v>
      </c>
      <c r="C14" s="296" t="s">
        <v>733</v>
      </c>
    </row>
    <row r="15" spans="2:3" ht="20.149999999999999" customHeight="1" x14ac:dyDescent="0.35">
      <c r="B15" s="40">
        <v>12</v>
      </c>
      <c r="C15" s="296" t="s">
        <v>734</v>
      </c>
    </row>
    <row r="16" spans="2:3" ht="20.149999999999999" customHeight="1" x14ac:dyDescent="0.35">
      <c r="B16" s="40">
        <v>13</v>
      </c>
      <c r="C16" s="296" t="s">
        <v>735</v>
      </c>
    </row>
    <row r="17" spans="2:6" ht="20.149999999999999" customHeight="1" x14ac:dyDescent="0.35">
      <c r="B17" s="40">
        <v>14</v>
      </c>
      <c r="C17" s="296" t="s">
        <v>736</v>
      </c>
    </row>
    <row r="18" spans="2:6" ht="20.149999999999999" customHeight="1" x14ac:dyDescent="0.35">
      <c r="B18" s="40">
        <v>15</v>
      </c>
      <c r="C18" s="296" t="s">
        <v>737</v>
      </c>
    </row>
    <row r="19" spans="2:6" ht="20.149999999999999" customHeight="1" x14ac:dyDescent="0.35">
      <c r="B19" s="40">
        <v>16</v>
      </c>
      <c r="C19" s="296" t="s">
        <v>738</v>
      </c>
    </row>
    <row r="20" spans="2:6" ht="20.149999999999999" customHeight="1" x14ac:dyDescent="0.35">
      <c r="B20" s="40">
        <v>17</v>
      </c>
      <c r="C20" s="296" t="s">
        <v>739</v>
      </c>
    </row>
    <row r="21" spans="2:6" ht="20.149999999999999" customHeight="1" x14ac:dyDescent="0.35">
      <c r="B21" s="40">
        <v>18</v>
      </c>
      <c r="C21" s="296" t="s">
        <v>740</v>
      </c>
    </row>
    <row r="22" spans="2:6" ht="20.149999999999999" customHeight="1" x14ac:dyDescent="0.35">
      <c r="B22" s="40">
        <v>19</v>
      </c>
      <c r="C22" s="296" t="s">
        <v>741</v>
      </c>
    </row>
    <row r="23" spans="2:6" ht="20.149999999999999" customHeight="1" x14ac:dyDescent="0.35">
      <c r="B23" s="40">
        <v>20</v>
      </c>
      <c r="C23" s="39" t="s">
        <v>742</v>
      </c>
    </row>
    <row r="24" spans="2:6" ht="20.149999999999999" customHeight="1" x14ac:dyDescent="0.35">
      <c r="B24" s="40">
        <v>21</v>
      </c>
      <c r="C24" s="39" t="s">
        <v>743</v>
      </c>
    </row>
    <row r="25" spans="2:6" ht="20.149999999999999" customHeight="1" x14ac:dyDescent="0.35">
      <c r="B25" s="40">
        <v>22</v>
      </c>
      <c r="C25" s="532" t="s">
        <v>744</v>
      </c>
      <c r="D25" s="532"/>
      <c r="E25" s="532"/>
      <c r="F25" s="532"/>
    </row>
    <row r="26" spans="2:6" ht="15.5" x14ac:dyDescent="0.35">
      <c r="B26" s="40">
        <v>23</v>
      </c>
      <c r="C26" s="41" t="s">
        <v>745</v>
      </c>
    </row>
    <row r="27" spans="2:6" ht="15.5" x14ac:dyDescent="0.35">
      <c r="B27" s="40">
        <v>24</v>
      </c>
      <c r="C27" s="41" t="s">
        <v>644</v>
      </c>
    </row>
    <row r="28" spans="2:6" ht="15.5" x14ac:dyDescent="0.35">
      <c r="B28" s="40">
        <v>25</v>
      </c>
      <c r="C28" s="41" t="s">
        <v>645</v>
      </c>
    </row>
    <row r="29" spans="2:6" ht="15.5" x14ac:dyDescent="0.35">
      <c r="B29" s="40">
        <v>26</v>
      </c>
      <c r="C29" s="41" t="s">
        <v>646</v>
      </c>
    </row>
  </sheetData>
  <mergeCells count="2">
    <mergeCell ref="B2:C2"/>
    <mergeCell ref="C25:F25"/>
  </mergeCells>
  <pageMargins left="0.7" right="0.7" top="0.75" bottom="0.75" header="0.3" footer="0.3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143"/>
  <sheetViews>
    <sheetView view="pageBreakPreview" zoomScale="60" zoomScaleNormal="100" workbookViewId="0">
      <selection activeCell="W14" sqref="W14"/>
    </sheetView>
  </sheetViews>
  <sheetFormatPr defaultRowHeight="14.5" x14ac:dyDescent="0.35"/>
  <cols>
    <col min="1" max="1" width="5.7265625" customWidth="1"/>
    <col min="2" max="2" width="2.7265625" customWidth="1"/>
    <col min="3" max="3" width="9.7265625" customWidth="1"/>
    <col min="4" max="10" width="4.453125" customWidth="1"/>
    <col min="11" max="12" width="24.81640625" customWidth="1"/>
    <col min="13" max="14" width="4.453125" customWidth="1"/>
    <col min="15" max="15" width="5.453125" customWidth="1"/>
    <col min="16" max="16" width="3.1796875" customWidth="1"/>
    <col min="17" max="44" width="3.81640625" customWidth="1"/>
    <col min="45" max="45" width="4.1796875" customWidth="1"/>
    <col min="46" max="46" width="4.453125" customWidth="1"/>
    <col min="63" max="63" width="12.7265625" bestFit="1" customWidth="1"/>
    <col min="261" max="261" width="7.81640625" customWidth="1"/>
    <col min="262" max="262" width="1.7265625" customWidth="1"/>
    <col min="263" max="268" width="3.54296875" customWidth="1"/>
    <col min="269" max="269" width="1.453125" customWidth="1"/>
    <col min="270" max="274" width="3.54296875" customWidth="1"/>
    <col min="275" max="275" width="1.453125" customWidth="1"/>
    <col min="276" max="281" width="3.54296875" customWidth="1"/>
    <col min="282" max="282" width="1.453125" customWidth="1"/>
    <col min="283" max="287" width="3.54296875" customWidth="1"/>
    <col min="288" max="288" width="1.453125" customWidth="1"/>
    <col min="289" max="293" width="3.54296875" customWidth="1"/>
    <col min="294" max="294" width="1.453125" customWidth="1"/>
    <col min="295" max="299" width="3.54296875" customWidth="1"/>
    <col min="300" max="300" width="3.81640625" customWidth="1"/>
    <col min="301" max="301" width="9.1796875" customWidth="1"/>
    <col min="517" max="517" width="7.81640625" customWidth="1"/>
    <col min="518" max="518" width="1.7265625" customWidth="1"/>
    <col min="519" max="524" width="3.54296875" customWidth="1"/>
    <col min="525" max="525" width="1.453125" customWidth="1"/>
    <col min="526" max="530" width="3.54296875" customWidth="1"/>
    <col min="531" max="531" width="1.453125" customWidth="1"/>
    <col min="532" max="537" width="3.54296875" customWidth="1"/>
    <col min="538" max="538" width="1.453125" customWidth="1"/>
    <col min="539" max="543" width="3.54296875" customWidth="1"/>
    <col min="544" max="544" width="1.453125" customWidth="1"/>
    <col min="545" max="549" width="3.54296875" customWidth="1"/>
    <col min="550" max="550" width="1.453125" customWidth="1"/>
    <col min="551" max="555" width="3.54296875" customWidth="1"/>
    <col min="556" max="556" width="3.81640625" customWidth="1"/>
    <col min="557" max="557" width="9.1796875" customWidth="1"/>
    <col min="773" max="773" width="7.81640625" customWidth="1"/>
    <col min="774" max="774" width="1.7265625" customWidth="1"/>
    <col min="775" max="780" width="3.54296875" customWidth="1"/>
    <col min="781" max="781" width="1.453125" customWidth="1"/>
    <col min="782" max="786" width="3.54296875" customWidth="1"/>
    <col min="787" max="787" width="1.453125" customWidth="1"/>
    <col min="788" max="793" width="3.54296875" customWidth="1"/>
    <col min="794" max="794" width="1.453125" customWidth="1"/>
    <col min="795" max="799" width="3.54296875" customWidth="1"/>
    <col min="800" max="800" width="1.453125" customWidth="1"/>
    <col min="801" max="805" width="3.54296875" customWidth="1"/>
    <col min="806" max="806" width="1.453125" customWidth="1"/>
    <col min="807" max="811" width="3.54296875" customWidth="1"/>
    <col min="812" max="812" width="3.81640625" customWidth="1"/>
    <col min="813" max="813" width="9.1796875" customWidth="1"/>
    <col min="1029" max="1029" width="7.81640625" customWidth="1"/>
    <col min="1030" max="1030" width="1.7265625" customWidth="1"/>
    <col min="1031" max="1036" width="3.54296875" customWidth="1"/>
    <col min="1037" max="1037" width="1.453125" customWidth="1"/>
    <col min="1038" max="1042" width="3.54296875" customWidth="1"/>
    <col min="1043" max="1043" width="1.453125" customWidth="1"/>
    <col min="1044" max="1049" width="3.54296875" customWidth="1"/>
    <col min="1050" max="1050" width="1.453125" customWidth="1"/>
    <col min="1051" max="1055" width="3.54296875" customWidth="1"/>
    <col min="1056" max="1056" width="1.453125" customWidth="1"/>
    <col min="1057" max="1061" width="3.54296875" customWidth="1"/>
    <col min="1062" max="1062" width="1.453125" customWidth="1"/>
    <col min="1063" max="1067" width="3.54296875" customWidth="1"/>
    <col min="1068" max="1068" width="3.81640625" customWidth="1"/>
    <col min="1069" max="1069" width="9.1796875" customWidth="1"/>
    <col min="1285" max="1285" width="7.81640625" customWidth="1"/>
    <col min="1286" max="1286" width="1.7265625" customWidth="1"/>
    <col min="1287" max="1292" width="3.54296875" customWidth="1"/>
    <col min="1293" max="1293" width="1.453125" customWidth="1"/>
    <col min="1294" max="1298" width="3.54296875" customWidth="1"/>
    <col min="1299" max="1299" width="1.453125" customWidth="1"/>
    <col min="1300" max="1305" width="3.54296875" customWidth="1"/>
    <col min="1306" max="1306" width="1.453125" customWidth="1"/>
    <col min="1307" max="1311" width="3.54296875" customWidth="1"/>
    <col min="1312" max="1312" width="1.453125" customWidth="1"/>
    <col min="1313" max="1317" width="3.54296875" customWidth="1"/>
    <col min="1318" max="1318" width="1.453125" customWidth="1"/>
    <col min="1319" max="1323" width="3.54296875" customWidth="1"/>
    <col min="1324" max="1324" width="3.81640625" customWidth="1"/>
    <col min="1325" max="1325" width="9.1796875" customWidth="1"/>
    <col min="1541" max="1541" width="7.81640625" customWidth="1"/>
    <col min="1542" max="1542" width="1.7265625" customWidth="1"/>
    <col min="1543" max="1548" width="3.54296875" customWidth="1"/>
    <col min="1549" max="1549" width="1.453125" customWidth="1"/>
    <col min="1550" max="1554" width="3.54296875" customWidth="1"/>
    <col min="1555" max="1555" width="1.453125" customWidth="1"/>
    <col min="1556" max="1561" width="3.54296875" customWidth="1"/>
    <col min="1562" max="1562" width="1.453125" customWidth="1"/>
    <col min="1563" max="1567" width="3.54296875" customWidth="1"/>
    <col min="1568" max="1568" width="1.453125" customWidth="1"/>
    <col min="1569" max="1573" width="3.54296875" customWidth="1"/>
    <col min="1574" max="1574" width="1.453125" customWidth="1"/>
    <col min="1575" max="1579" width="3.54296875" customWidth="1"/>
    <col min="1580" max="1580" width="3.81640625" customWidth="1"/>
    <col min="1581" max="1581" width="9.1796875" customWidth="1"/>
    <col min="1797" max="1797" width="7.81640625" customWidth="1"/>
    <col min="1798" max="1798" width="1.7265625" customWidth="1"/>
    <col min="1799" max="1804" width="3.54296875" customWidth="1"/>
    <col min="1805" max="1805" width="1.453125" customWidth="1"/>
    <col min="1806" max="1810" width="3.54296875" customWidth="1"/>
    <col min="1811" max="1811" width="1.453125" customWidth="1"/>
    <col min="1812" max="1817" width="3.54296875" customWidth="1"/>
    <col min="1818" max="1818" width="1.453125" customWidth="1"/>
    <col min="1819" max="1823" width="3.54296875" customWidth="1"/>
    <col min="1824" max="1824" width="1.453125" customWidth="1"/>
    <col min="1825" max="1829" width="3.54296875" customWidth="1"/>
    <col min="1830" max="1830" width="1.453125" customWidth="1"/>
    <col min="1831" max="1835" width="3.54296875" customWidth="1"/>
    <col min="1836" max="1836" width="3.81640625" customWidth="1"/>
    <col min="1837" max="1837" width="9.1796875" customWidth="1"/>
    <col min="2053" max="2053" width="7.81640625" customWidth="1"/>
    <col min="2054" max="2054" width="1.7265625" customWidth="1"/>
    <col min="2055" max="2060" width="3.54296875" customWidth="1"/>
    <col min="2061" max="2061" width="1.453125" customWidth="1"/>
    <col min="2062" max="2066" width="3.54296875" customWidth="1"/>
    <col min="2067" max="2067" width="1.453125" customWidth="1"/>
    <col min="2068" max="2073" width="3.54296875" customWidth="1"/>
    <col min="2074" max="2074" width="1.453125" customWidth="1"/>
    <col min="2075" max="2079" width="3.54296875" customWidth="1"/>
    <col min="2080" max="2080" width="1.453125" customWidth="1"/>
    <col min="2081" max="2085" width="3.54296875" customWidth="1"/>
    <col min="2086" max="2086" width="1.453125" customWidth="1"/>
    <col min="2087" max="2091" width="3.54296875" customWidth="1"/>
    <col min="2092" max="2092" width="3.81640625" customWidth="1"/>
    <col min="2093" max="2093" width="9.1796875" customWidth="1"/>
    <col min="2309" max="2309" width="7.81640625" customWidth="1"/>
    <col min="2310" max="2310" width="1.7265625" customWidth="1"/>
    <col min="2311" max="2316" width="3.54296875" customWidth="1"/>
    <col min="2317" max="2317" width="1.453125" customWidth="1"/>
    <col min="2318" max="2322" width="3.54296875" customWidth="1"/>
    <col min="2323" max="2323" width="1.453125" customWidth="1"/>
    <col min="2324" max="2329" width="3.54296875" customWidth="1"/>
    <col min="2330" max="2330" width="1.453125" customWidth="1"/>
    <col min="2331" max="2335" width="3.54296875" customWidth="1"/>
    <col min="2336" max="2336" width="1.453125" customWidth="1"/>
    <col min="2337" max="2341" width="3.54296875" customWidth="1"/>
    <col min="2342" max="2342" width="1.453125" customWidth="1"/>
    <col min="2343" max="2347" width="3.54296875" customWidth="1"/>
    <col min="2348" max="2348" width="3.81640625" customWidth="1"/>
    <col min="2349" max="2349" width="9.1796875" customWidth="1"/>
    <col min="2565" max="2565" width="7.81640625" customWidth="1"/>
    <col min="2566" max="2566" width="1.7265625" customWidth="1"/>
    <col min="2567" max="2572" width="3.54296875" customWidth="1"/>
    <col min="2573" max="2573" width="1.453125" customWidth="1"/>
    <col min="2574" max="2578" width="3.54296875" customWidth="1"/>
    <col min="2579" max="2579" width="1.453125" customWidth="1"/>
    <col min="2580" max="2585" width="3.54296875" customWidth="1"/>
    <col min="2586" max="2586" width="1.453125" customWidth="1"/>
    <col min="2587" max="2591" width="3.54296875" customWidth="1"/>
    <col min="2592" max="2592" width="1.453125" customWidth="1"/>
    <col min="2593" max="2597" width="3.54296875" customWidth="1"/>
    <col min="2598" max="2598" width="1.453125" customWidth="1"/>
    <col min="2599" max="2603" width="3.54296875" customWidth="1"/>
    <col min="2604" max="2604" width="3.81640625" customWidth="1"/>
    <col min="2605" max="2605" width="9.1796875" customWidth="1"/>
    <col min="2821" max="2821" width="7.81640625" customWidth="1"/>
    <col min="2822" max="2822" width="1.7265625" customWidth="1"/>
    <col min="2823" max="2828" width="3.54296875" customWidth="1"/>
    <col min="2829" max="2829" width="1.453125" customWidth="1"/>
    <col min="2830" max="2834" width="3.54296875" customWidth="1"/>
    <col min="2835" max="2835" width="1.453125" customWidth="1"/>
    <col min="2836" max="2841" width="3.54296875" customWidth="1"/>
    <col min="2842" max="2842" width="1.453125" customWidth="1"/>
    <col min="2843" max="2847" width="3.54296875" customWidth="1"/>
    <col min="2848" max="2848" width="1.453125" customWidth="1"/>
    <col min="2849" max="2853" width="3.54296875" customWidth="1"/>
    <col min="2854" max="2854" width="1.453125" customWidth="1"/>
    <col min="2855" max="2859" width="3.54296875" customWidth="1"/>
    <col min="2860" max="2860" width="3.81640625" customWidth="1"/>
    <col min="2861" max="2861" width="9.1796875" customWidth="1"/>
    <col min="3077" max="3077" width="7.81640625" customWidth="1"/>
    <col min="3078" max="3078" width="1.7265625" customWidth="1"/>
    <col min="3079" max="3084" width="3.54296875" customWidth="1"/>
    <col min="3085" max="3085" width="1.453125" customWidth="1"/>
    <col min="3086" max="3090" width="3.54296875" customWidth="1"/>
    <col min="3091" max="3091" width="1.453125" customWidth="1"/>
    <col min="3092" max="3097" width="3.54296875" customWidth="1"/>
    <col min="3098" max="3098" width="1.453125" customWidth="1"/>
    <col min="3099" max="3103" width="3.54296875" customWidth="1"/>
    <col min="3104" max="3104" width="1.453125" customWidth="1"/>
    <col min="3105" max="3109" width="3.54296875" customWidth="1"/>
    <col min="3110" max="3110" width="1.453125" customWidth="1"/>
    <col min="3111" max="3115" width="3.54296875" customWidth="1"/>
    <col min="3116" max="3116" width="3.81640625" customWidth="1"/>
    <col min="3117" max="3117" width="9.1796875" customWidth="1"/>
    <col min="3333" max="3333" width="7.81640625" customWidth="1"/>
    <col min="3334" max="3334" width="1.7265625" customWidth="1"/>
    <col min="3335" max="3340" width="3.54296875" customWidth="1"/>
    <col min="3341" max="3341" width="1.453125" customWidth="1"/>
    <col min="3342" max="3346" width="3.54296875" customWidth="1"/>
    <col min="3347" max="3347" width="1.453125" customWidth="1"/>
    <col min="3348" max="3353" width="3.54296875" customWidth="1"/>
    <col min="3354" max="3354" width="1.453125" customWidth="1"/>
    <col min="3355" max="3359" width="3.54296875" customWidth="1"/>
    <col min="3360" max="3360" width="1.453125" customWidth="1"/>
    <col min="3361" max="3365" width="3.54296875" customWidth="1"/>
    <col min="3366" max="3366" width="1.453125" customWidth="1"/>
    <col min="3367" max="3371" width="3.54296875" customWidth="1"/>
    <col min="3372" max="3372" width="3.81640625" customWidth="1"/>
    <col min="3373" max="3373" width="9.1796875" customWidth="1"/>
    <col min="3589" max="3589" width="7.81640625" customWidth="1"/>
    <col min="3590" max="3590" width="1.7265625" customWidth="1"/>
    <col min="3591" max="3596" width="3.54296875" customWidth="1"/>
    <col min="3597" max="3597" width="1.453125" customWidth="1"/>
    <col min="3598" max="3602" width="3.54296875" customWidth="1"/>
    <col min="3603" max="3603" width="1.453125" customWidth="1"/>
    <col min="3604" max="3609" width="3.54296875" customWidth="1"/>
    <col min="3610" max="3610" width="1.453125" customWidth="1"/>
    <col min="3611" max="3615" width="3.54296875" customWidth="1"/>
    <col min="3616" max="3616" width="1.453125" customWidth="1"/>
    <col min="3617" max="3621" width="3.54296875" customWidth="1"/>
    <col min="3622" max="3622" width="1.453125" customWidth="1"/>
    <col min="3623" max="3627" width="3.54296875" customWidth="1"/>
    <col min="3628" max="3628" width="3.81640625" customWidth="1"/>
    <col min="3629" max="3629" width="9.1796875" customWidth="1"/>
    <col min="3845" max="3845" width="7.81640625" customWidth="1"/>
    <col min="3846" max="3846" width="1.7265625" customWidth="1"/>
    <col min="3847" max="3852" width="3.54296875" customWidth="1"/>
    <col min="3853" max="3853" width="1.453125" customWidth="1"/>
    <col min="3854" max="3858" width="3.54296875" customWidth="1"/>
    <col min="3859" max="3859" width="1.453125" customWidth="1"/>
    <col min="3860" max="3865" width="3.54296875" customWidth="1"/>
    <col min="3866" max="3866" width="1.453125" customWidth="1"/>
    <col min="3867" max="3871" width="3.54296875" customWidth="1"/>
    <col min="3872" max="3872" width="1.453125" customWidth="1"/>
    <col min="3873" max="3877" width="3.54296875" customWidth="1"/>
    <col min="3878" max="3878" width="1.453125" customWidth="1"/>
    <col min="3879" max="3883" width="3.54296875" customWidth="1"/>
    <col min="3884" max="3884" width="3.81640625" customWidth="1"/>
    <col min="3885" max="3885" width="9.1796875" customWidth="1"/>
    <col min="4101" max="4101" width="7.81640625" customWidth="1"/>
    <col min="4102" max="4102" width="1.7265625" customWidth="1"/>
    <col min="4103" max="4108" width="3.54296875" customWidth="1"/>
    <col min="4109" max="4109" width="1.453125" customWidth="1"/>
    <col min="4110" max="4114" width="3.54296875" customWidth="1"/>
    <col min="4115" max="4115" width="1.453125" customWidth="1"/>
    <col min="4116" max="4121" width="3.54296875" customWidth="1"/>
    <col min="4122" max="4122" width="1.453125" customWidth="1"/>
    <col min="4123" max="4127" width="3.54296875" customWidth="1"/>
    <col min="4128" max="4128" width="1.453125" customWidth="1"/>
    <col min="4129" max="4133" width="3.54296875" customWidth="1"/>
    <col min="4134" max="4134" width="1.453125" customWidth="1"/>
    <col min="4135" max="4139" width="3.54296875" customWidth="1"/>
    <col min="4140" max="4140" width="3.81640625" customWidth="1"/>
    <col min="4141" max="4141" width="9.1796875" customWidth="1"/>
    <col min="4357" max="4357" width="7.81640625" customWidth="1"/>
    <col min="4358" max="4358" width="1.7265625" customWidth="1"/>
    <col min="4359" max="4364" width="3.54296875" customWidth="1"/>
    <col min="4365" max="4365" width="1.453125" customWidth="1"/>
    <col min="4366" max="4370" width="3.54296875" customWidth="1"/>
    <col min="4371" max="4371" width="1.453125" customWidth="1"/>
    <col min="4372" max="4377" width="3.54296875" customWidth="1"/>
    <col min="4378" max="4378" width="1.453125" customWidth="1"/>
    <col min="4379" max="4383" width="3.54296875" customWidth="1"/>
    <col min="4384" max="4384" width="1.453125" customWidth="1"/>
    <col min="4385" max="4389" width="3.54296875" customWidth="1"/>
    <col min="4390" max="4390" width="1.453125" customWidth="1"/>
    <col min="4391" max="4395" width="3.54296875" customWidth="1"/>
    <col min="4396" max="4396" width="3.81640625" customWidth="1"/>
    <col min="4397" max="4397" width="9.1796875" customWidth="1"/>
    <col min="4613" max="4613" width="7.81640625" customWidth="1"/>
    <col min="4614" max="4614" width="1.7265625" customWidth="1"/>
    <col min="4615" max="4620" width="3.54296875" customWidth="1"/>
    <col min="4621" max="4621" width="1.453125" customWidth="1"/>
    <col min="4622" max="4626" width="3.54296875" customWidth="1"/>
    <col min="4627" max="4627" width="1.453125" customWidth="1"/>
    <col min="4628" max="4633" width="3.54296875" customWidth="1"/>
    <col min="4634" max="4634" width="1.453125" customWidth="1"/>
    <col min="4635" max="4639" width="3.54296875" customWidth="1"/>
    <col min="4640" max="4640" width="1.453125" customWidth="1"/>
    <col min="4641" max="4645" width="3.54296875" customWidth="1"/>
    <col min="4646" max="4646" width="1.453125" customWidth="1"/>
    <col min="4647" max="4651" width="3.54296875" customWidth="1"/>
    <col min="4652" max="4652" width="3.81640625" customWidth="1"/>
    <col min="4653" max="4653" width="9.1796875" customWidth="1"/>
    <col min="4869" max="4869" width="7.81640625" customWidth="1"/>
    <col min="4870" max="4870" width="1.7265625" customWidth="1"/>
    <col min="4871" max="4876" width="3.54296875" customWidth="1"/>
    <col min="4877" max="4877" width="1.453125" customWidth="1"/>
    <col min="4878" max="4882" width="3.54296875" customWidth="1"/>
    <col min="4883" max="4883" width="1.453125" customWidth="1"/>
    <col min="4884" max="4889" width="3.54296875" customWidth="1"/>
    <col min="4890" max="4890" width="1.453125" customWidth="1"/>
    <col min="4891" max="4895" width="3.54296875" customWidth="1"/>
    <col min="4896" max="4896" width="1.453125" customWidth="1"/>
    <col min="4897" max="4901" width="3.54296875" customWidth="1"/>
    <col min="4902" max="4902" width="1.453125" customWidth="1"/>
    <col min="4903" max="4907" width="3.54296875" customWidth="1"/>
    <col min="4908" max="4908" width="3.81640625" customWidth="1"/>
    <col min="4909" max="4909" width="9.1796875" customWidth="1"/>
    <col min="5125" max="5125" width="7.81640625" customWidth="1"/>
    <col min="5126" max="5126" width="1.7265625" customWidth="1"/>
    <col min="5127" max="5132" width="3.54296875" customWidth="1"/>
    <col min="5133" max="5133" width="1.453125" customWidth="1"/>
    <col min="5134" max="5138" width="3.54296875" customWidth="1"/>
    <col min="5139" max="5139" width="1.453125" customWidth="1"/>
    <col min="5140" max="5145" width="3.54296875" customWidth="1"/>
    <col min="5146" max="5146" width="1.453125" customWidth="1"/>
    <col min="5147" max="5151" width="3.54296875" customWidth="1"/>
    <col min="5152" max="5152" width="1.453125" customWidth="1"/>
    <col min="5153" max="5157" width="3.54296875" customWidth="1"/>
    <col min="5158" max="5158" width="1.453125" customWidth="1"/>
    <col min="5159" max="5163" width="3.54296875" customWidth="1"/>
    <col min="5164" max="5164" width="3.81640625" customWidth="1"/>
    <col min="5165" max="5165" width="9.1796875" customWidth="1"/>
    <col min="5381" max="5381" width="7.81640625" customWidth="1"/>
    <col min="5382" max="5382" width="1.7265625" customWidth="1"/>
    <col min="5383" max="5388" width="3.54296875" customWidth="1"/>
    <col min="5389" max="5389" width="1.453125" customWidth="1"/>
    <col min="5390" max="5394" width="3.54296875" customWidth="1"/>
    <col min="5395" max="5395" width="1.453125" customWidth="1"/>
    <col min="5396" max="5401" width="3.54296875" customWidth="1"/>
    <col min="5402" max="5402" width="1.453125" customWidth="1"/>
    <col min="5403" max="5407" width="3.54296875" customWidth="1"/>
    <col min="5408" max="5408" width="1.453125" customWidth="1"/>
    <col min="5409" max="5413" width="3.54296875" customWidth="1"/>
    <col min="5414" max="5414" width="1.453125" customWidth="1"/>
    <col min="5415" max="5419" width="3.54296875" customWidth="1"/>
    <col min="5420" max="5420" width="3.81640625" customWidth="1"/>
    <col min="5421" max="5421" width="9.1796875" customWidth="1"/>
    <col min="5637" max="5637" width="7.81640625" customWidth="1"/>
    <col min="5638" max="5638" width="1.7265625" customWidth="1"/>
    <col min="5639" max="5644" width="3.54296875" customWidth="1"/>
    <col min="5645" max="5645" width="1.453125" customWidth="1"/>
    <col min="5646" max="5650" width="3.54296875" customWidth="1"/>
    <col min="5651" max="5651" width="1.453125" customWidth="1"/>
    <col min="5652" max="5657" width="3.54296875" customWidth="1"/>
    <col min="5658" max="5658" width="1.453125" customWidth="1"/>
    <col min="5659" max="5663" width="3.54296875" customWidth="1"/>
    <col min="5664" max="5664" width="1.453125" customWidth="1"/>
    <col min="5665" max="5669" width="3.54296875" customWidth="1"/>
    <col min="5670" max="5670" width="1.453125" customWidth="1"/>
    <col min="5671" max="5675" width="3.54296875" customWidth="1"/>
    <col min="5676" max="5676" width="3.81640625" customWidth="1"/>
    <col min="5677" max="5677" width="9.1796875" customWidth="1"/>
    <col min="5893" max="5893" width="7.81640625" customWidth="1"/>
    <col min="5894" max="5894" width="1.7265625" customWidth="1"/>
    <col min="5895" max="5900" width="3.54296875" customWidth="1"/>
    <col min="5901" max="5901" width="1.453125" customWidth="1"/>
    <col min="5902" max="5906" width="3.54296875" customWidth="1"/>
    <col min="5907" max="5907" width="1.453125" customWidth="1"/>
    <col min="5908" max="5913" width="3.54296875" customWidth="1"/>
    <col min="5914" max="5914" width="1.453125" customWidth="1"/>
    <col min="5915" max="5919" width="3.54296875" customWidth="1"/>
    <col min="5920" max="5920" width="1.453125" customWidth="1"/>
    <col min="5921" max="5925" width="3.54296875" customWidth="1"/>
    <col min="5926" max="5926" width="1.453125" customWidth="1"/>
    <col min="5927" max="5931" width="3.54296875" customWidth="1"/>
    <col min="5932" max="5932" width="3.81640625" customWidth="1"/>
    <col min="5933" max="5933" width="9.1796875" customWidth="1"/>
    <col min="6149" max="6149" width="7.81640625" customWidth="1"/>
    <col min="6150" max="6150" width="1.7265625" customWidth="1"/>
    <col min="6151" max="6156" width="3.54296875" customWidth="1"/>
    <col min="6157" max="6157" width="1.453125" customWidth="1"/>
    <col min="6158" max="6162" width="3.54296875" customWidth="1"/>
    <col min="6163" max="6163" width="1.453125" customWidth="1"/>
    <col min="6164" max="6169" width="3.54296875" customWidth="1"/>
    <col min="6170" max="6170" width="1.453125" customWidth="1"/>
    <col min="6171" max="6175" width="3.54296875" customWidth="1"/>
    <col min="6176" max="6176" width="1.453125" customWidth="1"/>
    <col min="6177" max="6181" width="3.54296875" customWidth="1"/>
    <col min="6182" max="6182" width="1.453125" customWidth="1"/>
    <col min="6183" max="6187" width="3.54296875" customWidth="1"/>
    <col min="6188" max="6188" width="3.81640625" customWidth="1"/>
    <col min="6189" max="6189" width="9.1796875" customWidth="1"/>
    <col min="6405" max="6405" width="7.81640625" customWidth="1"/>
    <col min="6406" max="6406" width="1.7265625" customWidth="1"/>
    <col min="6407" max="6412" width="3.54296875" customWidth="1"/>
    <col min="6413" max="6413" width="1.453125" customWidth="1"/>
    <col min="6414" max="6418" width="3.54296875" customWidth="1"/>
    <col min="6419" max="6419" width="1.453125" customWidth="1"/>
    <col min="6420" max="6425" width="3.54296875" customWidth="1"/>
    <col min="6426" max="6426" width="1.453125" customWidth="1"/>
    <col min="6427" max="6431" width="3.54296875" customWidth="1"/>
    <col min="6432" max="6432" width="1.453125" customWidth="1"/>
    <col min="6433" max="6437" width="3.54296875" customWidth="1"/>
    <col min="6438" max="6438" width="1.453125" customWidth="1"/>
    <col min="6439" max="6443" width="3.54296875" customWidth="1"/>
    <col min="6444" max="6444" width="3.81640625" customWidth="1"/>
    <col min="6445" max="6445" width="9.1796875" customWidth="1"/>
    <col min="6661" max="6661" width="7.81640625" customWidth="1"/>
    <col min="6662" max="6662" width="1.7265625" customWidth="1"/>
    <col min="6663" max="6668" width="3.54296875" customWidth="1"/>
    <col min="6669" max="6669" width="1.453125" customWidth="1"/>
    <col min="6670" max="6674" width="3.54296875" customWidth="1"/>
    <col min="6675" max="6675" width="1.453125" customWidth="1"/>
    <col min="6676" max="6681" width="3.54296875" customWidth="1"/>
    <col min="6682" max="6682" width="1.453125" customWidth="1"/>
    <col min="6683" max="6687" width="3.54296875" customWidth="1"/>
    <col min="6688" max="6688" width="1.453125" customWidth="1"/>
    <col min="6689" max="6693" width="3.54296875" customWidth="1"/>
    <col min="6694" max="6694" width="1.453125" customWidth="1"/>
    <col min="6695" max="6699" width="3.54296875" customWidth="1"/>
    <col min="6700" max="6700" width="3.81640625" customWidth="1"/>
    <col min="6701" max="6701" width="9.1796875" customWidth="1"/>
    <col min="6917" max="6917" width="7.81640625" customWidth="1"/>
    <col min="6918" max="6918" width="1.7265625" customWidth="1"/>
    <col min="6919" max="6924" width="3.54296875" customWidth="1"/>
    <col min="6925" max="6925" width="1.453125" customWidth="1"/>
    <col min="6926" max="6930" width="3.54296875" customWidth="1"/>
    <col min="6931" max="6931" width="1.453125" customWidth="1"/>
    <col min="6932" max="6937" width="3.54296875" customWidth="1"/>
    <col min="6938" max="6938" width="1.453125" customWidth="1"/>
    <col min="6939" max="6943" width="3.54296875" customWidth="1"/>
    <col min="6944" max="6944" width="1.453125" customWidth="1"/>
    <col min="6945" max="6949" width="3.54296875" customWidth="1"/>
    <col min="6950" max="6950" width="1.453125" customWidth="1"/>
    <col min="6951" max="6955" width="3.54296875" customWidth="1"/>
    <col min="6956" max="6956" width="3.81640625" customWidth="1"/>
    <col min="6957" max="6957" width="9.1796875" customWidth="1"/>
    <col min="7173" max="7173" width="7.81640625" customWidth="1"/>
    <col min="7174" max="7174" width="1.7265625" customWidth="1"/>
    <col min="7175" max="7180" width="3.54296875" customWidth="1"/>
    <col min="7181" max="7181" width="1.453125" customWidth="1"/>
    <col min="7182" max="7186" width="3.54296875" customWidth="1"/>
    <col min="7187" max="7187" width="1.453125" customWidth="1"/>
    <col min="7188" max="7193" width="3.54296875" customWidth="1"/>
    <col min="7194" max="7194" width="1.453125" customWidth="1"/>
    <col min="7195" max="7199" width="3.54296875" customWidth="1"/>
    <col min="7200" max="7200" width="1.453125" customWidth="1"/>
    <col min="7201" max="7205" width="3.54296875" customWidth="1"/>
    <col min="7206" max="7206" width="1.453125" customWidth="1"/>
    <col min="7207" max="7211" width="3.54296875" customWidth="1"/>
    <col min="7212" max="7212" width="3.81640625" customWidth="1"/>
    <col min="7213" max="7213" width="9.1796875" customWidth="1"/>
    <col min="7429" max="7429" width="7.81640625" customWidth="1"/>
    <col min="7430" max="7430" width="1.7265625" customWidth="1"/>
    <col min="7431" max="7436" width="3.54296875" customWidth="1"/>
    <col min="7437" max="7437" width="1.453125" customWidth="1"/>
    <col min="7438" max="7442" width="3.54296875" customWidth="1"/>
    <col min="7443" max="7443" width="1.453125" customWidth="1"/>
    <col min="7444" max="7449" width="3.54296875" customWidth="1"/>
    <col min="7450" max="7450" width="1.453125" customWidth="1"/>
    <col min="7451" max="7455" width="3.54296875" customWidth="1"/>
    <col min="7456" max="7456" width="1.453125" customWidth="1"/>
    <col min="7457" max="7461" width="3.54296875" customWidth="1"/>
    <col min="7462" max="7462" width="1.453125" customWidth="1"/>
    <col min="7463" max="7467" width="3.54296875" customWidth="1"/>
    <col min="7468" max="7468" width="3.81640625" customWidth="1"/>
    <col min="7469" max="7469" width="9.1796875" customWidth="1"/>
    <col min="7685" max="7685" width="7.81640625" customWidth="1"/>
    <col min="7686" max="7686" width="1.7265625" customWidth="1"/>
    <col min="7687" max="7692" width="3.54296875" customWidth="1"/>
    <col min="7693" max="7693" width="1.453125" customWidth="1"/>
    <col min="7694" max="7698" width="3.54296875" customWidth="1"/>
    <col min="7699" max="7699" width="1.453125" customWidth="1"/>
    <col min="7700" max="7705" width="3.54296875" customWidth="1"/>
    <col min="7706" max="7706" width="1.453125" customWidth="1"/>
    <col min="7707" max="7711" width="3.54296875" customWidth="1"/>
    <col min="7712" max="7712" width="1.453125" customWidth="1"/>
    <col min="7713" max="7717" width="3.54296875" customWidth="1"/>
    <col min="7718" max="7718" width="1.453125" customWidth="1"/>
    <col min="7719" max="7723" width="3.54296875" customWidth="1"/>
    <col min="7724" max="7724" width="3.81640625" customWidth="1"/>
    <col min="7725" max="7725" width="9.1796875" customWidth="1"/>
    <col min="7941" max="7941" width="7.81640625" customWidth="1"/>
    <col min="7942" max="7942" width="1.7265625" customWidth="1"/>
    <col min="7943" max="7948" width="3.54296875" customWidth="1"/>
    <col min="7949" max="7949" width="1.453125" customWidth="1"/>
    <col min="7950" max="7954" width="3.54296875" customWidth="1"/>
    <col min="7955" max="7955" width="1.453125" customWidth="1"/>
    <col min="7956" max="7961" width="3.54296875" customWidth="1"/>
    <col min="7962" max="7962" width="1.453125" customWidth="1"/>
    <col min="7963" max="7967" width="3.54296875" customWidth="1"/>
    <col min="7968" max="7968" width="1.453125" customWidth="1"/>
    <col min="7969" max="7973" width="3.54296875" customWidth="1"/>
    <col min="7974" max="7974" width="1.453125" customWidth="1"/>
    <col min="7975" max="7979" width="3.54296875" customWidth="1"/>
    <col min="7980" max="7980" width="3.81640625" customWidth="1"/>
    <col min="7981" max="7981" width="9.1796875" customWidth="1"/>
    <col min="8197" max="8197" width="7.81640625" customWidth="1"/>
    <col min="8198" max="8198" width="1.7265625" customWidth="1"/>
    <col min="8199" max="8204" width="3.54296875" customWidth="1"/>
    <col min="8205" max="8205" width="1.453125" customWidth="1"/>
    <col min="8206" max="8210" width="3.54296875" customWidth="1"/>
    <col min="8211" max="8211" width="1.453125" customWidth="1"/>
    <col min="8212" max="8217" width="3.54296875" customWidth="1"/>
    <col min="8218" max="8218" width="1.453125" customWidth="1"/>
    <col min="8219" max="8223" width="3.54296875" customWidth="1"/>
    <col min="8224" max="8224" width="1.453125" customWidth="1"/>
    <col min="8225" max="8229" width="3.54296875" customWidth="1"/>
    <col min="8230" max="8230" width="1.453125" customWidth="1"/>
    <col min="8231" max="8235" width="3.54296875" customWidth="1"/>
    <col min="8236" max="8236" width="3.81640625" customWidth="1"/>
    <col min="8237" max="8237" width="9.1796875" customWidth="1"/>
    <col min="8453" max="8453" width="7.81640625" customWidth="1"/>
    <col min="8454" max="8454" width="1.7265625" customWidth="1"/>
    <col min="8455" max="8460" width="3.54296875" customWidth="1"/>
    <col min="8461" max="8461" width="1.453125" customWidth="1"/>
    <col min="8462" max="8466" width="3.54296875" customWidth="1"/>
    <col min="8467" max="8467" width="1.453125" customWidth="1"/>
    <col min="8468" max="8473" width="3.54296875" customWidth="1"/>
    <col min="8474" max="8474" width="1.453125" customWidth="1"/>
    <col min="8475" max="8479" width="3.54296875" customWidth="1"/>
    <col min="8480" max="8480" width="1.453125" customWidth="1"/>
    <col min="8481" max="8485" width="3.54296875" customWidth="1"/>
    <col min="8486" max="8486" width="1.453125" customWidth="1"/>
    <col min="8487" max="8491" width="3.54296875" customWidth="1"/>
    <col min="8492" max="8492" width="3.81640625" customWidth="1"/>
    <col min="8493" max="8493" width="9.1796875" customWidth="1"/>
    <col min="8709" max="8709" width="7.81640625" customWidth="1"/>
    <col min="8710" max="8710" width="1.7265625" customWidth="1"/>
    <col min="8711" max="8716" width="3.54296875" customWidth="1"/>
    <col min="8717" max="8717" width="1.453125" customWidth="1"/>
    <col min="8718" max="8722" width="3.54296875" customWidth="1"/>
    <col min="8723" max="8723" width="1.453125" customWidth="1"/>
    <col min="8724" max="8729" width="3.54296875" customWidth="1"/>
    <col min="8730" max="8730" width="1.453125" customWidth="1"/>
    <col min="8731" max="8735" width="3.54296875" customWidth="1"/>
    <col min="8736" max="8736" width="1.453125" customWidth="1"/>
    <col min="8737" max="8741" width="3.54296875" customWidth="1"/>
    <col min="8742" max="8742" width="1.453125" customWidth="1"/>
    <col min="8743" max="8747" width="3.54296875" customWidth="1"/>
    <col min="8748" max="8748" width="3.81640625" customWidth="1"/>
    <col min="8749" max="8749" width="9.1796875" customWidth="1"/>
    <col min="8965" max="8965" width="7.81640625" customWidth="1"/>
    <col min="8966" max="8966" width="1.7265625" customWidth="1"/>
    <col min="8967" max="8972" width="3.54296875" customWidth="1"/>
    <col min="8973" max="8973" width="1.453125" customWidth="1"/>
    <col min="8974" max="8978" width="3.54296875" customWidth="1"/>
    <col min="8979" max="8979" width="1.453125" customWidth="1"/>
    <col min="8980" max="8985" width="3.54296875" customWidth="1"/>
    <col min="8986" max="8986" width="1.453125" customWidth="1"/>
    <col min="8987" max="8991" width="3.54296875" customWidth="1"/>
    <col min="8992" max="8992" width="1.453125" customWidth="1"/>
    <col min="8993" max="8997" width="3.54296875" customWidth="1"/>
    <col min="8998" max="8998" width="1.453125" customWidth="1"/>
    <col min="8999" max="9003" width="3.54296875" customWidth="1"/>
    <col min="9004" max="9004" width="3.81640625" customWidth="1"/>
    <col min="9005" max="9005" width="9.1796875" customWidth="1"/>
    <col min="9221" max="9221" width="7.81640625" customWidth="1"/>
    <col min="9222" max="9222" width="1.7265625" customWidth="1"/>
    <col min="9223" max="9228" width="3.54296875" customWidth="1"/>
    <col min="9229" max="9229" width="1.453125" customWidth="1"/>
    <col min="9230" max="9234" width="3.54296875" customWidth="1"/>
    <col min="9235" max="9235" width="1.453125" customWidth="1"/>
    <col min="9236" max="9241" width="3.54296875" customWidth="1"/>
    <col min="9242" max="9242" width="1.453125" customWidth="1"/>
    <col min="9243" max="9247" width="3.54296875" customWidth="1"/>
    <col min="9248" max="9248" width="1.453125" customWidth="1"/>
    <col min="9249" max="9253" width="3.54296875" customWidth="1"/>
    <col min="9254" max="9254" width="1.453125" customWidth="1"/>
    <col min="9255" max="9259" width="3.54296875" customWidth="1"/>
    <col min="9260" max="9260" width="3.81640625" customWidth="1"/>
    <col min="9261" max="9261" width="9.1796875" customWidth="1"/>
    <col min="9477" max="9477" width="7.81640625" customWidth="1"/>
    <col min="9478" max="9478" width="1.7265625" customWidth="1"/>
    <col min="9479" max="9484" width="3.54296875" customWidth="1"/>
    <col min="9485" max="9485" width="1.453125" customWidth="1"/>
    <col min="9486" max="9490" width="3.54296875" customWidth="1"/>
    <col min="9491" max="9491" width="1.453125" customWidth="1"/>
    <col min="9492" max="9497" width="3.54296875" customWidth="1"/>
    <col min="9498" max="9498" width="1.453125" customWidth="1"/>
    <col min="9499" max="9503" width="3.54296875" customWidth="1"/>
    <col min="9504" max="9504" width="1.453125" customWidth="1"/>
    <col min="9505" max="9509" width="3.54296875" customWidth="1"/>
    <col min="9510" max="9510" width="1.453125" customWidth="1"/>
    <col min="9511" max="9515" width="3.54296875" customWidth="1"/>
    <col min="9516" max="9516" width="3.81640625" customWidth="1"/>
    <col min="9517" max="9517" width="9.1796875" customWidth="1"/>
    <col min="9733" max="9733" width="7.81640625" customWidth="1"/>
    <col min="9734" max="9734" width="1.7265625" customWidth="1"/>
    <col min="9735" max="9740" width="3.54296875" customWidth="1"/>
    <col min="9741" max="9741" width="1.453125" customWidth="1"/>
    <col min="9742" max="9746" width="3.54296875" customWidth="1"/>
    <col min="9747" max="9747" width="1.453125" customWidth="1"/>
    <col min="9748" max="9753" width="3.54296875" customWidth="1"/>
    <col min="9754" max="9754" width="1.453125" customWidth="1"/>
    <col min="9755" max="9759" width="3.54296875" customWidth="1"/>
    <col min="9760" max="9760" width="1.453125" customWidth="1"/>
    <col min="9761" max="9765" width="3.54296875" customWidth="1"/>
    <col min="9766" max="9766" width="1.453125" customWidth="1"/>
    <col min="9767" max="9771" width="3.54296875" customWidth="1"/>
    <col min="9772" max="9772" width="3.81640625" customWidth="1"/>
    <col min="9773" max="9773" width="9.1796875" customWidth="1"/>
    <col min="9989" max="9989" width="7.81640625" customWidth="1"/>
    <col min="9990" max="9990" width="1.7265625" customWidth="1"/>
    <col min="9991" max="9996" width="3.54296875" customWidth="1"/>
    <col min="9997" max="9997" width="1.453125" customWidth="1"/>
    <col min="9998" max="10002" width="3.54296875" customWidth="1"/>
    <col min="10003" max="10003" width="1.453125" customWidth="1"/>
    <col min="10004" max="10009" width="3.54296875" customWidth="1"/>
    <col min="10010" max="10010" width="1.453125" customWidth="1"/>
    <col min="10011" max="10015" width="3.54296875" customWidth="1"/>
    <col min="10016" max="10016" width="1.453125" customWidth="1"/>
    <col min="10017" max="10021" width="3.54296875" customWidth="1"/>
    <col min="10022" max="10022" width="1.453125" customWidth="1"/>
    <col min="10023" max="10027" width="3.54296875" customWidth="1"/>
    <col min="10028" max="10028" width="3.81640625" customWidth="1"/>
    <col min="10029" max="10029" width="9.1796875" customWidth="1"/>
    <col min="10245" max="10245" width="7.81640625" customWidth="1"/>
    <col min="10246" max="10246" width="1.7265625" customWidth="1"/>
    <col min="10247" max="10252" width="3.54296875" customWidth="1"/>
    <col min="10253" max="10253" width="1.453125" customWidth="1"/>
    <col min="10254" max="10258" width="3.54296875" customWidth="1"/>
    <col min="10259" max="10259" width="1.453125" customWidth="1"/>
    <col min="10260" max="10265" width="3.54296875" customWidth="1"/>
    <col min="10266" max="10266" width="1.453125" customWidth="1"/>
    <col min="10267" max="10271" width="3.54296875" customWidth="1"/>
    <col min="10272" max="10272" width="1.453125" customWidth="1"/>
    <col min="10273" max="10277" width="3.54296875" customWidth="1"/>
    <col min="10278" max="10278" width="1.453125" customWidth="1"/>
    <col min="10279" max="10283" width="3.54296875" customWidth="1"/>
    <col min="10284" max="10284" width="3.81640625" customWidth="1"/>
    <col min="10285" max="10285" width="9.1796875" customWidth="1"/>
    <col min="10501" max="10501" width="7.81640625" customWidth="1"/>
    <col min="10502" max="10502" width="1.7265625" customWidth="1"/>
    <col min="10503" max="10508" width="3.54296875" customWidth="1"/>
    <col min="10509" max="10509" width="1.453125" customWidth="1"/>
    <col min="10510" max="10514" width="3.54296875" customWidth="1"/>
    <col min="10515" max="10515" width="1.453125" customWidth="1"/>
    <col min="10516" max="10521" width="3.54296875" customWidth="1"/>
    <col min="10522" max="10522" width="1.453125" customWidth="1"/>
    <col min="10523" max="10527" width="3.54296875" customWidth="1"/>
    <col min="10528" max="10528" width="1.453125" customWidth="1"/>
    <col min="10529" max="10533" width="3.54296875" customWidth="1"/>
    <col min="10534" max="10534" width="1.453125" customWidth="1"/>
    <col min="10535" max="10539" width="3.54296875" customWidth="1"/>
    <col min="10540" max="10540" width="3.81640625" customWidth="1"/>
    <col min="10541" max="10541" width="9.1796875" customWidth="1"/>
    <col min="10757" max="10757" width="7.81640625" customWidth="1"/>
    <col min="10758" max="10758" width="1.7265625" customWidth="1"/>
    <col min="10759" max="10764" width="3.54296875" customWidth="1"/>
    <col min="10765" max="10765" width="1.453125" customWidth="1"/>
    <col min="10766" max="10770" width="3.54296875" customWidth="1"/>
    <col min="10771" max="10771" width="1.453125" customWidth="1"/>
    <col min="10772" max="10777" width="3.54296875" customWidth="1"/>
    <col min="10778" max="10778" width="1.453125" customWidth="1"/>
    <col min="10779" max="10783" width="3.54296875" customWidth="1"/>
    <col min="10784" max="10784" width="1.453125" customWidth="1"/>
    <col min="10785" max="10789" width="3.54296875" customWidth="1"/>
    <col min="10790" max="10790" width="1.453125" customWidth="1"/>
    <col min="10791" max="10795" width="3.54296875" customWidth="1"/>
    <col min="10796" max="10796" width="3.81640625" customWidth="1"/>
    <col min="10797" max="10797" width="9.1796875" customWidth="1"/>
    <col min="11013" max="11013" width="7.81640625" customWidth="1"/>
    <col min="11014" max="11014" width="1.7265625" customWidth="1"/>
    <col min="11015" max="11020" width="3.54296875" customWidth="1"/>
    <col min="11021" max="11021" width="1.453125" customWidth="1"/>
    <col min="11022" max="11026" width="3.54296875" customWidth="1"/>
    <col min="11027" max="11027" width="1.453125" customWidth="1"/>
    <col min="11028" max="11033" width="3.54296875" customWidth="1"/>
    <col min="11034" max="11034" width="1.453125" customWidth="1"/>
    <col min="11035" max="11039" width="3.54296875" customWidth="1"/>
    <col min="11040" max="11040" width="1.453125" customWidth="1"/>
    <col min="11041" max="11045" width="3.54296875" customWidth="1"/>
    <col min="11046" max="11046" width="1.453125" customWidth="1"/>
    <col min="11047" max="11051" width="3.54296875" customWidth="1"/>
    <col min="11052" max="11052" width="3.81640625" customWidth="1"/>
    <col min="11053" max="11053" width="9.1796875" customWidth="1"/>
    <col min="11269" max="11269" width="7.81640625" customWidth="1"/>
    <col min="11270" max="11270" width="1.7265625" customWidth="1"/>
    <col min="11271" max="11276" width="3.54296875" customWidth="1"/>
    <col min="11277" max="11277" width="1.453125" customWidth="1"/>
    <col min="11278" max="11282" width="3.54296875" customWidth="1"/>
    <col min="11283" max="11283" width="1.453125" customWidth="1"/>
    <col min="11284" max="11289" width="3.54296875" customWidth="1"/>
    <col min="11290" max="11290" width="1.453125" customWidth="1"/>
    <col min="11291" max="11295" width="3.54296875" customWidth="1"/>
    <col min="11296" max="11296" width="1.453125" customWidth="1"/>
    <col min="11297" max="11301" width="3.54296875" customWidth="1"/>
    <col min="11302" max="11302" width="1.453125" customWidth="1"/>
    <col min="11303" max="11307" width="3.54296875" customWidth="1"/>
    <col min="11308" max="11308" width="3.81640625" customWidth="1"/>
    <col min="11309" max="11309" width="9.1796875" customWidth="1"/>
    <col min="11525" max="11525" width="7.81640625" customWidth="1"/>
    <col min="11526" max="11526" width="1.7265625" customWidth="1"/>
    <col min="11527" max="11532" width="3.54296875" customWidth="1"/>
    <col min="11533" max="11533" width="1.453125" customWidth="1"/>
    <col min="11534" max="11538" width="3.54296875" customWidth="1"/>
    <col min="11539" max="11539" width="1.453125" customWidth="1"/>
    <col min="11540" max="11545" width="3.54296875" customWidth="1"/>
    <col min="11546" max="11546" width="1.453125" customWidth="1"/>
    <col min="11547" max="11551" width="3.54296875" customWidth="1"/>
    <col min="11552" max="11552" width="1.453125" customWidth="1"/>
    <col min="11553" max="11557" width="3.54296875" customWidth="1"/>
    <col min="11558" max="11558" width="1.453125" customWidth="1"/>
    <col min="11559" max="11563" width="3.54296875" customWidth="1"/>
    <col min="11564" max="11564" width="3.81640625" customWidth="1"/>
    <col min="11565" max="11565" width="9.1796875" customWidth="1"/>
    <col min="11781" max="11781" width="7.81640625" customWidth="1"/>
    <col min="11782" max="11782" width="1.7265625" customWidth="1"/>
    <col min="11783" max="11788" width="3.54296875" customWidth="1"/>
    <col min="11789" max="11789" width="1.453125" customWidth="1"/>
    <col min="11790" max="11794" width="3.54296875" customWidth="1"/>
    <col min="11795" max="11795" width="1.453125" customWidth="1"/>
    <col min="11796" max="11801" width="3.54296875" customWidth="1"/>
    <col min="11802" max="11802" width="1.453125" customWidth="1"/>
    <col min="11803" max="11807" width="3.54296875" customWidth="1"/>
    <col min="11808" max="11808" width="1.453125" customWidth="1"/>
    <col min="11809" max="11813" width="3.54296875" customWidth="1"/>
    <col min="11814" max="11814" width="1.453125" customWidth="1"/>
    <col min="11815" max="11819" width="3.54296875" customWidth="1"/>
    <col min="11820" max="11820" width="3.81640625" customWidth="1"/>
    <col min="11821" max="11821" width="9.1796875" customWidth="1"/>
    <col min="12037" max="12037" width="7.81640625" customWidth="1"/>
    <col min="12038" max="12038" width="1.7265625" customWidth="1"/>
    <col min="12039" max="12044" width="3.54296875" customWidth="1"/>
    <col min="12045" max="12045" width="1.453125" customWidth="1"/>
    <col min="12046" max="12050" width="3.54296875" customWidth="1"/>
    <col min="12051" max="12051" width="1.453125" customWidth="1"/>
    <col min="12052" max="12057" width="3.54296875" customWidth="1"/>
    <col min="12058" max="12058" width="1.453125" customWidth="1"/>
    <col min="12059" max="12063" width="3.54296875" customWidth="1"/>
    <col min="12064" max="12064" width="1.453125" customWidth="1"/>
    <col min="12065" max="12069" width="3.54296875" customWidth="1"/>
    <col min="12070" max="12070" width="1.453125" customWidth="1"/>
    <col min="12071" max="12075" width="3.54296875" customWidth="1"/>
    <col min="12076" max="12076" width="3.81640625" customWidth="1"/>
    <col min="12077" max="12077" width="9.1796875" customWidth="1"/>
    <col min="12293" max="12293" width="7.81640625" customWidth="1"/>
    <col min="12294" max="12294" width="1.7265625" customWidth="1"/>
    <col min="12295" max="12300" width="3.54296875" customWidth="1"/>
    <col min="12301" max="12301" width="1.453125" customWidth="1"/>
    <col min="12302" max="12306" width="3.54296875" customWidth="1"/>
    <col min="12307" max="12307" width="1.453125" customWidth="1"/>
    <col min="12308" max="12313" width="3.54296875" customWidth="1"/>
    <col min="12314" max="12314" width="1.453125" customWidth="1"/>
    <col min="12315" max="12319" width="3.54296875" customWidth="1"/>
    <col min="12320" max="12320" width="1.453125" customWidth="1"/>
    <col min="12321" max="12325" width="3.54296875" customWidth="1"/>
    <col min="12326" max="12326" width="1.453125" customWidth="1"/>
    <col min="12327" max="12331" width="3.54296875" customWidth="1"/>
    <col min="12332" max="12332" width="3.81640625" customWidth="1"/>
    <col min="12333" max="12333" width="9.1796875" customWidth="1"/>
    <col min="12549" max="12549" width="7.81640625" customWidth="1"/>
    <col min="12550" max="12550" width="1.7265625" customWidth="1"/>
    <col min="12551" max="12556" width="3.54296875" customWidth="1"/>
    <col min="12557" max="12557" width="1.453125" customWidth="1"/>
    <col min="12558" max="12562" width="3.54296875" customWidth="1"/>
    <col min="12563" max="12563" width="1.453125" customWidth="1"/>
    <col min="12564" max="12569" width="3.54296875" customWidth="1"/>
    <col min="12570" max="12570" width="1.453125" customWidth="1"/>
    <col min="12571" max="12575" width="3.54296875" customWidth="1"/>
    <col min="12576" max="12576" width="1.453125" customWidth="1"/>
    <col min="12577" max="12581" width="3.54296875" customWidth="1"/>
    <col min="12582" max="12582" width="1.453125" customWidth="1"/>
    <col min="12583" max="12587" width="3.54296875" customWidth="1"/>
    <col min="12588" max="12588" width="3.81640625" customWidth="1"/>
    <col min="12589" max="12589" width="9.1796875" customWidth="1"/>
    <col min="12805" max="12805" width="7.81640625" customWidth="1"/>
    <col min="12806" max="12806" width="1.7265625" customWidth="1"/>
    <col min="12807" max="12812" width="3.54296875" customWidth="1"/>
    <col min="12813" max="12813" width="1.453125" customWidth="1"/>
    <col min="12814" max="12818" width="3.54296875" customWidth="1"/>
    <col min="12819" max="12819" width="1.453125" customWidth="1"/>
    <col min="12820" max="12825" width="3.54296875" customWidth="1"/>
    <col min="12826" max="12826" width="1.453125" customWidth="1"/>
    <col min="12827" max="12831" width="3.54296875" customWidth="1"/>
    <col min="12832" max="12832" width="1.453125" customWidth="1"/>
    <col min="12833" max="12837" width="3.54296875" customWidth="1"/>
    <col min="12838" max="12838" width="1.453125" customWidth="1"/>
    <col min="12839" max="12843" width="3.54296875" customWidth="1"/>
    <col min="12844" max="12844" width="3.81640625" customWidth="1"/>
    <col min="12845" max="12845" width="9.1796875" customWidth="1"/>
    <col min="13061" max="13061" width="7.81640625" customWidth="1"/>
    <col min="13062" max="13062" width="1.7265625" customWidth="1"/>
    <col min="13063" max="13068" width="3.54296875" customWidth="1"/>
    <col min="13069" max="13069" width="1.453125" customWidth="1"/>
    <col min="13070" max="13074" width="3.54296875" customWidth="1"/>
    <col min="13075" max="13075" width="1.453125" customWidth="1"/>
    <col min="13076" max="13081" width="3.54296875" customWidth="1"/>
    <col min="13082" max="13082" width="1.453125" customWidth="1"/>
    <col min="13083" max="13087" width="3.54296875" customWidth="1"/>
    <col min="13088" max="13088" width="1.453125" customWidth="1"/>
    <col min="13089" max="13093" width="3.54296875" customWidth="1"/>
    <col min="13094" max="13094" width="1.453125" customWidth="1"/>
    <col min="13095" max="13099" width="3.54296875" customWidth="1"/>
    <col min="13100" max="13100" width="3.81640625" customWidth="1"/>
    <col min="13101" max="13101" width="9.1796875" customWidth="1"/>
    <col min="13317" max="13317" width="7.81640625" customWidth="1"/>
    <col min="13318" max="13318" width="1.7265625" customWidth="1"/>
    <col min="13319" max="13324" width="3.54296875" customWidth="1"/>
    <col min="13325" max="13325" width="1.453125" customWidth="1"/>
    <col min="13326" max="13330" width="3.54296875" customWidth="1"/>
    <col min="13331" max="13331" width="1.453125" customWidth="1"/>
    <col min="13332" max="13337" width="3.54296875" customWidth="1"/>
    <col min="13338" max="13338" width="1.453125" customWidth="1"/>
    <col min="13339" max="13343" width="3.54296875" customWidth="1"/>
    <col min="13344" max="13344" width="1.453125" customWidth="1"/>
    <col min="13345" max="13349" width="3.54296875" customWidth="1"/>
    <col min="13350" max="13350" width="1.453125" customWidth="1"/>
    <col min="13351" max="13355" width="3.54296875" customWidth="1"/>
    <col min="13356" max="13356" width="3.81640625" customWidth="1"/>
    <col min="13357" max="13357" width="9.1796875" customWidth="1"/>
    <col min="13573" max="13573" width="7.81640625" customWidth="1"/>
    <col min="13574" max="13574" width="1.7265625" customWidth="1"/>
    <col min="13575" max="13580" width="3.54296875" customWidth="1"/>
    <col min="13581" max="13581" width="1.453125" customWidth="1"/>
    <col min="13582" max="13586" width="3.54296875" customWidth="1"/>
    <col min="13587" max="13587" width="1.453125" customWidth="1"/>
    <col min="13588" max="13593" width="3.54296875" customWidth="1"/>
    <col min="13594" max="13594" width="1.453125" customWidth="1"/>
    <col min="13595" max="13599" width="3.54296875" customWidth="1"/>
    <col min="13600" max="13600" width="1.453125" customWidth="1"/>
    <col min="13601" max="13605" width="3.54296875" customWidth="1"/>
    <col min="13606" max="13606" width="1.453125" customWidth="1"/>
    <col min="13607" max="13611" width="3.54296875" customWidth="1"/>
    <col min="13612" max="13612" width="3.81640625" customWidth="1"/>
    <col min="13613" max="13613" width="9.1796875" customWidth="1"/>
    <col min="13829" max="13829" width="7.81640625" customWidth="1"/>
    <col min="13830" max="13830" width="1.7265625" customWidth="1"/>
    <col min="13831" max="13836" width="3.54296875" customWidth="1"/>
    <col min="13837" max="13837" width="1.453125" customWidth="1"/>
    <col min="13838" max="13842" width="3.54296875" customWidth="1"/>
    <col min="13843" max="13843" width="1.453125" customWidth="1"/>
    <col min="13844" max="13849" width="3.54296875" customWidth="1"/>
    <col min="13850" max="13850" width="1.453125" customWidth="1"/>
    <col min="13851" max="13855" width="3.54296875" customWidth="1"/>
    <col min="13856" max="13856" width="1.453125" customWidth="1"/>
    <col min="13857" max="13861" width="3.54296875" customWidth="1"/>
    <col min="13862" max="13862" width="1.453125" customWidth="1"/>
    <col min="13863" max="13867" width="3.54296875" customWidth="1"/>
    <col min="13868" max="13868" width="3.81640625" customWidth="1"/>
    <col min="13869" max="13869" width="9.1796875" customWidth="1"/>
    <col min="14085" max="14085" width="7.81640625" customWidth="1"/>
    <col min="14086" max="14086" width="1.7265625" customWidth="1"/>
    <col min="14087" max="14092" width="3.54296875" customWidth="1"/>
    <col min="14093" max="14093" width="1.453125" customWidth="1"/>
    <col min="14094" max="14098" width="3.54296875" customWidth="1"/>
    <col min="14099" max="14099" width="1.453125" customWidth="1"/>
    <col min="14100" max="14105" width="3.54296875" customWidth="1"/>
    <col min="14106" max="14106" width="1.453125" customWidth="1"/>
    <col min="14107" max="14111" width="3.54296875" customWidth="1"/>
    <col min="14112" max="14112" width="1.453125" customWidth="1"/>
    <col min="14113" max="14117" width="3.54296875" customWidth="1"/>
    <col min="14118" max="14118" width="1.453125" customWidth="1"/>
    <col min="14119" max="14123" width="3.54296875" customWidth="1"/>
    <col min="14124" max="14124" width="3.81640625" customWidth="1"/>
    <col min="14125" max="14125" width="9.1796875" customWidth="1"/>
    <col min="14341" max="14341" width="7.81640625" customWidth="1"/>
    <col min="14342" max="14342" width="1.7265625" customWidth="1"/>
    <col min="14343" max="14348" width="3.54296875" customWidth="1"/>
    <col min="14349" max="14349" width="1.453125" customWidth="1"/>
    <col min="14350" max="14354" width="3.54296875" customWidth="1"/>
    <col min="14355" max="14355" width="1.453125" customWidth="1"/>
    <col min="14356" max="14361" width="3.54296875" customWidth="1"/>
    <col min="14362" max="14362" width="1.453125" customWidth="1"/>
    <col min="14363" max="14367" width="3.54296875" customWidth="1"/>
    <col min="14368" max="14368" width="1.453125" customWidth="1"/>
    <col min="14369" max="14373" width="3.54296875" customWidth="1"/>
    <col min="14374" max="14374" width="1.453125" customWidth="1"/>
    <col min="14375" max="14379" width="3.54296875" customWidth="1"/>
    <col min="14380" max="14380" width="3.81640625" customWidth="1"/>
    <col min="14381" max="14381" width="9.1796875" customWidth="1"/>
    <col min="14597" max="14597" width="7.81640625" customWidth="1"/>
    <col min="14598" max="14598" width="1.7265625" customWidth="1"/>
    <col min="14599" max="14604" width="3.54296875" customWidth="1"/>
    <col min="14605" max="14605" width="1.453125" customWidth="1"/>
    <col min="14606" max="14610" width="3.54296875" customWidth="1"/>
    <col min="14611" max="14611" width="1.453125" customWidth="1"/>
    <col min="14612" max="14617" width="3.54296875" customWidth="1"/>
    <col min="14618" max="14618" width="1.453125" customWidth="1"/>
    <col min="14619" max="14623" width="3.54296875" customWidth="1"/>
    <col min="14624" max="14624" width="1.453125" customWidth="1"/>
    <col min="14625" max="14629" width="3.54296875" customWidth="1"/>
    <col min="14630" max="14630" width="1.453125" customWidth="1"/>
    <col min="14631" max="14635" width="3.54296875" customWidth="1"/>
    <col min="14636" max="14636" width="3.81640625" customWidth="1"/>
    <col min="14637" max="14637" width="9.1796875" customWidth="1"/>
    <col min="14853" max="14853" width="7.81640625" customWidth="1"/>
    <col min="14854" max="14854" width="1.7265625" customWidth="1"/>
    <col min="14855" max="14860" width="3.54296875" customWidth="1"/>
    <col min="14861" max="14861" width="1.453125" customWidth="1"/>
    <col min="14862" max="14866" width="3.54296875" customWidth="1"/>
    <col min="14867" max="14867" width="1.453125" customWidth="1"/>
    <col min="14868" max="14873" width="3.54296875" customWidth="1"/>
    <col min="14874" max="14874" width="1.453125" customWidth="1"/>
    <col min="14875" max="14879" width="3.54296875" customWidth="1"/>
    <col min="14880" max="14880" width="1.453125" customWidth="1"/>
    <col min="14881" max="14885" width="3.54296875" customWidth="1"/>
    <col min="14886" max="14886" width="1.453125" customWidth="1"/>
    <col min="14887" max="14891" width="3.54296875" customWidth="1"/>
    <col min="14892" max="14892" width="3.81640625" customWidth="1"/>
    <col min="14893" max="14893" width="9.1796875" customWidth="1"/>
    <col min="15109" max="15109" width="7.81640625" customWidth="1"/>
    <col min="15110" max="15110" width="1.7265625" customWidth="1"/>
    <col min="15111" max="15116" width="3.54296875" customWidth="1"/>
    <col min="15117" max="15117" width="1.453125" customWidth="1"/>
    <col min="15118" max="15122" width="3.54296875" customWidth="1"/>
    <col min="15123" max="15123" width="1.453125" customWidth="1"/>
    <col min="15124" max="15129" width="3.54296875" customWidth="1"/>
    <col min="15130" max="15130" width="1.453125" customWidth="1"/>
    <col min="15131" max="15135" width="3.54296875" customWidth="1"/>
    <col min="15136" max="15136" width="1.453125" customWidth="1"/>
    <col min="15137" max="15141" width="3.54296875" customWidth="1"/>
    <col min="15142" max="15142" width="1.453125" customWidth="1"/>
    <col min="15143" max="15147" width="3.54296875" customWidth="1"/>
    <col min="15148" max="15148" width="3.81640625" customWidth="1"/>
    <col min="15149" max="15149" width="9.1796875" customWidth="1"/>
    <col min="15365" max="15365" width="7.81640625" customWidth="1"/>
    <col min="15366" max="15366" width="1.7265625" customWidth="1"/>
    <col min="15367" max="15372" width="3.54296875" customWidth="1"/>
    <col min="15373" max="15373" width="1.453125" customWidth="1"/>
    <col min="15374" max="15378" width="3.54296875" customWidth="1"/>
    <col min="15379" max="15379" width="1.453125" customWidth="1"/>
    <col min="15380" max="15385" width="3.54296875" customWidth="1"/>
    <col min="15386" max="15386" width="1.453125" customWidth="1"/>
    <col min="15387" max="15391" width="3.54296875" customWidth="1"/>
    <col min="15392" max="15392" width="1.453125" customWidth="1"/>
    <col min="15393" max="15397" width="3.54296875" customWidth="1"/>
    <col min="15398" max="15398" width="1.453125" customWidth="1"/>
    <col min="15399" max="15403" width="3.54296875" customWidth="1"/>
    <col min="15404" max="15404" width="3.81640625" customWidth="1"/>
    <col min="15405" max="15405" width="9.1796875" customWidth="1"/>
    <col min="15621" max="15621" width="7.81640625" customWidth="1"/>
    <col min="15622" max="15622" width="1.7265625" customWidth="1"/>
    <col min="15623" max="15628" width="3.54296875" customWidth="1"/>
    <col min="15629" max="15629" width="1.453125" customWidth="1"/>
    <col min="15630" max="15634" width="3.54296875" customWidth="1"/>
    <col min="15635" max="15635" width="1.453125" customWidth="1"/>
    <col min="15636" max="15641" width="3.54296875" customWidth="1"/>
    <col min="15642" max="15642" width="1.453125" customWidth="1"/>
    <col min="15643" max="15647" width="3.54296875" customWidth="1"/>
    <col min="15648" max="15648" width="1.453125" customWidth="1"/>
    <col min="15649" max="15653" width="3.54296875" customWidth="1"/>
    <col min="15654" max="15654" width="1.453125" customWidth="1"/>
    <col min="15655" max="15659" width="3.54296875" customWidth="1"/>
    <col min="15660" max="15660" width="3.81640625" customWidth="1"/>
    <col min="15661" max="15661" width="9.1796875" customWidth="1"/>
    <col min="15877" max="15877" width="7.81640625" customWidth="1"/>
    <col min="15878" max="15878" width="1.7265625" customWidth="1"/>
    <col min="15879" max="15884" width="3.54296875" customWidth="1"/>
    <col min="15885" max="15885" width="1.453125" customWidth="1"/>
    <col min="15886" max="15890" width="3.54296875" customWidth="1"/>
    <col min="15891" max="15891" width="1.453125" customWidth="1"/>
    <col min="15892" max="15897" width="3.54296875" customWidth="1"/>
    <col min="15898" max="15898" width="1.453125" customWidth="1"/>
    <col min="15899" max="15903" width="3.54296875" customWidth="1"/>
    <col min="15904" max="15904" width="1.453125" customWidth="1"/>
    <col min="15905" max="15909" width="3.54296875" customWidth="1"/>
    <col min="15910" max="15910" width="1.453125" customWidth="1"/>
    <col min="15911" max="15915" width="3.54296875" customWidth="1"/>
    <col min="15916" max="15916" width="3.81640625" customWidth="1"/>
    <col min="15917" max="15917" width="9.1796875" customWidth="1"/>
    <col min="16133" max="16133" width="7.81640625" customWidth="1"/>
    <col min="16134" max="16134" width="1.7265625" customWidth="1"/>
    <col min="16135" max="16140" width="3.54296875" customWidth="1"/>
    <col min="16141" max="16141" width="1.453125" customWidth="1"/>
    <col min="16142" max="16146" width="3.54296875" customWidth="1"/>
    <col min="16147" max="16147" width="1.453125" customWidth="1"/>
    <col min="16148" max="16153" width="3.54296875" customWidth="1"/>
    <col min="16154" max="16154" width="1.453125" customWidth="1"/>
    <col min="16155" max="16159" width="3.54296875" customWidth="1"/>
    <col min="16160" max="16160" width="1.453125" customWidth="1"/>
    <col min="16161" max="16165" width="3.54296875" customWidth="1"/>
    <col min="16166" max="16166" width="1.453125" customWidth="1"/>
    <col min="16167" max="16171" width="3.54296875" customWidth="1"/>
    <col min="16172" max="16172" width="3.81640625" customWidth="1"/>
    <col min="16173" max="16173" width="9.1796875" customWidth="1"/>
  </cols>
  <sheetData>
    <row r="1" spans="1:62" x14ac:dyDescent="0.35">
      <c r="M1" s="533" t="s">
        <v>746</v>
      </c>
      <c r="N1" s="533"/>
      <c r="O1" s="533"/>
      <c r="P1" s="533"/>
    </row>
    <row r="2" spans="1:62" ht="16.5" customHeight="1" x14ac:dyDescent="0.35">
      <c r="A2" s="364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534">
        <v>45483</v>
      </c>
      <c r="N2" s="534"/>
      <c r="O2" s="534"/>
      <c r="P2" s="534"/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5"/>
      <c r="AO2" s="365"/>
      <c r="AV2" s="365"/>
      <c r="AW2" s="365"/>
      <c r="AX2" s="365"/>
      <c r="AY2" s="365"/>
      <c r="AZ2" s="365"/>
      <c r="BA2" s="365"/>
      <c r="BB2" s="365"/>
      <c r="BC2" s="365"/>
      <c r="BD2" s="365"/>
      <c r="BE2" s="365"/>
      <c r="BF2" s="365"/>
      <c r="BG2" s="365"/>
      <c r="BH2" s="365"/>
      <c r="BI2" s="365"/>
      <c r="BJ2" s="366"/>
    </row>
    <row r="3" spans="1:62" ht="11.25" customHeight="1" thickBot="1" x14ac:dyDescent="0.4">
      <c r="A3" s="364"/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5"/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</row>
    <row r="4" spans="1:62" ht="18.75" customHeight="1" x14ac:dyDescent="0.45">
      <c r="A4" s="364"/>
      <c r="B4" s="417"/>
      <c r="C4" s="545" t="s">
        <v>36</v>
      </c>
      <c r="D4" s="545"/>
      <c r="E4" s="545"/>
      <c r="F4" s="545"/>
      <c r="G4" s="545"/>
      <c r="H4" s="545"/>
      <c r="I4" s="545"/>
      <c r="J4" s="545"/>
      <c r="K4" s="545"/>
      <c r="L4" s="545"/>
      <c r="M4" s="545"/>
      <c r="N4" s="545"/>
      <c r="O4" s="545"/>
      <c r="P4" s="418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  <c r="AW4" s="365"/>
      <c r="AX4" s="365"/>
      <c r="AY4" s="365"/>
      <c r="AZ4" s="365"/>
      <c r="BA4" s="365"/>
      <c r="BB4" s="365"/>
      <c r="BC4" s="365"/>
      <c r="BD4" s="365"/>
      <c r="BE4" s="365"/>
      <c r="BF4" s="365"/>
      <c r="BG4" s="365"/>
      <c r="BH4" s="365"/>
      <c r="BI4" s="365"/>
      <c r="BJ4" s="365"/>
    </row>
    <row r="5" spans="1:62" x14ac:dyDescent="0.35">
      <c r="B5" s="419"/>
      <c r="C5" s="546" t="s">
        <v>926</v>
      </c>
      <c r="D5" s="546"/>
      <c r="E5" s="546"/>
      <c r="F5" s="546"/>
      <c r="G5" s="546"/>
      <c r="H5" s="546"/>
      <c r="I5" s="546"/>
      <c r="J5" s="546"/>
      <c r="K5" s="546"/>
      <c r="L5" s="546"/>
      <c r="M5" s="546"/>
      <c r="N5" s="546"/>
      <c r="O5" s="546"/>
      <c r="P5" s="420"/>
    </row>
    <row r="6" spans="1:62" ht="15" thickBot="1" x14ac:dyDescent="0.4">
      <c r="B6" s="419"/>
      <c r="C6" s="421"/>
      <c r="D6" s="422"/>
      <c r="E6" s="422"/>
      <c r="F6" s="422"/>
      <c r="G6" s="422"/>
      <c r="H6" s="422"/>
      <c r="I6" s="422"/>
      <c r="J6" s="422"/>
      <c r="K6" s="423"/>
      <c r="L6" s="423"/>
      <c r="M6" s="423"/>
      <c r="N6" s="423"/>
      <c r="O6" s="423"/>
      <c r="P6" s="420"/>
    </row>
    <row r="7" spans="1:62" x14ac:dyDescent="0.35">
      <c r="B7" s="424"/>
      <c r="C7" s="435" t="s">
        <v>927</v>
      </c>
      <c r="D7" s="436"/>
      <c r="E7" s="436"/>
      <c r="F7" s="436"/>
      <c r="G7" s="436"/>
      <c r="H7" s="436"/>
      <c r="I7" s="436"/>
      <c r="J7" s="436"/>
      <c r="K7" s="537"/>
      <c r="L7" s="537"/>
      <c r="M7" s="537"/>
      <c r="N7" s="537"/>
      <c r="O7" s="537"/>
      <c r="P7" s="425"/>
    </row>
    <row r="8" spans="1:62" x14ac:dyDescent="0.35">
      <c r="B8" s="426"/>
      <c r="C8" s="437" t="s">
        <v>928</v>
      </c>
      <c r="D8" s="438"/>
      <c r="E8" s="438"/>
      <c r="F8" s="438"/>
      <c r="G8" s="438"/>
      <c r="H8" s="438"/>
      <c r="I8" s="438"/>
      <c r="J8" s="438"/>
      <c r="K8" s="535"/>
      <c r="L8" s="535"/>
      <c r="M8" s="535"/>
      <c r="N8" s="535"/>
      <c r="O8" s="535"/>
      <c r="P8" s="427"/>
    </row>
    <row r="9" spans="1:62" x14ac:dyDescent="0.35">
      <c r="B9" s="426"/>
      <c r="C9" s="439" t="s">
        <v>677</v>
      </c>
      <c r="D9" s="440"/>
      <c r="E9" s="441">
        <v>7</v>
      </c>
      <c r="F9" s="441">
        <v>14</v>
      </c>
      <c r="G9" s="441">
        <v>21</v>
      </c>
      <c r="H9" s="442">
        <v>28</v>
      </c>
      <c r="I9" s="443"/>
      <c r="J9" s="444"/>
      <c r="K9" s="536" t="s">
        <v>929</v>
      </c>
      <c r="L9" s="535"/>
      <c r="M9" s="535"/>
      <c r="N9" s="535"/>
      <c r="O9" s="535"/>
      <c r="P9" s="427"/>
    </row>
    <row r="10" spans="1:62" x14ac:dyDescent="0.35">
      <c r="B10" s="426"/>
      <c r="C10" s="439" t="s">
        <v>21</v>
      </c>
      <c r="D10" s="445">
        <v>1</v>
      </c>
      <c r="E10" s="445">
        <v>8</v>
      </c>
      <c r="F10" s="446">
        <v>15</v>
      </c>
      <c r="G10" s="447">
        <v>22</v>
      </c>
      <c r="H10" s="448">
        <v>29</v>
      </c>
      <c r="I10" s="449"/>
      <c r="J10" s="444"/>
      <c r="K10" s="536" t="s">
        <v>930</v>
      </c>
      <c r="L10" s="535"/>
      <c r="M10" s="535"/>
      <c r="N10" s="535"/>
      <c r="O10" s="535"/>
      <c r="P10" s="427"/>
    </row>
    <row r="11" spans="1:62" x14ac:dyDescent="0.35">
      <c r="B11" s="426"/>
      <c r="C11" s="439" t="s">
        <v>22</v>
      </c>
      <c r="D11" s="445">
        <v>2</v>
      </c>
      <c r="E11" s="445">
        <v>9</v>
      </c>
      <c r="F11" s="446">
        <v>16</v>
      </c>
      <c r="G11" s="447">
        <v>23</v>
      </c>
      <c r="H11" s="448">
        <v>30</v>
      </c>
      <c r="I11" s="449"/>
      <c r="J11" s="444"/>
      <c r="K11" s="536" t="s">
        <v>931</v>
      </c>
      <c r="L11" s="535"/>
      <c r="M11" s="535"/>
      <c r="N11" s="535"/>
      <c r="O11" s="535"/>
      <c r="P11" s="427"/>
    </row>
    <row r="12" spans="1:62" x14ac:dyDescent="0.35">
      <c r="B12" s="426"/>
      <c r="C12" s="439" t="s">
        <v>23</v>
      </c>
      <c r="D12" s="445">
        <v>3</v>
      </c>
      <c r="E12" s="445">
        <v>10</v>
      </c>
      <c r="F12" s="446">
        <v>17</v>
      </c>
      <c r="G12" s="447">
        <v>24</v>
      </c>
      <c r="H12" s="448">
        <v>31</v>
      </c>
      <c r="I12" s="449"/>
      <c r="J12" s="444"/>
      <c r="K12" s="536" t="s">
        <v>932</v>
      </c>
      <c r="L12" s="535"/>
      <c r="M12" s="535"/>
      <c r="N12" s="535"/>
      <c r="O12" s="535"/>
      <c r="P12" s="427"/>
    </row>
    <row r="13" spans="1:62" x14ac:dyDescent="0.35">
      <c r="B13" s="426"/>
      <c r="C13" s="439" t="s">
        <v>24</v>
      </c>
      <c r="D13" s="445">
        <v>4</v>
      </c>
      <c r="E13" s="445">
        <v>11</v>
      </c>
      <c r="F13" s="446">
        <v>18</v>
      </c>
      <c r="G13" s="447">
        <v>25</v>
      </c>
      <c r="H13" s="448"/>
      <c r="I13" s="449"/>
      <c r="J13" s="444"/>
      <c r="K13" s="536"/>
      <c r="L13" s="535"/>
      <c r="M13" s="535"/>
      <c r="N13" s="535"/>
      <c r="O13" s="535"/>
      <c r="P13" s="427"/>
    </row>
    <row r="14" spans="1:62" x14ac:dyDescent="0.35">
      <c r="B14" s="426"/>
      <c r="C14" s="439" t="s">
        <v>933</v>
      </c>
      <c r="D14" s="445">
        <v>5</v>
      </c>
      <c r="E14" s="445">
        <v>12</v>
      </c>
      <c r="F14" s="446">
        <v>19</v>
      </c>
      <c r="G14" s="447">
        <v>26</v>
      </c>
      <c r="H14" s="448"/>
      <c r="I14" s="449"/>
      <c r="J14" s="444"/>
      <c r="K14" s="536"/>
      <c r="L14" s="535"/>
      <c r="M14" s="535"/>
      <c r="N14" s="535"/>
      <c r="O14" s="535"/>
      <c r="P14" s="427"/>
    </row>
    <row r="15" spans="1:62" x14ac:dyDescent="0.35">
      <c r="B15" s="426"/>
      <c r="C15" s="439" t="s">
        <v>678</v>
      </c>
      <c r="D15" s="447">
        <v>6</v>
      </c>
      <c r="E15" s="447">
        <v>13</v>
      </c>
      <c r="F15" s="447">
        <v>20</v>
      </c>
      <c r="G15" s="447">
        <v>27</v>
      </c>
      <c r="H15" s="448"/>
      <c r="I15" s="449"/>
      <c r="J15" s="444"/>
      <c r="K15" s="536"/>
      <c r="L15" s="535"/>
      <c r="M15" s="535"/>
      <c r="N15" s="535"/>
      <c r="O15" s="535"/>
      <c r="P15" s="427"/>
    </row>
    <row r="16" spans="1:62" x14ac:dyDescent="0.35">
      <c r="B16" s="426"/>
      <c r="C16" s="438"/>
      <c r="D16" s="438"/>
      <c r="E16" s="438"/>
      <c r="F16" s="438"/>
      <c r="G16" s="438"/>
      <c r="H16" s="438"/>
      <c r="I16" s="438"/>
      <c r="J16" s="438"/>
      <c r="K16" s="535"/>
      <c r="L16" s="535"/>
      <c r="M16" s="535"/>
      <c r="N16" s="535"/>
      <c r="O16" s="535"/>
      <c r="P16" s="427"/>
    </row>
    <row r="17" spans="2:16" x14ac:dyDescent="0.35">
      <c r="B17" s="426"/>
      <c r="C17" s="437" t="s">
        <v>934</v>
      </c>
      <c r="D17" s="438"/>
      <c r="E17" s="438"/>
      <c r="F17" s="438"/>
      <c r="G17" s="438"/>
      <c r="H17" s="438"/>
      <c r="I17" s="438"/>
      <c r="J17" s="438"/>
      <c r="K17" s="535"/>
      <c r="L17" s="535"/>
      <c r="M17" s="535"/>
      <c r="N17" s="535"/>
      <c r="O17" s="535"/>
      <c r="P17" s="427"/>
    </row>
    <row r="18" spans="2:16" x14ac:dyDescent="0.35">
      <c r="B18" s="426"/>
      <c r="C18" s="439" t="s">
        <v>677</v>
      </c>
      <c r="D18" s="440"/>
      <c r="E18" s="441">
        <v>4</v>
      </c>
      <c r="F18" s="441">
        <v>11</v>
      </c>
      <c r="G18" s="441">
        <v>18</v>
      </c>
      <c r="H18" s="442">
        <v>25</v>
      </c>
      <c r="I18" s="443"/>
      <c r="J18" s="438"/>
      <c r="K18" s="536" t="s">
        <v>929</v>
      </c>
      <c r="L18" s="535"/>
      <c r="M18" s="535"/>
      <c r="N18" s="535"/>
      <c r="O18" s="535"/>
      <c r="P18" s="427"/>
    </row>
    <row r="19" spans="2:16" x14ac:dyDescent="0.35">
      <c r="B19" s="426"/>
      <c r="C19" s="450" t="s">
        <v>21</v>
      </c>
      <c r="D19" s="447"/>
      <c r="E19" s="451">
        <v>5</v>
      </c>
      <c r="F19" s="451">
        <v>12</v>
      </c>
      <c r="G19" s="452">
        <v>19</v>
      </c>
      <c r="H19" s="453">
        <v>26</v>
      </c>
      <c r="I19" s="449"/>
      <c r="J19" s="438"/>
      <c r="K19" s="536" t="s">
        <v>935</v>
      </c>
      <c r="L19" s="535"/>
      <c r="M19" s="535"/>
      <c r="N19" s="535"/>
      <c r="O19" s="535"/>
      <c r="P19" s="427"/>
    </row>
    <row r="20" spans="2:16" x14ac:dyDescent="0.35">
      <c r="B20" s="426"/>
      <c r="C20" s="450" t="s">
        <v>22</v>
      </c>
      <c r="D20" s="447"/>
      <c r="E20" s="451">
        <v>6</v>
      </c>
      <c r="F20" s="451">
        <v>13</v>
      </c>
      <c r="G20" s="452">
        <v>20</v>
      </c>
      <c r="H20" s="453">
        <v>27</v>
      </c>
      <c r="I20" s="449"/>
      <c r="J20" s="438"/>
      <c r="K20" s="536" t="s">
        <v>936</v>
      </c>
      <c r="L20" s="535"/>
      <c r="M20" s="535"/>
      <c r="N20" s="535"/>
      <c r="O20" s="535"/>
      <c r="P20" s="427"/>
    </row>
    <row r="21" spans="2:16" x14ac:dyDescent="0.35">
      <c r="B21" s="426"/>
      <c r="C21" s="450" t="s">
        <v>23</v>
      </c>
      <c r="D21" s="447"/>
      <c r="E21" s="451">
        <v>7</v>
      </c>
      <c r="F21" s="451">
        <v>14</v>
      </c>
      <c r="G21" s="452">
        <v>21</v>
      </c>
      <c r="H21" s="453">
        <v>28</v>
      </c>
      <c r="I21" s="449"/>
      <c r="J21" s="438"/>
      <c r="K21" s="536"/>
      <c r="L21" s="535"/>
      <c r="M21" s="535"/>
      <c r="N21" s="535"/>
      <c r="O21" s="535"/>
      <c r="P21" s="427"/>
    </row>
    <row r="22" spans="2:16" x14ac:dyDescent="0.35">
      <c r="B22" s="426"/>
      <c r="C22" s="450" t="s">
        <v>24</v>
      </c>
      <c r="D22" s="451">
        <v>1</v>
      </c>
      <c r="E22" s="451">
        <v>8</v>
      </c>
      <c r="F22" s="451">
        <v>15</v>
      </c>
      <c r="G22" s="452">
        <v>22</v>
      </c>
      <c r="H22" s="453">
        <v>29</v>
      </c>
      <c r="I22" s="449"/>
      <c r="J22" s="438"/>
      <c r="K22" s="536"/>
      <c r="L22" s="535"/>
      <c r="M22" s="535"/>
      <c r="N22" s="535"/>
      <c r="O22" s="535"/>
      <c r="P22" s="427"/>
    </row>
    <row r="23" spans="2:16" x14ac:dyDescent="0.35">
      <c r="B23" s="426"/>
      <c r="C23" s="450" t="s">
        <v>933</v>
      </c>
      <c r="D23" s="451">
        <v>2</v>
      </c>
      <c r="E23" s="451">
        <v>9</v>
      </c>
      <c r="F23" s="451">
        <v>16</v>
      </c>
      <c r="G23" s="451">
        <v>23</v>
      </c>
      <c r="H23" s="453">
        <v>30</v>
      </c>
      <c r="I23" s="449"/>
      <c r="J23" s="438"/>
      <c r="K23" s="536"/>
      <c r="L23" s="535"/>
      <c r="M23" s="535"/>
      <c r="N23" s="535"/>
      <c r="O23" s="535"/>
      <c r="P23" s="427"/>
    </row>
    <row r="24" spans="2:16" x14ac:dyDescent="0.35">
      <c r="B24" s="426"/>
      <c r="C24" s="450" t="s">
        <v>678</v>
      </c>
      <c r="D24" s="451">
        <v>3</v>
      </c>
      <c r="E24" s="451">
        <v>10</v>
      </c>
      <c r="F24" s="454">
        <v>17</v>
      </c>
      <c r="G24" s="451">
        <v>24</v>
      </c>
      <c r="H24" s="453">
        <v>31</v>
      </c>
      <c r="I24" s="449"/>
      <c r="J24" s="438"/>
      <c r="K24" s="536"/>
      <c r="L24" s="535"/>
      <c r="M24" s="535"/>
      <c r="N24" s="535"/>
      <c r="O24" s="535"/>
      <c r="P24" s="427"/>
    </row>
    <row r="25" spans="2:16" x14ac:dyDescent="0.35">
      <c r="B25" s="426"/>
      <c r="C25" s="455"/>
      <c r="D25" s="456"/>
      <c r="E25" s="456"/>
      <c r="F25" s="438"/>
      <c r="G25" s="456"/>
      <c r="H25" s="456"/>
      <c r="I25" s="444"/>
      <c r="J25" s="438"/>
      <c r="K25" s="535"/>
      <c r="L25" s="535"/>
      <c r="M25" s="535"/>
      <c r="N25" s="535"/>
      <c r="O25" s="535"/>
      <c r="P25" s="427"/>
    </row>
    <row r="26" spans="2:16" x14ac:dyDescent="0.35">
      <c r="B26" s="426"/>
      <c r="C26" s="457" t="s">
        <v>983</v>
      </c>
      <c r="D26" s="438"/>
      <c r="E26" s="438"/>
      <c r="F26" s="438"/>
      <c r="G26" s="438"/>
      <c r="H26" s="438"/>
      <c r="I26" s="438"/>
      <c r="J26" s="438"/>
      <c r="K26" s="535"/>
      <c r="L26" s="535"/>
      <c r="M26" s="535"/>
      <c r="N26" s="535"/>
      <c r="O26" s="535"/>
      <c r="P26" s="427"/>
    </row>
    <row r="27" spans="2:16" x14ac:dyDescent="0.35">
      <c r="B27" s="426"/>
      <c r="C27" s="458" t="s">
        <v>677</v>
      </c>
      <c r="D27" s="441">
        <v>1</v>
      </c>
      <c r="E27" s="441">
        <v>8</v>
      </c>
      <c r="F27" s="441">
        <v>15</v>
      </c>
      <c r="G27" s="441">
        <v>22</v>
      </c>
      <c r="H27" s="441">
        <v>29</v>
      </c>
      <c r="I27" s="440"/>
      <c r="J27" s="438"/>
      <c r="K27" s="536" t="s">
        <v>929</v>
      </c>
      <c r="L27" s="535"/>
      <c r="M27" s="535"/>
      <c r="N27" s="535"/>
      <c r="O27" s="535"/>
      <c r="P27" s="427"/>
    </row>
    <row r="28" spans="2:16" x14ac:dyDescent="0.35">
      <c r="B28" s="426"/>
      <c r="C28" s="458" t="s">
        <v>21</v>
      </c>
      <c r="D28" s="447">
        <v>2</v>
      </c>
      <c r="E28" s="447">
        <v>9</v>
      </c>
      <c r="F28" s="459">
        <v>16</v>
      </c>
      <c r="G28" s="447">
        <v>23</v>
      </c>
      <c r="H28" s="447">
        <v>30</v>
      </c>
      <c r="I28" s="447"/>
      <c r="J28" s="438"/>
      <c r="K28" s="536" t="s">
        <v>937</v>
      </c>
      <c r="L28" s="535"/>
      <c r="M28" s="535"/>
      <c r="N28" s="535"/>
      <c r="O28" s="535"/>
      <c r="P28" s="427"/>
    </row>
    <row r="29" spans="2:16" x14ac:dyDescent="0.35">
      <c r="B29" s="426"/>
      <c r="C29" s="458" t="s">
        <v>22</v>
      </c>
      <c r="D29" s="447">
        <v>3</v>
      </c>
      <c r="E29" s="447">
        <v>10</v>
      </c>
      <c r="F29" s="447">
        <v>17</v>
      </c>
      <c r="G29" s="447">
        <v>24</v>
      </c>
      <c r="H29" s="447"/>
      <c r="I29" s="447"/>
      <c r="J29" s="438"/>
      <c r="K29" s="536"/>
      <c r="L29" s="535"/>
      <c r="M29" s="535"/>
      <c r="N29" s="535"/>
      <c r="O29" s="535"/>
      <c r="P29" s="427"/>
    </row>
    <row r="30" spans="2:16" x14ac:dyDescent="0.35">
      <c r="B30" s="426"/>
      <c r="C30" s="458" t="s">
        <v>23</v>
      </c>
      <c r="D30" s="447">
        <v>4</v>
      </c>
      <c r="E30" s="447">
        <v>11</v>
      </c>
      <c r="F30" s="447">
        <v>18</v>
      </c>
      <c r="G30" s="447">
        <v>25</v>
      </c>
      <c r="H30" s="447"/>
      <c r="I30" s="447"/>
      <c r="J30" s="438"/>
      <c r="K30" s="536"/>
      <c r="L30" s="535"/>
      <c r="M30" s="535"/>
      <c r="N30" s="535"/>
      <c r="O30" s="535"/>
      <c r="P30" s="427"/>
    </row>
    <row r="31" spans="2:16" x14ac:dyDescent="0.35">
      <c r="B31" s="426"/>
      <c r="C31" s="458" t="s">
        <v>24</v>
      </c>
      <c r="D31" s="447">
        <v>5</v>
      </c>
      <c r="E31" s="447">
        <v>12</v>
      </c>
      <c r="F31" s="447">
        <v>19</v>
      </c>
      <c r="G31" s="447">
        <v>26</v>
      </c>
      <c r="H31" s="447"/>
      <c r="I31" s="447"/>
      <c r="J31" s="438"/>
      <c r="K31" s="536"/>
      <c r="L31" s="535"/>
      <c r="M31" s="535"/>
      <c r="N31" s="535"/>
      <c r="O31" s="535"/>
      <c r="P31" s="427"/>
    </row>
    <row r="32" spans="2:16" x14ac:dyDescent="0.35">
      <c r="B32" s="426"/>
      <c r="C32" s="458" t="s">
        <v>933</v>
      </c>
      <c r="D32" s="447">
        <v>6</v>
      </c>
      <c r="E32" s="447">
        <v>13</v>
      </c>
      <c r="F32" s="447">
        <v>20</v>
      </c>
      <c r="G32" s="447">
        <v>27</v>
      </c>
      <c r="H32" s="447"/>
      <c r="I32" s="447"/>
      <c r="J32" s="438"/>
      <c r="K32" s="536"/>
      <c r="L32" s="535"/>
      <c r="M32" s="535"/>
      <c r="N32" s="535"/>
      <c r="O32" s="535"/>
      <c r="P32" s="427"/>
    </row>
    <row r="33" spans="2:16" x14ac:dyDescent="0.35">
      <c r="B33" s="426"/>
      <c r="C33" s="458" t="s">
        <v>678</v>
      </c>
      <c r="D33" s="447">
        <v>7</v>
      </c>
      <c r="E33" s="447">
        <v>14</v>
      </c>
      <c r="F33" s="447">
        <v>21</v>
      </c>
      <c r="G33" s="447">
        <v>28</v>
      </c>
      <c r="H33" s="447"/>
      <c r="I33" s="447"/>
      <c r="J33" s="438"/>
      <c r="K33" s="536"/>
      <c r="L33" s="535"/>
      <c r="M33" s="535"/>
      <c r="N33" s="535"/>
      <c r="O33" s="535"/>
      <c r="P33" s="427"/>
    </row>
    <row r="34" spans="2:16" x14ac:dyDescent="0.35">
      <c r="B34" s="426"/>
      <c r="C34" s="460"/>
      <c r="D34" s="444"/>
      <c r="E34" s="444"/>
      <c r="F34" s="444"/>
      <c r="G34" s="444"/>
      <c r="H34" s="444"/>
      <c r="I34" s="444"/>
      <c r="J34" s="438"/>
      <c r="K34" s="535"/>
      <c r="L34" s="535"/>
      <c r="M34" s="535"/>
      <c r="N34" s="535"/>
      <c r="O34" s="535"/>
      <c r="P34" s="427"/>
    </row>
    <row r="35" spans="2:16" x14ac:dyDescent="0.35">
      <c r="B35" s="426"/>
      <c r="C35" s="437" t="s">
        <v>938</v>
      </c>
      <c r="D35" s="438"/>
      <c r="E35" s="438"/>
      <c r="F35" s="438"/>
      <c r="G35" s="438"/>
      <c r="H35" s="438"/>
      <c r="I35" s="438"/>
      <c r="J35" s="438"/>
      <c r="K35" s="535"/>
      <c r="L35" s="535"/>
      <c r="M35" s="535"/>
      <c r="N35" s="535"/>
      <c r="O35" s="535"/>
      <c r="P35" s="427"/>
    </row>
    <row r="36" spans="2:16" x14ac:dyDescent="0.35">
      <c r="B36" s="426"/>
      <c r="C36" s="439" t="s">
        <v>677</v>
      </c>
      <c r="D36" s="440"/>
      <c r="E36" s="441">
        <v>6</v>
      </c>
      <c r="F36" s="441">
        <v>13</v>
      </c>
      <c r="G36" s="441">
        <v>20</v>
      </c>
      <c r="H36" s="442">
        <v>27</v>
      </c>
      <c r="I36" s="443"/>
      <c r="J36" s="444"/>
      <c r="K36" s="536" t="s">
        <v>929</v>
      </c>
      <c r="L36" s="535"/>
      <c r="M36" s="535"/>
      <c r="N36" s="535"/>
      <c r="O36" s="535"/>
      <c r="P36" s="427"/>
    </row>
    <row r="37" spans="2:16" x14ac:dyDescent="0.35">
      <c r="B37" s="426"/>
      <c r="C37" s="439" t="s">
        <v>21</v>
      </c>
      <c r="D37" s="447"/>
      <c r="E37" s="495">
        <v>7</v>
      </c>
      <c r="F37" s="447">
        <v>14</v>
      </c>
      <c r="G37" s="447">
        <v>21</v>
      </c>
      <c r="H37" s="448">
        <v>28</v>
      </c>
      <c r="I37" s="449"/>
      <c r="J37" s="444"/>
      <c r="K37" s="536" t="s">
        <v>939</v>
      </c>
      <c r="L37" s="535"/>
      <c r="M37" s="535"/>
      <c r="N37" s="535"/>
      <c r="O37" s="535"/>
      <c r="P37" s="427"/>
    </row>
    <row r="38" spans="2:16" x14ac:dyDescent="0.35">
      <c r="B38" s="426"/>
      <c r="C38" s="439" t="s">
        <v>22</v>
      </c>
      <c r="D38" s="447">
        <v>1</v>
      </c>
      <c r="E38" s="495">
        <v>8</v>
      </c>
      <c r="F38" s="447">
        <v>15</v>
      </c>
      <c r="G38" s="447">
        <v>22</v>
      </c>
      <c r="H38" s="448">
        <v>29</v>
      </c>
      <c r="I38" s="449"/>
      <c r="J38" s="444"/>
      <c r="K38" s="536" t="s">
        <v>1006</v>
      </c>
      <c r="L38" s="535"/>
      <c r="M38" s="535"/>
      <c r="N38" s="535"/>
      <c r="O38" s="535"/>
      <c r="P38" s="427"/>
    </row>
    <row r="39" spans="2:16" x14ac:dyDescent="0.35">
      <c r="B39" s="426"/>
      <c r="C39" s="439" t="s">
        <v>23</v>
      </c>
      <c r="D39" s="447">
        <v>2</v>
      </c>
      <c r="E39" s="495">
        <v>9</v>
      </c>
      <c r="F39" s="447">
        <v>16</v>
      </c>
      <c r="G39" s="447">
        <v>23</v>
      </c>
      <c r="H39" s="448">
        <v>30</v>
      </c>
      <c r="I39" s="449"/>
      <c r="J39" s="444"/>
      <c r="K39" s="536"/>
      <c r="L39" s="535"/>
      <c r="M39" s="535"/>
      <c r="N39" s="535"/>
      <c r="O39" s="535"/>
      <c r="P39" s="427"/>
    </row>
    <row r="40" spans="2:16" x14ac:dyDescent="0.35">
      <c r="B40" s="426"/>
      <c r="C40" s="439" t="s">
        <v>24</v>
      </c>
      <c r="D40" s="447">
        <v>3</v>
      </c>
      <c r="E40" s="495">
        <v>10</v>
      </c>
      <c r="F40" s="447">
        <v>17</v>
      </c>
      <c r="G40" s="447">
        <v>24</v>
      </c>
      <c r="H40" s="448">
        <v>31</v>
      </c>
      <c r="I40" s="449"/>
      <c r="J40" s="444"/>
      <c r="K40" s="536"/>
      <c r="L40" s="535"/>
      <c r="M40" s="535"/>
      <c r="N40" s="535"/>
      <c r="O40" s="535"/>
      <c r="P40" s="427"/>
    </row>
    <row r="41" spans="2:16" x14ac:dyDescent="0.35">
      <c r="B41" s="426"/>
      <c r="C41" s="439" t="s">
        <v>933</v>
      </c>
      <c r="D41" s="447">
        <v>4</v>
      </c>
      <c r="E41" s="495">
        <v>11</v>
      </c>
      <c r="F41" s="447">
        <v>18</v>
      </c>
      <c r="G41" s="447">
        <v>25</v>
      </c>
      <c r="H41" s="448"/>
      <c r="I41" s="449"/>
      <c r="J41" s="444"/>
      <c r="K41" s="536"/>
      <c r="L41" s="535"/>
      <c r="M41" s="535"/>
      <c r="N41" s="535"/>
      <c r="O41" s="535"/>
      <c r="P41" s="427"/>
    </row>
    <row r="42" spans="2:16" x14ac:dyDescent="0.35">
      <c r="B42" s="426"/>
      <c r="C42" s="439" t="s">
        <v>678</v>
      </c>
      <c r="D42" s="447">
        <v>5</v>
      </c>
      <c r="E42" s="447">
        <v>12</v>
      </c>
      <c r="F42" s="447">
        <v>19</v>
      </c>
      <c r="G42" s="447">
        <v>26</v>
      </c>
      <c r="H42" s="448"/>
      <c r="I42" s="449"/>
      <c r="J42" s="444"/>
      <c r="K42" s="536"/>
      <c r="L42" s="535"/>
      <c r="M42" s="535"/>
      <c r="N42" s="535"/>
      <c r="O42" s="535"/>
      <c r="P42" s="427"/>
    </row>
    <row r="43" spans="2:16" x14ac:dyDescent="0.35">
      <c r="B43" s="426"/>
      <c r="C43" s="444"/>
      <c r="D43" s="444"/>
      <c r="E43" s="444"/>
      <c r="F43" s="444"/>
      <c r="G43" s="444"/>
      <c r="H43" s="444"/>
      <c r="I43" s="444"/>
      <c r="J43" s="444"/>
      <c r="K43" s="535"/>
      <c r="L43" s="535"/>
      <c r="M43" s="535"/>
      <c r="N43" s="535"/>
      <c r="O43" s="535"/>
      <c r="P43" s="427"/>
    </row>
    <row r="44" spans="2:16" x14ac:dyDescent="0.35">
      <c r="B44" s="426"/>
      <c r="C44" s="461" t="s">
        <v>984</v>
      </c>
      <c r="D44" s="438"/>
      <c r="E44" s="438"/>
      <c r="F44" s="438"/>
      <c r="G44" s="438"/>
      <c r="H44" s="438"/>
      <c r="I44" s="438"/>
      <c r="J44" s="438"/>
      <c r="K44" s="535"/>
      <c r="L44" s="535"/>
      <c r="M44" s="535"/>
      <c r="N44" s="535"/>
      <c r="O44" s="535"/>
      <c r="P44" s="427"/>
    </row>
    <row r="45" spans="2:16" x14ac:dyDescent="0.35">
      <c r="B45" s="426"/>
      <c r="C45" s="439" t="s">
        <v>677</v>
      </c>
      <c r="D45" s="440"/>
      <c r="E45" s="441">
        <v>3</v>
      </c>
      <c r="F45" s="441">
        <v>10</v>
      </c>
      <c r="G45" s="441">
        <v>17</v>
      </c>
      <c r="H45" s="442">
        <v>24</v>
      </c>
      <c r="I45" s="443"/>
      <c r="J45" s="444"/>
      <c r="K45" s="536" t="s">
        <v>929</v>
      </c>
      <c r="L45" s="535"/>
      <c r="M45" s="535"/>
      <c r="N45" s="535"/>
      <c r="O45" s="535"/>
      <c r="P45" s="427"/>
    </row>
    <row r="46" spans="2:16" x14ac:dyDescent="0.35">
      <c r="B46" s="426"/>
      <c r="C46" s="450" t="s">
        <v>21</v>
      </c>
      <c r="D46" s="447"/>
      <c r="E46" s="462">
        <v>4</v>
      </c>
      <c r="F46" s="462">
        <v>11</v>
      </c>
      <c r="G46" s="496">
        <v>18</v>
      </c>
      <c r="H46" s="463">
        <v>25</v>
      </c>
      <c r="I46" s="449"/>
      <c r="J46" s="444"/>
      <c r="K46" s="536" t="s">
        <v>940</v>
      </c>
      <c r="L46" s="535"/>
      <c r="M46" s="535"/>
      <c r="N46" s="535"/>
      <c r="O46" s="535"/>
      <c r="P46" s="427"/>
    </row>
    <row r="47" spans="2:16" x14ac:dyDescent="0.35">
      <c r="B47" s="426"/>
      <c r="C47" s="450" t="s">
        <v>22</v>
      </c>
      <c r="D47" s="447"/>
      <c r="E47" s="462">
        <v>5</v>
      </c>
      <c r="F47" s="462">
        <v>12</v>
      </c>
      <c r="G47" s="496">
        <v>19</v>
      </c>
      <c r="H47" s="453">
        <v>26</v>
      </c>
      <c r="I47" s="449"/>
      <c r="J47" s="438"/>
      <c r="K47" s="536"/>
      <c r="L47" s="535"/>
      <c r="M47" s="535"/>
      <c r="N47" s="535"/>
      <c r="O47" s="535"/>
      <c r="P47" s="427"/>
    </row>
    <row r="48" spans="2:16" x14ac:dyDescent="0.35">
      <c r="B48" s="426"/>
      <c r="C48" s="450" t="s">
        <v>23</v>
      </c>
      <c r="D48" s="447"/>
      <c r="E48" s="462">
        <v>6</v>
      </c>
      <c r="F48" s="462">
        <v>13</v>
      </c>
      <c r="G48" s="496">
        <v>20</v>
      </c>
      <c r="H48" s="464">
        <v>27</v>
      </c>
      <c r="I48" s="449"/>
      <c r="J48" s="438"/>
      <c r="K48" s="538" t="s">
        <v>941</v>
      </c>
      <c r="L48" s="539"/>
      <c r="M48" s="539"/>
      <c r="N48" s="539"/>
      <c r="O48" s="539"/>
      <c r="P48" s="427"/>
    </row>
    <row r="49" spans="2:16" x14ac:dyDescent="0.35">
      <c r="B49" s="426"/>
      <c r="C49" s="450" t="s">
        <v>24</v>
      </c>
      <c r="D49" s="447"/>
      <c r="E49" s="462">
        <v>7</v>
      </c>
      <c r="F49" s="462">
        <v>14</v>
      </c>
      <c r="G49" s="496">
        <v>21</v>
      </c>
      <c r="H49" s="464">
        <v>28</v>
      </c>
      <c r="I49" s="449"/>
      <c r="J49" s="438"/>
      <c r="K49" s="536" t="s">
        <v>942</v>
      </c>
      <c r="L49" s="535"/>
      <c r="M49" s="535"/>
      <c r="N49" s="535"/>
      <c r="O49" s="535"/>
      <c r="P49" s="427"/>
    </row>
    <row r="50" spans="2:16" x14ac:dyDescent="0.35">
      <c r="B50" s="426"/>
      <c r="C50" s="450" t="s">
        <v>933</v>
      </c>
      <c r="D50" s="451">
        <v>1</v>
      </c>
      <c r="E50" s="462">
        <v>8</v>
      </c>
      <c r="F50" s="462">
        <v>15</v>
      </c>
      <c r="G50" s="496">
        <v>22</v>
      </c>
      <c r="H50" s="464">
        <v>29</v>
      </c>
      <c r="I50" s="449"/>
      <c r="J50" s="438"/>
      <c r="K50" s="536"/>
      <c r="L50" s="535"/>
      <c r="M50" s="535"/>
      <c r="N50" s="535"/>
      <c r="O50" s="535"/>
      <c r="P50" s="427"/>
    </row>
    <row r="51" spans="2:16" x14ac:dyDescent="0.35">
      <c r="B51" s="426"/>
      <c r="C51" s="450" t="s">
        <v>678</v>
      </c>
      <c r="D51" s="451">
        <v>2</v>
      </c>
      <c r="E51" s="451">
        <v>9</v>
      </c>
      <c r="F51" s="451">
        <v>16</v>
      </c>
      <c r="G51" s="451">
        <v>23</v>
      </c>
      <c r="H51" s="453">
        <v>30</v>
      </c>
      <c r="I51" s="449"/>
      <c r="J51" s="438"/>
      <c r="K51" s="536"/>
      <c r="L51" s="535"/>
      <c r="M51" s="535"/>
      <c r="N51" s="535"/>
      <c r="O51" s="535"/>
      <c r="P51" s="427"/>
    </row>
    <row r="52" spans="2:16" x14ac:dyDescent="0.35">
      <c r="B52" s="426"/>
      <c r="C52" s="438"/>
      <c r="D52" s="438"/>
      <c r="E52" s="438"/>
      <c r="F52" s="438"/>
      <c r="G52" s="438"/>
      <c r="H52" s="438"/>
      <c r="I52" s="438"/>
      <c r="J52" s="438"/>
      <c r="K52" s="535"/>
      <c r="L52" s="535"/>
      <c r="M52" s="535"/>
      <c r="N52" s="535"/>
      <c r="O52" s="535"/>
      <c r="P52" s="427"/>
    </row>
    <row r="53" spans="2:16" x14ac:dyDescent="0.35">
      <c r="B53" s="426"/>
      <c r="C53" s="437" t="s">
        <v>943</v>
      </c>
      <c r="D53" s="438"/>
      <c r="E53" s="438"/>
      <c r="F53" s="438"/>
      <c r="G53" s="438"/>
      <c r="H53" s="438"/>
      <c r="I53" s="438"/>
      <c r="J53" s="438"/>
      <c r="K53" s="535"/>
      <c r="L53" s="535"/>
      <c r="M53" s="535"/>
      <c r="N53" s="535"/>
      <c r="O53" s="535"/>
      <c r="P53" s="427"/>
    </row>
    <row r="54" spans="2:16" x14ac:dyDescent="0.35">
      <c r="B54" s="426"/>
      <c r="C54" s="465" t="s">
        <v>677</v>
      </c>
      <c r="D54" s="466">
        <v>1</v>
      </c>
      <c r="E54" s="441">
        <v>8</v>
      </c>
      <c r="F54" s="441">
        <v>15</v>
      </c>
      <c r="G54" s="441">
        <v>22</v>
      </c>
      <c r="H54" s="441">
        <v>29</v>
      </c>
      <c r="I54" s="440"/>
      <c r="J54" s="438"/>
      <c r="K54" s="536" t="s">
        <v>929</v>
      </c>
      <c r="L54" s="535"/>
      <c r="M54" s="535"/>
      <c r="N54" s="535"/>
      <c r="O54" s="535"/>
      <c r="P54" s="427"/>
    </row>
    <row r="55" spans="2:16" x14ac:dyDescent="0.35">
      <c r="B55" s="426"/>
      <c r="C55" s="465" t="s">
        <v>21</v>
      </c>
      <c r="D55" s="467">
        <v>2</v>
      </c>
      <c r="E55" s="447">
        <v>9</v>
      </c>
      <c r="F55" s="468">
        <v>16</v>
      </c>
      <c r="G55" s="469">
        <v>23</v>
      </c>
      <c r="H55" s="469">
        <v>30</v>
      </c>
      <c r="I55" s="447"/>
      <c r="J55" s="438"/>
      <c r="K55" s="536" t="s">
        <v>944</v>
      </c>
      <c r="L55" s="535"/>
      <c r="M55" s="535"/>
      <c r="N55" s="535"/>
      <c r="O55" s="535"/>
      <c r="P55" s="427"/>
    </row>
    <row r="56" spans="2:16" x14ac:dyDescent="0.35">
      <c r="B56" s="426"/>
      <c r="C56" s="465" t="s">
        <v>22</v>
      </c>
      <c r="D56" s="467">
        <v>3</v>
      </c>
      <c r="E56" s="447">
        <v>10</v>
      </c>
      <c r="F56" s="469">
        <v>17</v>
      </c>
      <c r="G56" s="469">
        <v>24</v>
      </c>
      <c r="H56" s="469">
        <v>31</v>
      </c>
      <c r="I56" s="447"/>
      <c r="J56" s="438"/>
      <c r="K56" s="536" t="s">
        <v>945</v>
      </c>
      <c r="L56" s="535"/>
      <c r="M56" s="535"/>
      <c r="N56" s="535"/>
      <c r="O56" s="535"/>
      <c r="P56" s="427"/>
    </row>
    <row r="57" spans="2:16" x14ac:dyDescent="0.35">
      <c r="B57" s="426"/>
      <c r="C57" s="465" t="s">
        <v>23</v>
      </c>
      <c r="D57" s="467">
        <v>4</v>
      </c>
      <c r="E57" s="447">
        <v>11</v>
      </c>
      <c r="F57" s="469">
        <v>18</v>
      </c>
      <c r="G57" s="459">
        <v>25</v>
      </c>
      <c r="H57" s="447"/>
      <c r="I57" s="447"/>
      <c r="J57" s="438"/>
      <c r="K57" s="536" t="s">
        <v>946</v>
      </c>
      <c r="L57" s="535"/>
      <c r="M57" s="535"/>
      <c r="N57" s="535"/>
      <c r="O57" s="535"/>
      <c r="P57" s="427"/>
    </row>
    <row r="58" spans="2:16" x14ac:dyDescent="0.35">
      <c r="B58" s="426"/>
      <c r="C58" s="465" t="s">
        <v>24</v>
      </c>
      <c r="D58" s="467">
        <v>5</v>
      </c>
      <c r="E58" s="447">
        <v>12</v>
      </c>
      <c r="F58" s="469">
        <v>19</v>
      </c>
      <c r="G58" s="459">
        <v>26</v>
      </c>
      <c r="H58" s="447"/>
      <c r="I58" s="447"/>
      <c r="J58" s="438"/>
      <c r="K58" s="536" t="s">
        <v>947</v>
      </c>
      <c r="L58" s="535"/>
      <c r="M58" s="535"/>
      <c r="N58" s="535"/>
      <c r="O58" s="535"/>
      <c r="P58" s="427"/>
    </row>
    <row r="59" spans="2:16" x14ac:dyDescent="0.35">
      <c r="B59" s="426"/>
      <c r="C59" s="465" t="s">
        <v>933</v>
      </c>
      <c r="D59" s="467">
        <v>6</v>
      </c>
      <c r="E59" s="447">
        <v>13</v>
      </c>
      <c r="F59" s="469">
        <v>20</v>
      </c>
      <c r="G59" s="469">
        <v>27</v>
      </c>
      <c r="H59" s="447"/>
      <c r="I59" s="447"/>
      <c r="J59" s="438"/>
      <c r="K59" s="536" t="s">
        <v>948</v>
      </c>
      <c r="L59" s="535"/>
      <c r="M59" s="535"/>
      <c r="N59" s="535"/>
      <c r="O59" s="535"/>
      <c r="P59" s="427"/>
    </row>
    <row r="60" spans="2:16" x14ac:dyDescent="0.35">
      <c r="B60" s="426"/>
      <c r="C60" s="465" t="s">
        <v>678</v>
      </c>
      <c r="D60" s="470">
        <v>7</v>
      </c>
      <c r="E60" s="447">
        <v>14</v>
      </c>
      <c r="F60" s="469">
        <v>21</v>
      </c>
      <c r="G60" s="469">
        <v>28</v>
      </c>
      <c r="H60" s="447"/>
      <c r="I60" s="447"/>
      <c r="J60" s="438"/>
      <c r="K60" s="536"/>
      <c r="L60" s="535"/>
      <c r="M60" s="535"/>
      <c r="N60" s="535"/>
      <c r="O60" s="535"/>
      <c r="P60" s="427"/>
    </row>
    <row r="61" spans="2:16" ht="15" thickBot="1" x14ac:dyDescent="0.4">
      <c r="B61" s="428"/>
      <c r="C61" s="471"/>
      <c r="D61" s="471"/>
      <c r="E61" s="471"/>
      <c r="F61" s="471"/>
      <c r="G61" s="471"/>
      <c r="H61" s="471"/>
      <c r="I61" s="471"/>
      <c r="J61" s="471"/>
      <c r="K61" s="541"/>
      <c r="L61" s="541"/>
      <c r="M61" s="541"/>
      <c r="N61" s="541"/>
      <c r="O61" s="541"/>
      <c r="P61" s="429"/>
    </row>
    <row r="62" spans="2:16" x14ac:dyDescent="0.35">
      <c r="B62" s="1027"/>
      <c r="C62" s="1025"/>
      <c r="D62" s="1025"/>
      <c r="E62" s="1025"/>
      <c r="F62" s="1025"/>
      <c r="G62" s="1025"/>
      <c r="H62" s="1025"/>
      <c r="I62" s="1025"/>
      <c r="J62" s="1025"/>
      <c r="K62" s="1025"/>
      <c r="L62" s="1025"/>
      <c r="M62" s="1025"/>
      <c r="N62" s="1025"/>
      <c r="O62" s="1025"/>
      <c r="P62" s="1027"/>
    </row>
    <row r="63" spans="2:16" x14ac:dyDescent="0.35">
      <c r="B63" s="1027"/>
      <c r="C63" s="1025"/>
      <c r="D63" s="1025"/>
      <c r="E63" s="1025"/>
      <c r="F63" s="1025"/>
      <c r="G63" s="1025"/>
      <c r="H63" s="1025"/>
      <c r="I63" s="1025"/>
      <c r="J63" s="1025"/>
      <c r="K63" s="1025"/>
      <c r="L63" s="1025"/>
      <c r="M63" s="1025"/>
      <c r="N63" s="1025"/>
      <c r="O63" s="1025"/>
      <c r="P63" s="1027"/>
    </row>
    <row r="64" spans="2:16" x14ac:dyDescent="0.35">
      <c r="B64" s="1027"/>
      <c r="C64" s="1025"/>
      <c r="D64" s="1025"/>
      <c r="E64" s="1025"/>
      <c r="F64" s="1025"/>
      <c r="G64" s="1025"/>
      <c r="H64" s="1025"/>
      <c r="I64" s="1025"/>
      <c r="J64" s="1025"/>
      <c r="K64" s="1025"/>
      <c r="L64" s="1025"/>
      <c r="M64" s="1025"/>
      <c r="N64" s="1025"/>
      <c r="O64" s="1025"/>
      <c r="P64" s="1027"/>
    </row>
    <row r="65" spans="2:16" x14ac:dyDescent="0.35">
      <c r="B65" s="1027"/>
      <c r="C65" s="1025"/>
      <c r="D65" s="1025"/>
      <c r="E65" s="1025"/>
      <c r="F65" s="1025"/>
      <c r="G65" s="1025"/>
      <c r="H65" s="1025"/>
      <c r="I65" s="1025"/>
      <c r="J65" s="1025"/>
      <c r="K65" s="1025"/>
      <c r="L65" s="1025"/>
      <c r="M65" s="1025"/>
      <c r="N65" s="1025"/>
      <c r="O65" s="1025"/>
      <c r="P65" s="1027"/>
    </row>
    <row r="66" spans="2:16" x14ac:dyDescent="0.35">
      <c r="B66" s="1027"/>
      <c r="C66" s="1025"/>
      <c r="D66" s="1025"/>
      <c r="E66" s="1025"/>
      <c r="F66" s="1025"/>
      <c r="G66" s="1025"/>
      <c r="H66" s="1025"/>
      <c r="I66" s="1025"/>
      <c r="J66" s="1025"/>
      <c r="K66" s="1025"/>
      <c r="L66" s="1025"/>
      <c r="M66" s="1025"/>
      <c r="N66" s="1025"/>
      <c r="O66" s="1025"/>
      <c r="P66" s="1027"/>
    </row>
    <row r="67" spans="2:16" x14ac:dyDescent="0.35">
      <c r="B67" s="1027"/>
      <c r="C67" s="1025"/>
      <c r="D67" s="1025"/>
      <c r="E67" s="1025"/>
      <c r="F67" s="1025"/>
      <c r="G67" s="1025"/>
      <c r="H67" s="1025"/>
      <c r="I67" s="1025"/>
      <c r="J67" s="1025"/>
      <c r="K67" s="1025"/>
      <c r="L67" s="1025"/>
      <c r="M67" s="1025"/>
      <c r="N67" s="1025"/>
      <c r="O67" s="1025"/>
      <c r="P67" s="1027"/>
    </row>
    <row r="68" spans="2:16" x14ac:dyDescent="0.35">
      <c r="B68" s="1027"/>
      <c r="C68" s="1025"/>
      <c r="D68" s="1025"/>
      <c r="E68" s="1025"/>
      <c r="F68" s="1025"/>
      <c r="G68" s="1025"/>
      <c r="H68" s="1025"/>
      <c r="I68" s="1025"/>
      <c r="J68" s="1025"/>
      <c r="K68" s="1025"/>
      <c r="L68" s="1025"/>
      <c r="M68" s="1025"/>
      <c r="N68" s="1025"/>
      <c r="O68" s="1025"/>
      <c r="P68" s="1027"/>
    </row>
    <row r="69" spans="2:16" ht="33" customHeight="1" x14ac:dyDescent="0.35">
      <c r="B69" s="1027"/>
      <c r="C69" s="1025"/>
      <c r="D69" s="1025"/>
      <c r="E69" s="1025"/>
      <c r="F69" s="1025"/>
      <c r="G69" s="1025"/>
      <c r="H69" s="1025"/>
      <c r="I69" s="1025"/>
      <c r="J69" s="1025"/>
      <c r="K69" s="1025"/>
      <c r="L69" s="1025"/>
      <c r="M69" s="1025"/>
      <c r="N69" s="1025"/>
      <c r="O69" s="1025"/>
      <c r="P69" s="1027"/>
    </row>
    <row r="70" spans="2:16" ht="31" customHeight="1" x14ac:dyDescent="0.35">
      <c r="B70" s="1027"/>
      <c r="C70" s="1025"/>
      <c r="D70" s="1025"/>
      <c r="E70" s="1025"/>
      <c r="F70" s="1025"/>
      <c r="G70" s="1025"/>
      <c r="H70" s="1025"/>
      <c r="I70" s="1025"/>
      <c r="J70" s="1025"/>
      <c r="K70" s="1025"/>
      <c r="L70" s="1025"/>
      <c r="M70" s="1025"/>
      <c r="N70" s="1025"/>
      <c r="O70" s="1025"/>
      <c r="P70" s="1027"/>
    </row>
    <row r="71" spans="2:16" ht="48.5" customHeight="1" thickBot="1" x14ac:dyDescent="0.4">
      <c r="B71" s="1026"/>
      <c r="C71" s="471"/>
      <c r="D71" s="471"/>
      <c r="E71" s="471"/>
      <c r="F71" s="471"/>
      <c r="G71" s="471"/>
      <c r="H71" s="471"/>
      <c r="I71" s="471"/>
      <c r="J71" s="471"/>
      <c r="K71" s="541"/>
      <c r="L71" s="541"/>
      <c r="M71" s="541"/>
      <c r="N71" s="541"/>
      <c r="O71" s="541"/>
      <c r="P71" s="430"/>
    </row>
    <row r="72" spans="2:16" x14ac:dyDescent="0.35">
      <c r="B72" s="424"/>
      <c r="C72" s="472" t="s">
        <v>949</v>
      </c>
      <c r="D72" s="436"/>
      <c r="E72" s="436"/>
      <c r="F72" s="436"/>
      <c r="G72" s="436"/>
      <c r="H72" s="436"/>
      <c r="I72" s="436"/>
      <c r="J72" s="436"/>
      <c r="K72" s="537"/>
      <c r="L72" s="537"/>
      <c r="M72" s="537"/>
      <c r="N72" s="537"/>
      <c r="O72" s="537"/>
      <c r="P72" s="425"/>
    </row>
    <row r="73" spans="2:16" x14ac:dyDescent="0.35">
      <c r="B73" s="426"/>
      <c r="C73" s="461" t="s">
        <v>950</v>
      </c>
      <c r="D73" s="438"/>
      <c r="E73" s="438"/>
      <c r="F73" s="438"/>
      <c r="G73" s="438"/>
      <c r="H73" s="438"/>
      <c r="I73" s="438"/>
      <c r="J73" s="438"/>
      <c r="K73" s="535"/>
      <c r="L73" s="535"/>
      <c r="M73" s="535"/>
      <c r="N73" s="535"/>
      <c r="O73" s="535"/>
      <c r="P73" s="427"/>
    </row>
    <row r="74" spans="2:16" x14ac:dyDescent="0.35">
      <c r="B74" s="426"/>
      <c r="C74" s="439" t="s">
        <v>677</v>
      </c>
      <c r="D74" s="440"/>
      <c r="E74" s="441">
        <v>5</v>
      </c>
      <c r="F74" s="441">
        <v>12</v>
      </c>
      <c r="G74" s="441">
        <v>19</v>
      </c>
      <c r="H74" s="441">
        <v>26</v>
      </c>
      <c r="I74" s="440"/>
      <c r="J74" s="473"/>
      <c r="K74" s="540" t="s">
        <v>929</v>
      </c>
      <c r="L74" s="535"/>
      <c r="M74" s="535"/>
      <c r="N74" s="535"/>
      <c r="O74" s="535"/>
      <c r="P74" s="427"/>
    </row>
    <row r="75" spans="2:16" x14ac:dyDescent="0.35">
      <c r="B75" s="426"/>
      <c r="C75" s="439" t="s">
        <v>21</v>
      </c>
      <c r="D75" s="447"/>
      <c r="E75" s="447">
        <v>6</v>
      </c>
      <c r="F75" s="447">
        <v>13</v>
      </c>
      <c r="G75" s="447">
        <v>20</v>
      </c>
      <c r="H75" s="459">
        <v>27</v>
      </c>
      <c r="I75" s="447"/>
      <c r="J75" s="473"/>
      <c r="K75" s="540" t="s">
        <v>951</v>
      </c>
      <c r="L75" s="535"/>
      <c r="M75" s="535"/>
      <c r="N75" s="535"/>
      <c r="O75" s="535"/>
      <c r="P75" s="427"/>
    </row>
    <row r="76" spans="2:16" x14ac:dyDescent="0.35">
      <c r="B76" s="426"/>
      <c r="C76" s="439" t="s">
        <v>22</v>
      </c>
      <c r="D76" s="447"/>
      <c r="E76" s="447">
        <v>7</v>
      </c>
      <c r="F76" s="447">
        <v>14</v>
      </c>
      <c r="G76" s="447">
        <v>21</v>
      </c>
      <c r="H76" s="447">
        <v>28</v>
      </c>
      <c r="I76" s="447"/>
      <c r="J76" s="473"/>
      <c r="K76" s="540" t="s">
        <v>952</v>
      </c>
      <c r="L76" s="535"/>
      <c r="M76" s="535"/>
      <c r="N76" s="535"/>
      <c r="O76" s="535"/>
      <c r="P76" s="427"/>
    </row>
    <row r="77" spans="2:16" x14ac:dyDescent="0.35">
      <c r="B77" s="426"/>
      <c r="C77" s="439" t="s">
        <v>23</v>
      </c>
      <c r="D77" s="459">
        <v>1</v>
      </c>
      <c r="E77" s="447">
        <v>8</v>
      </c>
      <c r="F77" s="447">
        <v>15</v>
      </c>
      <c r="G77" s="447">
        <v>22</v>
      </c>
      <c r="H77" s="459">
        <v>29</v>
      </c>
      <c r="I77" s="447"/>
      <c r="J77" s="473"/>
      <c r="K77" s="540" t="s">
        <v>953</v>
      </c>
      <c r="L77" s="535"/>
      <c r="M77" s="535"/>
      <c r="N77" s="535"/>
      <c r="O77" s="535"/>
      <c r="P77" s="427"/>
    </row>
    <row r="78" spans="2:16" x14ac:dyDescent="0.35">
      <c r="B78" s="426"/>
      <c r="C78" s="439" t="s">
        <v>24</v>
      </c>
      <c r="D78" s="474">
        <v>2</v>
      </c>
      <c r="E78" s="447">
        <v>9</v>
      </c>
      <c r="F78" s="447">
        <v>16</v>
      </c>
      <c r="G78" s="447">
        <v>23</v>
      </c>
      <c r="H78" s="447">
        <v>30</v>
      </c>
      <c r="I78" s="447"/>
      <c r="J78" s="473"/>
      <c r="K78" s="540" t="s">
        <v>954</v>
      </c>
      <c r="L78" s="535"/>
      <c r="M78" s="535"/>
      <c r="N78" s="535"/>
      <c r="O78" s="535"/>
      <c r="P78" s="427"/>
    </row>
    <row r="79" spans="2:16" x14ac:dyDescent="0.35">
      <c r="B79" s="426"/>
      <c r="C79" s="439" t="s">
        <v>933</v>
      </c>
      <c r="D79" s="447">
        <v>3</v>
      </c>
      <c r="E79" s="447">
        <v>10</v>
      </c>
      <c r="F79" s="447">
        <v>17</v>
      </c>
      <c r="G79" s="447">
        <v>24</v>
      </c>
      <c r="H79" s="447">
        <v>31</v>
      </c>
      <c r="I79" s="447"/>
      <c r="J79" s="473"/>
      <c r="K79" s="540"/>
      <c r="L79" s="535"/>
      <c r="M79" s="535"/>
      <c r="N79" s="535"/>
      <c r="O79" s="535"/>
      <c r="P79" s="427"/>
    </row>
    <row r="80" spans="2:16" x14ac:dyDescent="0.35">
      <c r="B80" s="426"/>
      <c r="C80" s="439" t="s">
        <v>678</v>
      </c>
      <c r="D80" s="447">
        <v>4</v>
      </c>
      <c r="E80" s="447">
        <v>11</v>
      </c>
      <c r="F80" s="447">
        <v>18</v>
      </c>
      <c r="G80" s="447">
        <v>25</v>
      </c>
      <c r="H80" s="447"/>
      <c r="I80" s="447"/>
      <c r="J80" s="473"/>
      <c r="K80" s="540"/>
      <c r="L80" s="535"/>
      <c r="M80" s="535"/>
      <c r="N80" s="535"/>
      <c r="O80" s="535"/>
      <c r="P80" s="427"/>
    </row>
    <row r="81" spans="2:16" x14ac:dyDescent="0.35">
      <c r="B81" s="426"/>
      <c r="C81" s="438"/>
      <c r="D81" s="438"/>
      <c r="E81" s="438"/>
      <c r="F81" s="438"/>
      <c r="G81" s="438"/>
      <c r="H81" s="438"/>
      <c r="I81" s="438"/>
      <c r="J81" s="438"/>
      <c r="K81" s="535"/>
      <c r="L81" s="535"/>
      <c r="M81" s="535"/>
      <c r="N81" s="535"/>
      <c r="O81" s="535"/>
      <c r="P81" s="427"/>
    </row>
    <row r="82" spans="2:16" x14ac:dyDescent="0.35">
      <c r="B82" s="426"/>
      <c r="C82" s="461" t="s">
        <v>955</v>
      </c>
      <c r="D82" s="438"/>
      <c r="E82" s="438"/>
      <c r="F82" s="438"/>
      <c r="G82" s="438"/>
      <c r="H82" s="438"/>
      <c r="I82" s="438"/>
      <c r="J82" s="438"/>
      <c r="K82" s="535"/>
      <c r="L82" s="535"/>
      <c r="M82" s="535"/>
      <c r="N82" s="535"/>
      <c r="O82" s="535"/>
      <c r="P82" s="427"/>
    </row>
    <row r="83" spans="2:16" x14ac:dyDescent="0.35">
      <c r="B83" s="426"/>
      <c r="C83" s="439" t="s">
        <v>677</v>
      </c>
      <c r="D83" s="440"/>
      <c r="E83" s="441">
        <v>2</v>
      </c>
      <c r="F83" s="441">
        <v>9</v>
      </c>
      <c r="G83" s="441">
        <v>16</v>
      </c>
      <c r="H83" s="442">
        <v>23</v>
      </c>
      <c r="I83" s="443"/>
      <c r="J83" s="438"/>
      <c r="K83" s="536" t="s">
        <v>929</v>
      </c>
      <c r="L83" s="535"/>
      <c r="M83" s="535"/>
      <c r="N83" s="535"/>
      <c r="O83" s="535"/>
      <c r="P83" s="427"/>
    </row>
    <row r="84" spans="2:16" x14ac:dyDescent="0.35">
      <c r="B84" s="426"/>
      <c r="C84" s="450" t="s">
        <v>21</v>
      </c>
      <c r="D84" s="447"/>
      <c r="E84" s="462">
        <v>3</v>
      </c>
      <c r="F84" s="462">
        <v>10</v>
      </c>
      <c r="G84" s="451">
        <v>17</v>
      </c>
      <c r="H84" s="475">
        <v>24</v>
      </c>
      <c r="I84" s="449"/>
      <c r="J84" s="438"/>
      <c r="K84" s="536" t="s">
        <v>956</v>
      </c>
      <c r="L84" s="535"/>
      <c r="M84" s="535"/>
      <c r="N84" s="535"/>
      <c r="O84" s="535"/>
      <c r="P84" s="427"/>
    </row>
    <row r="85" spans="2:16" x14ac:dyDescent="0.35">
      <c r="B85" s="426"/>
      <c r="C85" s="450" t="s">
        <v>22</v>
      </c>
      <c r="D85" s="447"/>
      <c r="E85" s="462">
        <v>4</v>
      </c>
      <c r="F85" s="462">
        <v>11</v>
      </c>
      <c r="G85" s="451">
        <v>18</v>
      </c>
      <c r="H85" s="475">
        <v>25</v>
      </c>
      <c r="I85" s="449"/>
      <c r="J85" s="438"/>
      <c r="K85" s="542" t="s">
        <v>957</v>
      </c>
      <c r="L85" s="543"/>
      <c r="M85" s="543"/>
      <c r="N85" s="543"/>
      <c r="O85" s="543"/>
      <c r="P85" s="427"/>
    </row>
    <row r="86" spans="2:16" x14ac:dyDescent="0.35">
      <c r="B86" s="426"/>
      <c r="C86" s="450" t="s">
        <v>23</v>
      </c>
      <c r="D86" s="447"/>
      <c r="E86" s="462">
        <v>5</v>
      </c>
      <c r="F86" s="462">
        <v>12</v>
      </c>
      <c r="G86" s="451">
        <v>19</v>
      </c>
      <c r="H86" s="475">
        <v>26</v>
      </c>
      <c r="I86" s="449"/>
      <c r="J86" s="438"/>
      <c r="K86" s="536" t="s">
        <v>958</v>
      </c>
      <c r="L86" s="535"/>
      <c r="M86" s="535"/>
      <c r="N86" s="535"/>
      <c r="O86" s="535"/>
      <c r="P86" s="427"/>
    </row>
    <row r="87" spans="2:16" x14ac:dyDescent="0.35">
      <c r="B87" s="426"/>
      <c r="C87" s="450" t="s">
        <v>24</v>
      </c>
      <c r="D87" s="447"/>
      <c r="E87" s="462">
        <v>6</v>
      </c>
      <c r="F87" s="462">
        <v>13</v>
      </c>
      <c r="G87" s="451">
        <v>20</v>
      </c>
      <c r="H87" s="453">
        <v>27</v>
      </c>
      <c r="I87" s="449"/>
      <c r="J87" s="438"/>
      <c r="K87" s="536" t="s">
        <v>959</v>
      </c>
      <c r="L87" s="535"/>
      <c r="M87" s="535"/>
      <c r="N87" s="535"/>
      <c r="O87" s="535"/>
      <c r="P87" s="427"/>
    </row>
    <row r="88" spans="2:16" x14ac:dyDescent="0.35">
      <c r="B88" s="426"/>
      <c r="C88" s="450" t="s">
        <v>933</v>
      </c>
      <c r="D88" s="447"/>
      <c r="E88" s="462">
        <v>7</v>
      </c>
      <c r="F88" s="462">
        <v>14</v>
      </c>
      <c r="G88" s="451">
        <v>21</v>
      </c>
      <c r="H88" s="453">
        <v>28</v>
      </c>
      <c r="I88" s="449"/>
      <c r="J88" s="438"/>
      <c r="K88" s="536"/>
      <c r="L88" s="535"/>
      <c r="M88" s="535"/>
      <c r="N88" s="535"/>
      <c r="O88" s="535"/>
      <c r="P88" s="427"/>
    </row>
    <row r="89" spans="2:16" x14ac:dyDescent="0.35">
      <c r="B89" s="426"/>
      <c r="C89" s="450" t="s">
        <v>678</v>
      </c>
      <c r="D89" s="451">
        <v>1</v>
      </c>
      <c r="E89" s="451">
        <v>8</v>
      </c>
      <c r="F89" s="451">
        <v>15</v>
      </c>
      <c r="G89" s="451">
        <v>22</v>
      </c>
      <c r="H89" s="448"/>
      <c r="I89" s="449"/>
      <c r="J89" s="438"/>
      <c r="K89" s="536"/>
      <c r="L89" s="535"/>
      <c r="M89" s="535"/>
      <c r="N89" s="535"/>
      <c r="O89" s="535"/>
      <c r="P89" s="427"/>
    </row>
    <row r="90" spans="2:16" x14ac:dyDescent="0.35">
      <c r="B90" s="426"/>
      <c r="C90" s="438"/>
      <c r="D90" s="438"/>
      <c r="E90" s="438"/>
      <c r="F90" s="438"/>
      <c r="G90" s="438"/>
      <c r="H90" s="438"/>
      <c r="I90" s="438"/>
      <c r="J90" s="438"/>
      <c r="K90" s="535"/>
      <c r="L90" s="535"/>
      <c r="M90" s="535"/>
      <c r="N90" s="535"/>
      <c r="O90" s="535"/>
      <c r="P90" s="427"/>
    </row>
    <row r="91" spans="2:16" x14ac:dyDescent="0.35">
      <c r="B91" s="426"/>
      <c r="C91" s="437" t="s">
        <v>960</v>
      </c>
      <c r="D91" s="438"/>
      <c r="E91" s="438"/>
      <c r="F91" s="438"/>
      <c r="G91" s="438"/>
      <c r="H91" s="438"/>
      <c r="I91" s="438"/>
      <c r="J91" s="438"/>
      <c r="K91" s="535"/>
      <c r="L91" s="535"/>
      <c r="M91" s="535"/>
      <c r="N91" s="535"/>
      <c r="O91" s="535"/>
      <c r="P91" s="427"/>
    </row>
    <row r="92" spans="2:16" x14ac:dyDescent="0.35">
      <c r="B92" s="426"/>
      <c r="C92" s="465" t="s">
        <v>677</v>
      </c>
      <c r="D92" s="476"/>
      <c r="E92" s="441">
        <v>2</v>
      </c>
      <c r="F92" s="441">
        <v>9</v>
      </c>
      <c r="G92" s="441">
        <v>16</v>
      </c>
      <c r="H92" s="441">
        <v>23</v>
      </c>
      <c r="I92" s="441">
        <v>30</v>
      </c>
      <c r="J92" s="438"/>
      <c r="K92" s="536" t="s">
        <v>929</v>
      </c>
      <c r="L92" s="535"/>
      <c r="M92" s="535"/>
      <c r="N92" s="535"/>
      <c r="O92" s="535"/>
      <c r="P92" s="427"/>
    </row>
    <row r="93" spans="2:16" x14ac:dyDescent="0.35">
      <c r="B93" s="426"/>
      <c r="C93" s="465" t="s">
        <v>21</v>
      </c>
      <c r="D93" s="470"/>
      <c r="E93" s="469">
        <v>3</v>
      </c>
      <c r="F93" s="477">
        <v>10</v>
      </c>
      <c r="G93" s="447">
        <v>17</v>
      </c>
      <c r="H93" s="447">
        <v>24</v>
      </c>
      <c r="I93" s="469">
        <v>31</v>
      </c>
      <c r="J93" s="438"/>
      <c r="K93" s="536" t="s">
        <v>961</v>
      </c>
      <c r="L93" s="535"/>
      <c r="M93" s="535"/>
      <c r="N93" s="535"/>
      <c r="O93" s="535"/>
      <c r="P93" s="427"/>
    </row>
    <row r="94" spans="2:16" x14ac:dyDescent="0.35">
      <c r="B94" s="426"/>
      <c r="C94" s="465" t="s">
        <v>22</v>
      </c>
      <c r="D94" s="470"/>
      <c r="E94" s="469">
        <v>4</v>
      </c>
      <c r="F94" s="477">
        <v>11</v>
      </c>
      <c r="G94" s="447">
        <v>18</v>
      </c>
      <c r="H94" s="447">
        <v>25</v>
      </c>
      <c r="I94" s="447"/>
      <c r="J94" s="438"/>
      <c r="K94" s="536" t="s">
        <v>962</v>
      </c>
      <c r="L94" s="535"/>
      <c r="M94" s="535"/>
      <c r="N94" s="535"/>
      <c r="O94" s="535"/>
      <c r="P94" s="427"/>
    </row>
    <row r="95" spans="2:16" x14ac:dyDescent="0.35">
      <c r="B95" s="426"/>
      <c r="C95" s="465" t="s">
        <v>23</v>
      </c>
      <c r="D95" s="470"/>
      <c r="E95" s="469">
        <v>5</v>
      </c>
      <c r="F95" s="477">
        <v>12</v>
      </c>
      <c r="G95" s="447">
        <v>19</v>
      </c>
      <c r="H95" s="447">
        <v>26</v>
      </c>
      <c r="I95" s="447"/>
      <c r="J95" s="438"/>
      <c r="K95" s="536" t="s">
        <v>963</v>
      </c>
      <c r="L95" s="535"/>
      <c r="M95" s="535"/>
      <c r="N95" s="535"/>
      <c r="O95" s="535"/>
      <c r="P95" s="427"/>
    </row>
    <row r="96" spans="2:16" x14ac:dyDescent="0.35">
      <c r="B96" s="426"/>
      <c r="C96" s="465" t="s">
        <v>24</v>
      </c>
      <c r="D96" s="470"/>
      <c r="E96" s="447">
        <v>6</v>
      </c>
      <c r="F96" s="447">
        <v>13</v>
      </c>
      <c r="G96" s="447">
        <v>20</v>
      </c>
      <c r="H96" s="469">
        <v>27</v>
      </c>
      <c r="I96" s="447"/>
      <c r="J96" s="438"/>
      <c r="K96" s="536"/>
      <c r="L96" s="535"/>
      <c r="M96" s="535"/>
      <c r="N96" s="535"/>
      <c r="O96" s="535"/>
      <c r="P96" s="427"/>
    </row>
    <row r="97" spans="2:16" x14ac:dyDescent="0.35">
      <c r="B97" s="426"/>
      <c r="C97" s="465" t="s">
        <v>933</v>
      </c>
      <c r="D97" s="470"/>
      <c r="E97" s="447">
        <v>7</v>
      </c>
      <c r="F97" s="447">
        <v>14</v>
      </c>
      <c r="G97" s="447">
        <v>21</v>
      </c>
      <c r="H97" s="469">
        <v>28</v>
      </c>
      <c r="I97" s="447"/>
      <c r="J97" s="438"/>
      <c r="K97" s="536"/>
      <c r="L97" s="535"/>
      <c r="M97" s="535"/>
      <c r="N97" s="535"/>
      <c r="O97" s="535"/>
      <c r="P97" s="427"/>
    </row>
    <row r="98" spans="2:16" x14ac:dyDescent="0.35">
      <c r="B98" s="426"/>
      <c r="C98" s="465" t="s">
        <v>678</v>
      </c>
      <c r="D98" s="470">
        <v>1</v>
      </c>
      <c r="E98" s="447">
        <v>8</v>
      </c>
      <c r="F98" s="447">
        <v>15</v>
      </c>
      <c r="G98" s="447">
        <v>22</v>
      </c>
      <c r="H98" s="447">
        <v>29</v>
      </c>
      <c r="I98" s="447"/>
      <c r="J98" s="438"/>
      <c r="K98" s="536"/>
      <c r="L98" s="535"/>
      <c r="M98" s="535"/>
      <c r="N98" s="535"/>
      <c r="O98" s="535"/>
      <c r="P98" s="427"/>
    </row>
    <row r="99" spans="2:16" x14ac:dyDescent="0.35">
      <c r="B99" s="426"/>
      <c r="C99" s="438"/>
      <c r="D99" s="438"/>
      <c r="E99" s="438"/>
      <c r="F99" s="438"/>
      <c r="G99" s="438"/>
      <c r="H99" s="438"/>
      <c r="I99" s="438"/>
      <c r="J99" s="438"/>
      <c r="K99" s="535"/>
      <c r="L99" s="535"/>
      <c r="M99" s="535"/>
      <c r="N99" s="535"/>
      <c r="O99" s="535"/>
      <c r="P99" s="427"/>
    </row>
    <row r="100" spans="2:16" x14ac:dyDescent="0.35">
      <c r="B100" s="426"/>
      <c r="C100" s="461" t="s">
        <v>985</v>
      </c>
      <c r="D100" s="438"/>
      <c r="E100" s="438"/>
      <c r="F100" s="438"/>
      <c r="G100" s="438"/>
      <c r="H100" s="438"/>
      <c r="I100" s="438"/>
      <c r="J100" s="438"/>
      <c r="K100" s="535"/>
      <c r="L100" s="535"/>
      <c r="M100" s="535"/>
      <c r="N100" s="535"/>
      <c r="O100" s="535"/>
      <c r="P100" s="427"/>
    </row>
    <row r="101" spans="2:16" x14ac:dyDescent="0.35">
      <c r="B101" s="426"/>
      <c r="C101" s="439" t="s">
        <v>677</v>
      </c>
      <c r="D101" s="440"/>
      <c r="E101" s="441">
        <v>6</v>
      </c>
      <c r="F101" s="441">
        <v>13</v>
      </c>
      <c r="G101" s="441">
        <v>20</v>
      </c>
      <c r="H101" s="441">
        <v>27</v>
      </c>
      <c r="I101" s="440"/>
      <c r="J101" s="478"/>
      <c r="K101" s="536" t="s">
        <v>929</v>
      </c>
      <c r="L101" s="535"/>
      <c r="M101" s="535"/>
      <c r="N101" s="535"/>
      <c r="O101" s="535"/>
      <c r="P101" s="427"/>
    </row>
    <row r="102" spans="2:16" x14ac:dyDescent="0.35">
      <c r="B102" s="426"/>
      <c r="C102" s="439" t="s">
        <v>21</v>
      </c>
      <c r="D102" s="447"/>
      <c r="E102" s="469">
        <v>7</v>
      </c>
      <c r="F102" s="479">
        <v>14</v>
      </c>
      <c r="G102" s="479">
        <v>21</v>
      </c>
      <c r="H102" s="447">
        <v>28</v>
      </c>
      <c r="I102" s="447"/>
      <c r="J102" s="478"/>
      <c r="K102" s="536" t="s">
        <v>964</v>
      </c>
      <c r="L102" s="535"/>
      <c r="M102" s="535"/>
      <c r="N102" s="535"/>
      <c r="O102" s="535"/>
      <c r="P102" s="427"/>
    </row>
    <row r="103" spans="2:16" x14ac:dyDescent="0.35">
      <c r="B103" s="426"/>
      <c r="C103" s="439" t="s">
        <v>22</v>
      </c>
      <c r="D103" s="459">
        <v>1</v>
      </c>
      <c r="E103" s="469">
        <v>8</v>
      </c>
      <c r="F103" s="479">
        <v>15</v>
      </c>
      <c r="G103" s="479">
        <v>22</v>
      </c>
      <c r="H103" s="447">
        <v>29</v>
      </c>
      <c r="I103" s="447"/>
      <c r="J103" s="478"/>
      <c r="K103" s="536" t="s">
        <v>965</v>
      </c>
      <c r="L103" s="535"/>
      <c r="M103" s="535"/>
      <c r="N103" s="535"/>
      <c r="O103" s="535"/>
      <c r="P103" s="427"/>
    </row>
    <row r="104" spans="2:16" x14ac:dyDescent="0.35">
      <c r="B104" s="426"/>
      <c r="C104" s="439" t="s">
        <v>23</v>
      </c>
      <c r="D104" s="459">
        <v>2</v>
      </c>
      <c r="E104" s="469">
        <v>9</v>
      </c>
      <c r="F104" s="479">
        <v>16</v>
      </c>
      <c r="G104" s="479">
        <v>23</v>
      </c>
      <c r="H104" s="447">
        <v>30</v>
      </c>
      <c r="I104" s="447"/>
      <c r="J104" s="478"/>
      <c r="K104" s="536" t="s">
        <v>966</v>
      </c>
      <c r="L104" s="535"/>
      <c r="M104" s="535"/>
      <c r="N104" s="535"/>
      <c r="O104" s="535"/>
      <c r="P104" s="427"/>
    </row>
    <row r="105" spans="2:16" x14ac:dyDescent="0.35">
      <c r="B105" s="426"/>
      <c r="C105" s="439" t="s">
        <v>24</v>
      </c>
      <c r="D105" s="469">
        <v>3</v>
      </c>
      <c r="E105" s="447">
        <v>10</v>
      </c>
      <c r="F105" s="479">
        <v>17</v>
      </c>
      <c r="G105" s="479">
        <v>24</v>
      </c>
      <c r="H105" s="447"/>
      <c r="I105" s="447"/>
      <c r="J105" s="478"/>
      <c r="K105" s="536" t="s">
        <v>967</v>
      </c>
      <c r="L105" s="535"/>
      <c r="M105" s="535"/>
      <c r="N105" s="535"/>
      <c r="O105" s="535"/>
      <c r="P105" s="427"/>
    </row>
    <row r="106" spans="2:16" x14ac:dyDescent="0.35">
      <c r="B106" s="426"/>
      <c r="C106" s="480" t="s">
        <v>933</v>
      </c>
      <c r="D106" s="481">
        <v>4</v>
      </c>
      <c r="E106" s="482">
        <v>11</v>
      </c>
      <c r="F106" s="483">
        <v>18</v>
      </c>
      <c r="G106" s="482">
        <v>25</v>
      </c>
      <c r="H106" s="482"/>
      <c r="I106" s="482"/>
      <c r="J106" s="478"/>
      <c r="K106" s="544"/>
      <c r="L106" s="544"/>
      <c r="M106" s="544"/>
      <c r="N106" s="544"/>
      <c r="O106" s="544"/>
      <c r="P106" s="427"/>
    </row>
    <row r="107" spans="2:16" x14ac:dyDescent="0.35">
      <c r="B107" s="426"/>
      <c r="C107" s="465" t="s">
        <v>678</v>
      </c>
      <c r="D107" s="449">
        <v>5</v>
      </c>
      <c r="E107" s="449">
        <v>12</v>
      </c>
      <c r="F107" s="449">
        <v>19</v>
      </c>
      <c r="G107" s="449">
        <v>26</v>
      </c>
      <c r="H107" s="449"/>
      <c r="I107" s="449"/>
      <c r="J107" s="444"/>
      <c r="K107" s="544"/>
      <c r="L107" s="544"/>
      <c r="M107" s="544"/>
      <c r="N107" s="544"/>
      <c r="O107" s="544"/>
      <c r="P107" s="427"/>
    </row>
    <row r="108" spans="2:16" x14ac:dyDescent="0.35">
      <c r="B108" s="426"/>
      <c r="C108" s="438"/>
      <c r="D108" s="438"/>
      <c r="E108" s="438"/>
      <c r="F108" s="438"/>
      <c r="G108" s="438"/>
      <c r="H108" s="438"/>
      <c r="I108" s="438"/>
      <c r="J108" s="438"/>
      <c r="K108" s="535"/>
      <c r="L108" s="535"/>
      <c r="M108" s="535"/>
      <c r="N108" s="535"/>
      <c r="O108" s="535"/>
      <c r="P108" s="427"/>
    </row>
    <row r="109" spans="2:16" x14ac:dyDescent="0.35">
      <c r="B109" s="426"/>
      <c r="C109" s="437" t="s">
        <v>968</v>
      </c>
      <c r="D109" s="438"/>
      <c r="E109" s="438"/>
      <c r="F109" s="438"/>
      <c r="G109" s="438"/>
      <c r="H109" s="438"/>
      <c r="I109" s="438"/>
      <c r="J109" s="438"/>
      <c r="K109" s="535"/>
      <c r="L109" s="535"/>
      <c r="M109" s="535"/>
      <c r="N109" s="535"/>
      <c r="O109" s="535"/>
      <c r="P109" s="427"/>
    </row>
    <row r="110" spans="2:16" x14ac:dyDescent="0.35">
      <c r="B110" s="426"/>
      <c r="C110" s="439" t="s">
        <v>677</v>
      </c>
      <c r="D110" s="440"/>
      <c r="E110" s="441">
        <v>4</v>
      </c>
      <c r="F110" s="441">
        <v>11</v>
      </c>
      <c r="G110" s="441">
        <v>18</v>
      </c>
      <c r="H110" s="441">
        <v>25</v>
      </c>
      <c r="I110" s="440"/>
      <c r="J110" s="438"/>
      <c r="K110" s="536" t="s">
        <v>929</v>
      </c>
      <c r="L110" s="535"/>
      <c r="M110" s="535"/>
      <c r="N110" s="535"/>
      <c r="O110" s="535"/>
      <c r="P110" s="427"/>
    </row>
    <row r="111" spans="2:16" x14ac:dyDescent="0.35">
      <c r="B111" s="426"/>
      <c r="C111" s="450" t="s">
        <v>21</v>
      </c>
      <c r="D111" s="447"/>
      <c r="E111" s="451">
        <v>5</v>
      </c>
      <c r="F111" s="451">
        <v>12</v>
      </c>
      <c r="G111" s="451">
        <v>19</v>
      </c>
      <c r="H111" s="451">
        <v>26</v>
      </c>
      <c r="I111" s="447"/>
      <c r="J111" s="438"/>
      <c r="K111" s="536" t="s">
        <v>969</v>
      </c>
      <c r="L111" s="535"/>
      <c r="M111" s="535"/>
      <c r="N111" s="535"/>
      <c r="O111" s="535"/>
      <c r="P111" s="427"/>
    </row>
    <row r="112" spans="2:16" x14ac:dyDescent="0.35">
      <c r="B112" s="426"/>
      <c r="C112" s="450" t="s">
        <v>22</v>
      </c>
      <c r="D112" s="447"/>
      <c r="E112" s="484">
        <v>6</v>
      </c>
      <c r="F112" s="454">
        <v>13</v>
      </c>
      <c r="G112" s="451">
        <v>20</v>
      </c>
      <c r="H112" s="451">
        <v>27</v>
      </c>
      <c r="I112" s="447"/>
      <c r="J112" s="438"/>
      <c r="K112" s="536" t="s">
        <v>970</v>
      </c>
      <c r="L112" s="535"/>
      <c r="M112" s="535"/>
      <c r="N112" s="535"/>
      <c r="O112" s="535"/>
      <c r="P112" s="427"/>
    </row>
    <row r="113" spans="2:16" x14ac:dyDescent="0.35">
      <c r="B113" s="426"/>
      <c r="C113" s="450" t="s">
        <v>23</v>
      </c>
      <c r="D113" s="447"/>
      <c r="E113" s="451">
        <v>7</v>
      </c>
      <c r="F113" s="451">
        <v>14</v>
      </c>
      <c r="G113" s="451">
        <v>21</v>
      </c>
      <c r="H113" s="451">
        <v>28</v>
      </c>
      <c r="I113" s="447"/>
      <c r="J113" s="438"/>
      <c r="K113" s="536" t="s">
        <v>971</v>
      </c>
      <c r="L113" s="535"/>
      <c r="M113" s="535"/>
      <c r="N113" s="535"/>
      <c r="O113" s="535"/>
      <c r="P113" s="427"/>
    </row>
    <row r="114" spans="2:16" x14ac:dyDescent="0.35">
      <c r="B114" s="426"/>
      <c r="C114" s="450" t="s">
        <v>24</v>
      </c>
      <c r="D114" s="454">
        <v>1</v>
      </c>
      <c r="E114" s="451">
        <v>8</v>
      </c>
      <c r="F114" s="451">
        <v>15</v>
      </c>
      <c r="G114" s="451">
        <v>22</v>
      </c>
      <c r="H114" s="454">
        <v>29</v>
      </c>
      <c r="I114" s="447"/>
      <c r="J114" s="438"/>
      <c r="K114" s="536" t="s">
        <v>972</v>
      </c>
      <c r="L114" s="535"/>
      <c r="M114" s="535"/>
      <c r="N114" s="535"/>
      <c r="O114" s="535"/>
      <c r="P114" s="427"/>
    </row>
    <row r="115" spans="2:16" x14ac:dyDescent="0.35">
      <c r="B115" s="426"/>
      <c r="C115" s="450" t="s">
        <v>933</v>
      </c>
      <c r="D115" s="451">
        <v>2</v>
      </c>
      <c r="E115" s="485">
        <v>9</v>
      </c>
      <c r="F115" s="485">
        <v>16</v>
      </c>
      <c r="G115" s="485">
        <v>23</v>
      </c>
      <c r="H115" s="485">
        <v>30</v>
      </c>
      <c r="I115" s="482"/>
      <c r="J115" s="438"/>
      <c r="K115" s="536"/>
      <c r="L115" s="535"/>
      <c r="M115" s="535"/>
      <c r="N115" s="535"/>
      <c r="O115" s="535"/>
      <c r="P115" s="427"/>
    </row>
    <row r="116" spans="2:16" x14ac:dyDescent="0.35">
      <c r="B116" s="426"/>
      <c r="C116" s="450" t="s">
        <v>678</v>
      </c>
      <c r="D116" s="453">
        <v>3</v>
      </c>
      <c r="E116" s="486">
        <v>10</v>
      </c>
      <c r="F116" s="486">
        <v>17</v>
      </c>
      <c r="G116" s="486">
        <v>24</v>
      </c>
      <c r="H116" s="486">
        <v>31</v>
      </c>
      <c r="I116" s="449"/>
      <c r="J116" s="438"/>
      <c r="K116" s="536"/>
      <c r="L116" s="535"/>
      <c r="M116" s="535"/>
      <c r="N116" s="535"/>
      <c r="O116" s="535"/>
      <c r="P116" s="427"/>
    </row>
    <row r="117" spans="2:16" x14ac:dyDescent="0.35">
      <c r="B117" s="426"/>
      <c r="C117" s="438"/>
      <c r="D117" s="438"/>
      <c r="E117" s="438"/>
      <c r="F117" s="438"/>
      <c r="G117" s="438"/>
      <c r="H117" s="438"/>
      <c r="I117" s="438"/>
      <c r="J117" s="438"/>
      <c r="K117" s="535"/>
      <c r="L117" s="535"/>
      <c r="M117" s="535"/>
      <c r="N117" s="535"/>
      <c r="O117" s="535"/>
      <c r="P117" s="427"/>
    </row>
    <row r="118" spans="2:16" x14ac:dyDescent="0.35">
      <c r="B118" s="426"/>
      <c r="C118" s="437" t="s">
        <v>973</v>
      </c>
      <c r="D118" s="438"/>
      <c r="E118" s="438"/>
      <c r="F118" s="438"/>
      <c r="G118" s="438"/>
      <c r="H118" s="438"/>
      <c r="I118" s="438"/>
      <c r="J118" s="438"/>
      <c r="K118" s="535"/>
      <c r="L118" s="535"/>
      <c r="M118" s="535"/>
      <c r="N118" s="535"/>
      <c r="O118" s="535"/>
      <c r="P118" s="427"/>
    </row>
    <row r="119" spans="2:16" x14ac:dyDescent="0.35">
      <c r="B119" s="426"/>
      <c r="C119" s="439" t="s">
        <v>677</v>
      </c>
      <c r="D119" s="441">
        <v>1</v>
      </c>
      <c r="E119" s="441">
        <v>8</v>
      </c>
      <c r="F119" s="441">
        <v>15</v>
      </c>
      <c r="G119" s="441">
        <v>22</v>
      </c>
      <c r="H119" s="441">
        <v>29</v>
      </c>
      <c r="I119" s="440"/>
      <c r="J119" s="438"/>
      <c r="K119" s="536" t="s">
        <v>929</v>
      </c>
      <c r="L119" s="535"/>
      <c r="M119" s="535"/>
      <c r="N119" s="535"/>
      <c r="O119" s="535"/>
      <c r="P119" s="427"/>
    </row>
    <row r="120" spans="2:16" x14ac:dyDescent="0.35">
      <c r="B120" s="426"/>
      <c r="C120" s="439" t="s">
        <v>21</v>
      </c>
      <c r="D120" s="487">
        <v>2</v>
      </c>
      <c r="E120" s="487">
        <v>9</v>
      </c>
      <c r="F120" s="447">
        <v>16</v>
      </c>
      <c r="G120" s="469">
        <v>23</v>
      </c>
      <c r="H120" s="469">
        <v>30</v>
      </c>
      <c r="I120" s="447"/>
      <c r="J120" s="438"/>
      <c r="K120" s="536" t="s">
        <v>974</v>
      </c>
      <c r="L120" s="535"/>
      <c r="M120" s="535"/>
      <c r="N120" s="535"/>
      <c r="O120" s="535"/>
      <c r="P120" s="427"/>
    </row>
    <row r="121" spans="2:16" x14ac:dyDescent="0.35">
      <c r="B121" s="426"/>
      <c r="C121" s="439" t="s">
        <v>22</v>
      </c>
      <c r="D121" s="487">
        <v>3</v>
      </c>
      <c r="E121" s="487">
        <v>10</v>
      </c>
      <c r="F121" s="447">
        <v>17</v>
      </c>
      <c r="G121" s="469">
        <v>24</v>
      </c>
      <c r="H121" s="447"/>
      <c r="I121" s="447"/>
      <c r="J121" s="438"/>
      <c r="K121" s="536" t="s">
        <v>975</v>
      </c>
      <c r="L121" s="535"/>
      <c r="M121" s="535"/>
      <c r="N121" s="535"/>
      <c r="O121" s="535"/>
      <c r="P121" s="427"/>
    </row>
    <row r="122" spans="2:16" x14ac:dyDescent="0.35">
      <c r="B122" s="426"/>
      <c r="C122" s="439" t="s">
        <v>23</v>
      </c>
      <c r="D122" s="487">
        <v>4</v>
      </c>
      <c r="E122" s="447">
        <v>11</v>
      </c>
      <c r="F122" s="447">
        <v>18</v>
      </c>
      <c r="G122" s="469">
        <v>25</v>
      </c>
      <c r="H122" s="447"/>
      <c r="I122" s="447"/>
      <c r="J122" s="438"/>
      <c r="K122" s="536" t="s">
        <v>976</v>
      </c>
      <c r="L122" s="535"/>
      <c r="M122" s="535"/>
      <c r="N122" s="535"/>
      <c r="O122" s="535"/>
      <c r="P122" s="427"/>
    </row>
    <row r="123" spans="2:16" x14ac:dyDescent="0.35">
      <c r="B123" s="426"/>
      <c r="C123" s="439" t="s">
        <v>24</v>
      </c>
      <c r="D123" s="487">
        <v>5</v>
      </c>
      <c r="E123" s="447">
        <v>12</v>
      </c>
      <c r="F123" s="447">
        <v>19</v>
      </c>
      <c r="G123" s="459">
        <v>26</v>
      </c>
      <c r="H123" s="447"/>
      <c r="I123" s="447"/>
      <c r="J123" s="438"/>
      <c r="K123" s="536" t="s">
        <v>977</v>
      </c>
      <c r="L123" s="535"/>
      <c r="M123" s="535"/>
      <c r="N123" s="535"/>
      <c r="O123" s="535"/>
      <c r="P123" s="427"/>
    </row>
    <row r="124" spans="2:16" x14ac:dyDescent="0.35">
      <c r="B124" s="426"/>
      <c r="C124" s="439" t="s">
        <v>933</v>
      </c>
      <c r="D124" s="487">
        <v>6</v>
      </c>
      <c r="E124" s="482">
        <v>13</v>
      </c>
      <c r="F124" s="488">
        <v>20</v>
      </c>
      <c r="G124" s="481">
        <v>27</v>
      </c>
      <c r="H124" s="482"/>
      <c r="I124" s="482"/>
      <c r="J124" s="438"/>
      <c r="K124" s="536" t="s">
        <v>978</v>
      </c>
      <c r="L124" s="535"/>
      <c r="M124" s="535"/>
      <c r="N124" s="535"/>
      <c r="O124" s="535"/>
      <c r="P124" s="427"/>
    </row>
    <row r="125" spans="2:16" x14ac:dyDescent="0.35">
      <c r="B125" s="426"/>
      <c r="C125" s="439" t="s">
        <v>678</v>
      </c>
      <c r="D125" s="489">
        <v>7</v>
      </c>
      <c r="E125" s="449">
        <v>14</v>
      </c>
      <c r="F125" s="449">
        <v>21</v>
      </c>
      <c r="G125" s="449">
        <v>28</v>
      </c>
      <c r="H125" s="449"/>
      <c r="I125" s="449"/>
      <c r="J125" s="438"/>
      <c r="K125" s="536" t="s">
        <v>979</v>
      </c>
      <c r="L125" s="535"/>
      <c r="M125" s="535"/>
      <c r="N125" s="535"/>
      <c r="O125" s="535"/>
      <c r="P125" s="427"/>
    </row>
    <row r="126" spans="2:16" x14ac:dyDescent="0.35">
      <c r="B126" s="426"/>
      <c r="C126" s="438"/>
      <c r="D126" s="438"/>
      <c r="E126" s="438"/>
      <c r="F126" s="438"/>
      <c r="G126" s="438"/>
      <c r="H126" s="438"/>
      <c r="I126" s="438"/>
      <c r="J126" s="438"/>
      <c r="K126" s="535"/>
      <c r="L126" s="535"/>
      <c r="M126" s="535"/>
      <c r="N126" s="535"/>
      <c r="O126" s="535"/>
      <c r="P126" s="427"/>
    </row>
    <row r="127" spans="2:16" x14ac:dyDescent="0.35">
      <c r="B127" s="426"/>
      <c r="C127" s="437" t="s">
        <v>980</v>
      </c>
      <c r="D127" s="438"/>
      <c r="E127" s="438"/>
      <c r="F127" s="438"/>
      <c r="G127" s="438"/>
      <c r="H127" s="438"/>
      <c r="I127" s="438"/>
      <c r="J127" s="438"/>
      <c r="K127" s="535"/>
      <c r="L127" s="535"/>
      <c r="M127" s="535"/>
      <c r="N127" s="535"/>
      <c r="O127" s="535"/>
      <c r="P127" s="427"/>
    </row>
    <row r="128" spans="2:16" x14ac:dyDescent="0.35">
      <c r="B128" s="426"/>
      <c r="C128" s="439" t="s">
        <v>677</v>
      </c>
      <c r="D128" s="440"/>
      <c r="E128" s="441">
        <v>6</v>
      </c>
      <c r="F128" s="441">
        <v>13</v>
      </c>
      <c r="G128" s="441">
        <v>20</v>
      </c>
      <c r="H128" s="441">
        <v>27</v>
      </c>
      <c r="I128" s="440"/>
      <c r="J128" s="438"/>
      <c r="K128" s="536" t="s">
        <v>929</v>
      </c>
      <c r="L128" s="535"/>
      <c r="M128" s="535"/>
      <c r="N128" s="535"/>
      <c r="O128" s="535"/>
      <c r="P128" s="427"/>
    </row>
    <row r="129" spans="2:16" x14ac:dyDescent="0.35">
      <c r="B129" s="426"/>
      <c r="C129" s="439" t="s">
        <v>21</v>
      </c>
      <c r="D129" s="447"/>
      <c r="E129" s="469">
        <v>7</v>
      </c>
      <c r="F129" s="474">
        <v>14</v>
      </c>
      <c r="G129" s="447">
        <v>21</v>
      </c>
      <c r="H129" s="447">
        <v>28</v>
      </c>
      <c r="I129" s="447"/>
      <c r="J129" s="438"/>
      <c r="K129" s="536" t="s">
        <v>981</v>
      </c>
      <c r="L129" s="535"/>
      <c r="M129" s="535"/>
      <c r="N129" s="535"/>
      <c r="O129" s="535"/>
      <c r="P129" s="427"/>
    </row>
    <row r="130" spans="2:16" x14ac:dyDescent="0.35">
      <c r="B130" s="426"/>
      <c r="C130" s="439" t="s">
        <v>22</v>
      </c>
      <c r="D130" s="469">
        <v>1</v>
      </c>
      <c r="E130" s="469">
        <v>8</v>
      </c>
      <c r="F130" s="447">
        <v>15</v>
      </c>
      <c r="G130" s="447">
        <v>22</v>
      </c>
      <c r="H130" s="447">
        <v>29</v>
      </c>
      <c r="I130" s="447"/>
      <c r="J130" s="438"/>
      <c r="K130" s="536" t="s">
        <v>982</v>
      </c>
      <c r="L130" s="535"/>
      <c r="M130" s="535"/>
      <c r="N130" s="535"/>
      <c r="O130" s="535"/>
      <c r="P130" s="427"/>
    </row>
    <row r="131" spans="2:16" x14ac:dyDescent="0.35">
      <c r="B131" s="426"/>
      <c r="C131" s="439" t="s">
        <v>23</v>
      </c>
      <c r="D131" s="469">
        <v>2</v>
      </c>
      <c r="E131" s="469">
        <v>9</v>
      </c>
      <c r="F131" s="447">
        <v>16</v>
      </c>
      <c r="G131" s="447">
        <v>23</v>
      </c>
      <c r="H131" s="447">
        <v>31</v>
      </c>
      <c r="I131" s="447"/>
      <c r="J131" s="438"/>
      <c r="K131" s="536"/>
      <c r="L131" s="535"/>
      <c r="M131" s="535"/>
      <c r="N131" s="535"/>
      <c r="O131" s="535"/>
      <c r="P131" s="427"/>
    </row>
    <row r="132" spans="2:16" x14ac:dyDescent="0.35">
      <c r="B132" s="426"/>
      <c r="C132" s="439" t="s">
        <v>24</v>
      </c>
      <c r="D132" s="469">
        <v>3</v>
      </c>
      <c r="E132" s="469">
        <v>10</v>
      </c>
      <c r="F132" s="447">
        <v>17</v>
      </c>
      <c r="G132" s="447">
        <v>24</v>
      </c>
      <c r="H132" s="447"/>
      <c r="I132" s="447"/>
      <c r="J132" s="438"/>
      <c r="K132" s="536"/>
      <c r="L132" s="535"/>
      <c r="M132" s="535"/>
      <c r="N132" s="535"/>
      <c r="O132" s="535"/>
      <c r="P132" s="427"/>
    </row>
    <row r="133" spans="2:16" x14ac:dyDescent="0.35">
      <c r="B133" s="426"/>
      <c r="C133" s="439" t="s">
        <v>933</v>
      </c>
      <c r="D133" s="469">
        <v>4</v>
      </c>
      <c r="E133" s="469">
        <v>11</v>
      </c>
      <c r="F133" s="447">
        <v>18</v>
      </c>
      <c r="G133" s="447">
        <v>25</v>
      </c>
      <c r="H133" s="447"/>
      <c r="I133" s="447"/>
      <c r="J133" s="438"/>
      <c r="K133" s="536"/>
      <c r="L133" s="535"/>
      <c r="M133" s="535"/>
      <c r="N133" s="535"/>
      <c r="O133" s="535"/>
      <c r="P133" s="427"/>
    </row>
    <row r="134" spans="2:16" x14ac:dyDescent="0.35">
      <c r="B134" s="426"/>
      <c r="C134" s="439" t="s">
        <v>678</v>
      </c>
      <c r="D134" s="447">
        <v>5</v>
      </c>
      <c r="E134" s="447">
        <v>12</v>
      </c>
      <c r="F134" s="447">
        <v>19</v>
      </c>
      <c r="G134" s="447">
        <v>26</v>
      </c>
      <c r="H134" s="447"/>
      <c r="I134" s="447"/>
      <c r="J134" s="438"/>
      <c r="K134" s="536"/>
      <c r="L134" s="535"/>
      <c r="M134" s="535"/>
      <c r="N134" s="535"/>
      <c r="O134" s="535"/>
      <c r="P134" s="427"/>
    </row>
    <row r="135" spans="2:16" ht="15" thickBot="1" x14ac:dyDescent="0.4">
      <c r="B135" s="431"/>
      <c r="C135" s="432"/>
      <c r="D135" s="432"/>
      <c r="E135" s="432"/>
      <c r="F135" s="432"/>
      <c r="G135" s="432"/>
      <c r="H135" s="432"/>
      <c r="I135" s="432"/>
      <c r="J135" s="432"/>
      <c r="K135" s="433"/>
      <c r="L135" s="433"/>
      <c r="M135" s="433"/>
      <c r="N135" s="433"/>
      <c r="O135" s="433"/>
      <c r="P135" s="434"/>
    </row>
    <row r="137" spans="2:16" x14ac:dyDescent="0.35">
      <c r="L137" t="s">
        <v>986</v>
      </c>
    </row>
    <row r="138" spans="2:16" x14ac:dyDescent="0.35">
      <c r="L138" t="s">
        <v>987</v>
      </c>
    </row>
    <row r="142" spans="2:16" x14ac:dyDescent="0.35">
      <c r="L142" t="s">
        <v>988</v>
      </c>
    </row>
    <row r="143" spans="2:16" x14ac:dyDescent="0.35">
      <c r="L143" t="s">
        <v>989</v>
      </c>
    </row>
  </sheetData>
  <mergeCells count="123">
    <mergeCell ref="K134:O134"/>
    <mergeCell ref="C4:O4"/>
    <mergeCell ref="C5:O5"/>
    <mergeCell ref="K129:O129"/>
    <mergeCell ref="K130:O130"/>
    <mergeCell ref="K131:O131"/>
    <mergeCell ref="K132:O132"/>
    <mergeCell ref="K133:O133"/>
    <mergeCell ref="K124:O124"/>
    <mergeCell ref="K125:O125"/>
    <mergeCell ref="K126:O126"/>
    <mergeCell ref="K127:O127"/>
    <mergeCell ref="K128:O128"/>
    <mergeCell ref="K119:O119"/>
    <mergeCell ref="K120:O120"/>
    <mergeCell ref="K121:O121"/>
    <mergeCell ref="K122:O122"/>
    <mergeCell ref="K123:O123"/>
    <mergeCell ref="K114:O114"/>
    <mergeCell ref="K115:O115"/>
    <mergeCell ref="K116:O116"/>
    <mergeCell ref="K117:O117"/>
    <mergeCell ref="K118:O118"/>
    <mergeCell ref="K109:O109"/>
    <mergeCell ref="K110:O110"/>
    <mergeCell ref="K111:O111"/>
    <mergeCell ref="K112:O112"/>
    <mergeCell ref="K113:O113"/>
    <mergeCell ref="K104:O104"/>
    <mergeCell ref="K105:O105"/>
    <mergeCell ref="K106:O106"/>
    <mergeCell ref="K107:O107"/>
    <mergeCell ref="K108:O108"/>
    <mergeCell ref="K99:O99"/>
    <mergeCell ref="K100:O100"/>
    <mergeCell ref="K101:O101"/>
    <mergeCell ref="K102:O102"/>
    <mergeCell ref="K103:O103"/>
    <mergeCell ref="K94:O94"/>
    <mergeCell ref="K95:O95"/>
    <mergeCell ref="K96:O96"/>
    <mergeCell ref="K97:O97"/>
    <mergeCell ref="K98:O98"/>
    <mergeCell ref="K89:O89"/>
    <mergeCell ref="K90:O90"/>
    <mergeCell ref="K91:O91"/>
    <mergeCell ref="K92:O92"/>
    <mergeCell ref="K93:O93"/>
    <mergeCell ref="K84:O84"/>
    <mergeCell ref="K85:O85"/>
    <mergeCell ref="K86:O86"/>
    <mergeCell ref="K87:O87"/>
    <mergeCell ref="K88:O88"/>
    <mergeCell ref="K79:O79"/>
    <mergeCell ref="K80:O80"/>
    <mergeCell ref="K81:O81"/>
    <mergeCell ref="K82:O82"/>
    <mergeCell ref="K83:O83"/>
    <mergeCell ref="K61:O61"/>
    <mergeCell ref="K71:O71"/>
    <mergeCell ref="K72:O72"/>
    <mergeCell ref="K73:O73"/>
    <mergeCell ref="K74:O74"/>
    <mergeCell ref="K76:O76"/>
    <mergeCell ref="K77:O77"/>
    <mergeCell ref="K78:O78"/>
    <mergeCell ref="K75:O75"/>
    <mergeCell ref="K38:O38"/>
    <mergeCell ref="K39:O39"/>
    <mergeCell ref="K40:O40"/>
    <mergeCell ref="K56:O56"/>
    <mergeCell ref="K57:O57"/>
    <mergeCell ref="K58:O58"/>
    <mergeCell ref="K59:O59"/>
    <mergeCell ref="K60:O60"/>
    <mergeCell ref="K51:O51"/>
    <mergeCell ref="K52:O52"/>
    <mergeCell ref="K53:O53"/>
    <mergeCell ref="K54:O54"/>
    <mergeCell ref="K55:O55"/>
    <mergeCell ref="K46:O46"/>
    <mergeCell ref="K47:O47"/>
    <mergeCell ref="K48:O48"/>
    <mergeCell ref="K49:O49"/>
    <mergeCell ref="K50:O50"/>
    <mergeCell ref="K41:O41"/>
    <mergeCell ref="K42:O42"/>
    <mergeCell ref="K43:O43"/>
    <mergeCell ref="K44:O44"/>
    <mergeCell ref="K45:O45"/>
    <mergeCell ref="K29:O29"/>
    <mergeCell ref="K30:O30"/>
    <mergeCell ref="K21:O21"/>
    <mergeCell ref="K22:O22"/>
    <mergeCell ref="K23:O23"/>
    <mergeCell ref="K24:O24"/>
    <mergeCell ref="K25:O25"/>
    <mergeCell ref="K36:O36"/>
    <mergeCell ref="K37:O37"/>
    <mergeCell ref="K31:O31"/>
    <mergeCell ref="K32:O32"/>
    <mergeCell ref="K26:O26"/>
    <mergeCell ref="K27:O27"/>
    <mergeCell ref="K28:O28"/>
    <mergeCell ref="K33:O33"/>
    <mergeCell ref="K34:O34"/>
    <mergeCell ref="K35:O35"/>
    <mergeCell ref="M1:P1"/>
    <mergeCell ref="M2:P2"/>
    <mergeCell ref="K16:O16"/>
    <mergeCell ref="K17:O17"/>
    <mergeCell ref="K18:O18"/>
    <mergeCell ref="K19:O19"/>
    <mergeCell ref="K20:O20"/>
    <mergeCell ref="K7:O7"/>
    <mergeCell ref="K8:O8"/>
    <mergeCell ref="K9:O9"/>
    <mergeCell ref="K10:O10"/>
    <mergeCell ref="K11:O11"/>
    <mergeCell ref="K12:O12"/>
    <mergeCell ref="K13:O13"/>
    <mergeCell ref="K14:O14"/>
    <mergeCell ref="K15:O15"/>
  </mergeCells>
  <pageMargins left="0.78740157480314965" right="0.31496062992125984" top="0.35433070866141736" bottom="0.35433070866141736" header="0.31496062992125984" footer="0.31496062992125984"/>
  <pageSetup paperSize="258" scale="8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"/>
  <sheetViews>
    <sheetView zoomScale="90" zoomScaleNormal="90" workbookViewId="0">
      <selection activeCell="V16" sqref="V16"/>
    </sheetView>
  </sheetViews>
  <sheetFormatPr defaultColWidth="9.1796875" defaultRowHeight="14" x14ac:dyDescent="0.3"/>
  <cols>
    <col min="1" max="1" width="9.1796875" style="3"/>
    <col min="2" max="2" width="22.54296875" style="3" customWidth="1"/>
    <col min="3" max="4" width="7.26953125" style="3" customWidth="1"/>
    <col min="5" max="5" width="5.81640625" style="3" customWidth="1"/>
    <col min="6" max="7" width="6.26953125" style="3" customWidth="1"/>
    <col min="8" max="8" width="6" style="3" customWidth="1"/>
    <col min="9" max="9" width="6.26953125" style="3" customWidth="1"/>
    <col min="10" max="10" width="6.54296875" style="3" customWidth="1"/>
    <col min="11" max="11" width="6.1796875" style="3" customWidth="1"/>
    <col min="12" max="12" width="6.54296875" style="3" customWidth="1"/>
    <col min="13" max="13" width="6.7265625" style="3" customWidth="1"/>
    <col min="14" max="14" width="6.1796875" style="3" customWidth="1"/>
    <col min="15" max="15" width="0.7265625" style="3" customWidth="1"/>
    <col min="16" max="16" width="3.26953125" style="3" customWidth="1"/>
    <col min="17" max="17" width="3.81640625" style="3" customWidth="1"/>
    <col min="18" max="18" width="13.54296875" style="3" customWidth="1"/>
    <col min="19" max="19" width="0.81640625" style="3" customWidth="1"/>
    <col min="20" max="16384" width="9.1796875" style="3"/>
  </cols>
  <sheetData>
    <row r="1" spans="1:19" ht="18" x14ac:dyDescent="0.4">
      <c r="A1" s="547" t="s">
        <v>46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24" t="s">
        <v>747</v>
      </c>
      <c r="S1" s="2"/>
    </row>
    <row r="2" spans="1:19" ht="15.5" x14ac:dyDescent="0.35">
      <c r="A2" s="548" t="s">
        <v>992</v>
      </c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22">
        <v>45483</v>
      </c>
      <c r="S2" s="8"/>
    </row>
    <row r="3" spans="1:19" ht="9" customHeight="1" x14ac:dyDescent="0.3"/>
    <row r="4" spans="1:19" x14ac:dyDescent="0.3">
      <c r="A4" s="549" t="s">
        <v>19</v>
      </c>
      <c r="B4" s="549" t="s">
        <v>20</v>
      </c>
      <c r="C4" s="549">
        <v>1</v>
      </c>
      <c r="D4" s="549">
        <v>2</v>
      </c>
      <c r="E4" s="549">
        <v>3</v>
      </c>
      <c r="F4" s="549">
        <v>4</v>
      </c>
      <c r="G4" s="549">
        <v>5</v>
      </c>
      <c r="H4" s="549">
        <v>6</v>
      </c>
      <c r="I4" s="549">
        <v>7</v>
      </c>
      <c r="J4" s="549">
        <v>8</v>
      </c>
      <c r="K4" s="549">
        <v>9</v>
      </c>
      <c r="L4" s="549">
        <v>10</v>
      </c>
      <c r="M4" s="549">
        <v>11</v>
      </c>
      <c r="N4" s="549">
        <v>12</v>
      </c>
      <c r="P4" s="16" t="s">
        <v>17</v>
      </c>
      <c r="Q4" s="10"/>
      <c r="R4" s="10"/>
      <c r="S4" s="12"/>
    </row>
    <row r="5" spans="1:19" ht="14.5" thickBot="1" x14ac:dyDescent="0.35">
      <c r="A5" s="550"/>
      <c r="B5" s="550"/>
      <c r="C5" s="550"/>
      <c r="D5" s="550"/>
      <c r="E5" s="550"/>
      <c r="F5" s="551"/>
      <c r="G5" s="550"/>
      <c r="H5" s="550"/>
      <c r="I5" s="550"/>
      <c r="J5" s="550"/>
      <c r="K5" s="550"/>
      <c r="L5" s="550"/>
      <c r="M5" s="550"/>
      <c r="N5" s="550"/>
      <c r="P5" s="13"/>
      <c r="S5" s="14"/>
    </row>
    <row r="6" spans="1:19" ht="18" customHeight="1" thickTop="1" x14ac:dyDescent="0.3">
      <c r="A6" s="573" t="s">
        <v>21</v>
      </c>
      <c r="B6" s="4" t="s">
        <v>41</v>
      </c>
      <c r="C6" s="571"/>
      <c r="D6" s="572"/>
      <c r="E6" s="559"/>
      <c r="F6" s="560"/>
      <c r="G6" s="559"/>
      <c r="H6" s="560"/>
      <c r="I6" s="559"/>
      <c r="J6" s="560"/>
      <c r="K6" s="563" t="s">
        <v>1024</v>
      </c>
      <c r="L6" s="564"/>
      <c r="M6" s="565"/>
      <c r="N6" s="503"/>
      <c r="P6" s="13"/>
      <c r="S6" s="14"/>
    </row>
    <row r="7" spans="1:19" ht="18" customHeight="1" thickBot="1" x14ac:dyDescent="0.35">
      <c r="A7" s="574"/>
      <c r="B7" s="5" t="s">
        <v>327</v>
      </c>
      <c r="C7" s="561"/>
      <c r="D7" s="562"/>
      <c r="E7" s="561"/>
      <c r="F7" s="562"/>
      <c r="G7" s="561"/>
      <c r="H7" s="562"/>
      <c r="I7" s="561"/>
      <c r="J7" s="562"/>
      <c r="K7" s="561"/>
      <c r="L7" s="562"/>
      <c r="M7" s="561"/>
      <c r="N7" s="562"/>
      <c r="P7" s="13"/>
      <c r="S7" s="14"/>
    </row>
    <row r="8" spans="1:19" ht="18" customHeight="1" thickTop="1" x14ac:dyDescent="0.35">
      <c r="A8" s="574" t="s">
        <v>22</v>
      </c>
      <c r="B8" s="4" t="s">
        <v>41</v>
      </c>
      <c r="C8" s="563" t="s">
        <v>1024</v>
      </c>
      <c r="D8" s="564"/>
      <c r="E8" s="564"/>
      <c r="F8" s="564"/>
      <c r="G8" s="565"/>
      <c r="H8" s="566" t="s">
        <v>1025</v>
      </c>
      <c r="I8" s="567"/>
      <c r="J8" s="567"/>
      <c r="K8" s="567"/>
      <c r="L8" s="567"/>
      <c r="M8" s="568"/>
      <c r="N8" s="503"/>
      <c r="P8" s="13"/>
      <c r="S8" s="14"/>
    </row>
    <row r="9" spans="1:19" ht="18" customHeight="1" thickBot="1" x14ac:dyDescent="0.4">
      <c r="A9" s="574"/>
      <c r="B9" s="5" t="s">
        <v>327</v>
      </c>
      <c r="C9" s="561"/>
      <c r="D9" s="562"/>
      <c r="E9" s="508"/>
      <c r="F9" s="509"/>
      <c r="G9" s="504"/>
      <c r="H9" s="505"/>
      <c r="I9" s="506"/>
      <c r="J9" s="507"/>
      <c r="K9" s="506"/>
      <c r="L9" s="507"/>
      <c r="M9" s="561"/>
      <c r="N9" s="562"/>
      <c r="P9" s="13"/>
      <c r="S9" s="14"/>
    </row>
    <row r="10" spans="1:19" ht="18" customHeight="1" thickTop="1" x14ac:dyDescent="0.3">
      <c r="A10" s="574" t="s">
        <v>23</v>
      </c>
      <c r="B10" s="4" t="s">
        <v>41</v>
      </c>
      <c r="C10" s="569"/>
      <c r="D10" s="570"/>
      <c r="E10" s="575" t="s">
        <v>1026</v>
      </c>
      <c r="F10" s="576"/>
      <c r="G10" s="576"/>
      <c r="H10" s="576"/>
      <c r="I10" s="576"/>
      <c r="J10" s="576"/>
      <c r="K10" s="576"/>
      <c r="L10" s="577"/>
      <c r="M10" s="559"/>
      <c r="N10" s="560"/>
      <c r="P10" s="13"/>
      <c r="S10" s="14"/>
    </row>
    <row r="11" spans="1:19" ht="18" customHeight="1" thickBot="1" x14ac:dyDescent="0.35">
      <c r="A11" s="574"/>
      <c r="B11" s="5" t="s">
        <v>327</v>
      </c>
      <c r="C11" s="561"/>
      <c r="D11" s="562"/>
      <c r="E11" s="561"/>
      <c r="F11" s="562"/>
      <c r="G11" s="561"/>
      <c r="H11" s="562"/>
      <c r="I11" s="561"/>
      <c r="J11" s="562"/>
      <c r="K11" s="561"/>
      <c r="L11" s="562"/>
      <c r="M11" s="561"/>
      <c r="N11" s="562"/>
      <c r="P11" s="13"/>
      <c r="S11" s="14"/>
    </row>
    <row r="12" spans="1:19" ht="18" customHeight="1" thickTop="1" x14ac:dyDescent="0.3">
      <c r="A12" s="574" t="s">
        <v>24</v>
      </c>
      <c r="B12" s="4" t="s">
        <v>41</v>
      </c>
      <c r="C12" s="559"/>
      <c r="D12" s="560"/>
      <c r="E12" s="559"/>
      <c r="F12" s="560"/>
      <c r="G12" s="559"/>
      <c r="H12" s="560"/>
      <c r="I12" s="559"/>
      <c r="J12" s="560"/>
      <c r="K12" s="559"/>
      <c r="L12" s="560"/>
      <c r="M12" s="559"/>
      <c r="N12" s="560"/>
      <c r="P12" s="13"/>
      <c r="S12" s="14"/>
    </row>
    <row r="13" spans="1:19" ht="18" customHeight="1" thickBot="1" x14ac:dyDescent="0.35">
      <c r="A13" s="574"/>
      <c r="B13" s="5" t="s">
        <v>327</v>
      </c>
      <c r="C13" s="561"/>
      <c r="D13" s="562"/>
      <c r="E13" s="561"/>
      <c r="F13" s="562"/>
      <c r="G13" s="561"/>
      <c r="H13" s="562"/>
      <c r="I13" s="561"/>
      <c r="J13" s="562"/>
      <c r="K13" s="561"/>
      <c r="L13" s="562"/>
      <c r="M13" s="561"/>
      <c r="N13" s="562"/>
      <c r="P13" s="13"/>
      <c r="S13" s="14"/>
    </row>
    <row r="14" spans="1:19" ht="18" customHeight="1" thickTop="1" x14ac:dyDescent="0.3">
      <c r="A14" s="574" t="s">
        <v>25</v>
      </c>
      <c r="B14" s="4" t="s">
        <v>41</v>
      </c>
      <c r="C14" s="578" t="s">
        <v>1025</v>
      </c>
      <c r="D14" s="579"/>
      <c r="E14" s="579"/>
      <c r="F14" s="579"/>
      <c r="G14" s="579"/>
      <c r="H14" s="580"/>
      <c r="I14" s="559"/>
      <c r="J14" s="560"/>
      <c r="K14" s="559"/>
      <c r="L14" s="560"/>
      <c r="M14" s="559"/>
      <c r="N14" s="560"/>
      <c r="P14" s="13"/>
      <c r="S14" s="14"/>
    </row>
    <row r="15" spans="1:19" ht="18" customHeight="1" thickBot="1" x14ac:dyDescent="0.35">
      <c r="A15" s="574"/>
      <c r="B15" s="5" t="s">
        <v>327</v>
      </c>
      <c r="C15" s="561"/>
      <c r="D15" s="562"/>
      <c r="E15" s="561"/>
      <c r="F15" s="562"/>
      <c r="G15" s="561"/>
      <c r="H15" s="562"/>
      <c r="I15" s="561"/>
      <c r="J15" s="562"/>
      <c r="K15" s="561"/>
      <c r="L15" s="562"/>
      <c r="M15" s="561"/>
      <c r="N15" s="562"/>
      <c r="O15" s="6"/>
      <c r="P15" s="15"/>
      <c r="Q15" s="6"/>
      <c r="R15" s="6"/>
      <c r="S15" s="14"/>
    </row>
    <row r="16" spans="1:19" ht="19" thickTop="1" x14ac:dyDescent="0.45">
      <c r="B16" s="585" t="s">
        <v>26</v>
      </c>
      <c r="C16" s="586"/>
      <c r="D16" s="586"/>
      <c r="E16" s="586"/>
      <c r="F16" s="586"/>
      <c r="G16" s="586"/>
      <c r="H16" s="586"/>
    </row>
    <row r="17" spans="2:15" ht="17.25" customHeight="1" x14ac:dyDescent="0.45">
      <c r="B17" s="17" t="s">
        <v>410</v>
      </c>
      <c r="C17" s="597" t="s">
        <v>410</v>
      </c>
      <c r="D17" s="598"/>
      <c r="E17" s="599"/>
      <c r="F17" s="591" t="s">
        <v>411</v>
      </c>
      <c r="G17" s="592"/>
      <c r="H17" s="593"/>
      <c r="I17" s="175" t="s">
        <v>49</v>
      </c>
      <c r="J17" s="43"/>
      <c r="K17" s="43"/>
      <c r="L17" s="43"/>
      <c r="M17" s="43"/>
      <c r="N17" s="43"/>
      <c r="O17" s="43"/>
    </row>
    <row r="18" spans="2:15" ht="17.25" customHeight="1" x14ac:dyDescent="0.45">
      <c r="B18" s="18" t="s">
        <v>95</v>
      </c>
      <c r="C18" s="600" t="s">
        <v>412</v>
      </c>
      <c r="D18" s="601"/>
      <c r="E18" s="601"/>
      <c r="F18" s="594"/>
      <c r="G18" s="595"/>
      <c r="H18" s="596"/>
      <c r="I18" s="43" t="s">
        <v>50</v>
      </c>
      <c r="J18" s="43"/>
      <c r="K18" s="43"/>
      <c r="L18" s="43"/>
      <c r="M18" s="43"/>
      <c r="N18" s="43"/>
      <c r="O18" s="43"/>
    </row>
    <row r="19" spans="2:15" ht="17.25" customHeight="1" x14ac:dyDescent="0.45">
      <c r="B19" s="17" t="s">
        <v>427</v>
      </c>
      <c r="C19" s="588" t="s">
        <v>427</v>
      </c>
      <c r="D19" s="589"/>
      <c r="E19" s="590"/>
      <c r="F19" s="588" t="s">
        <v>428</v>
      </c>
      <c r="G19" s="589"/>
      <c r="H19" s="590"/>
      <c r="I19" s="43" t="s">
        <v>406</v>
      </c>
      <c r="J19" s="43"/>
      <c r="K19" s="43"/>
      <c r="L19" s="43"/>
      <c r="M19" s="43"/>
      <c r="N19" s="43"/>
      <c r="O19" s="43"/>
    </row>
    <row r="20" spans="2:15" ht="17.25" customHeight="1" x14ac:dyDescent="0.3">
      <c r="B20" s="287" t="s">
        <v>426</v>
      </c>
      <c r="C20" s="587" t="s">
        <v>426</v>
      </c>
      <c r="D20" s="583"/>
      <c r="E20" s="584"/>
      <c r="F20" s="583" t="s">
        <v>429</v>
      </c>
      <c r="G20" s="583"/>
      <c r="H20" s="584"/>
      <c r="I20" s="43"/>
      <c r="J20" s="43"/>
      <c r="K20" s="43"/>
      <c r="L20" s="43"/>
      <c r="M20" s="43"/>
      <c r="N20" s="43"/>
      <c r="O20" s="43"/>
    </row>
    <row r="21" spans="2:15" ht="15" customHeight="1" x14ac:dyDescent="0.3">
      <c r="B21" s="287" t="s">
        <v>96</v>
      </c>
      <c r="C21" s="583" t="s">
        <v>413</v>
      </c>
      <c r="D21" s="583"/>
      <c r="E21" s="584"/>
      <c r="F21" s="552" t="s">
        <v>435</v>
      </c>
      <c r="G21" s="553"/>
      <c r="H21" s="554"/>
      <c r="I21" s="43"/>
      <c r="J21" s="43"/>
      <c r="K21" s="43"/>
      <c r="L21" s="43"/>
      <c r="M21" s="43"/>
      <c r="N21" s="43"/>
      <c r="O21" s="43"/>
    </row>
    <row r="22" spans="2:15" ht="15" customHeight="1" x14ac:dyDescent="0.3">
      <c r="B22" s="19" t="s">
        <v>97</v>
      </c>
      <c r="C22" s="557" t="s">
        <v>414</v>
      </c>
      <c r="D22" s="557"/>
      <c r="E22" s="558"/>
      <c r="F22" s="552" t="s">
        <v>436</v>
      </c>
      <c r="G22" s="553"/>
      <c r="H22" s="554"/>
      <c r="I22" s="43" t="s">
        <v>407</v>
      </c>
      <c r="J22" s="43"/>
      <c r="K22" s="43"/>
      <c r="L22" s="43"/>
      <c r="M22" s="43"/>
      <c r="N22" s="43"/>
      <c r="O22" s="43"/>
    </row>
    <row r="23" spans="2:15" ht="15" customHeight="1" x14ac:dyDescent="0.3">
      <c r="B23" s="19" t="s">
        <v>98</v>
      </c>
      <c r="C23" s="557" t="s">
        <v>415</v>
      </c>
      <c r="D23" s="557"/>
      <c r="E23" s="558"/>
      <c r="F23" s="552" t="s">
        <v>437</v>
      </c>
      <c r="G23" s="553"/>
      <c r="H23" s="554"/>
      <c r="I23" s="43" t="s">
        <v>51</v>
      </c>
      <c r="J23" s="43"/>
      <c r="K23" s="43"/>
      <c r="L23" s="43"/>
      <c r="M23" s="43"/>
      <c r="N23" s="43"/>
      <c r="O23" s="43"/>
    </row>
    <row r="24" spans="2:15" ht="15" customHeight="1" x14ac:dyDescent="0.3">
      <c r="B24" s="19" t="s">
        <v>99</v>
      </c>
      <c r="C24" s="557" t="s">
        <v>416</v>
      </c>
      <c r="D24" s="557"/>
      <c r="E24" s="558"/>
      <c r="F24" s="552" t="s">
        <v>438</v>
      </c>
      <c r="G24" s="553"/>
      <c r="H24" s="554"/>
      <c r="I24" s="43"/>
      <c r="J24" s="43"/>
      <c r="K24" s="43"/>
      <c r="L24" s="43"/>
      <c r="M24" s="43"/>
      <c r="N24" s="43"/>
      <c r="O24" s="43"/>
    </row>
    <row r="25" spans="2:15" ht="15" customHeight="1" x14ac:dyDescent="0.3">
      <c r="B25" s="20" t="s">
        <v>100</v>
      </c>
      <c r="C25" s="555" t="s">
        <v>100</v>
      </c>
      <c r="D25" s="555"/>
      <c r="E25" s="556"/>
      <c r="F25" s="555" t="s">
        <v>100</v>
      </c>
      <c r="G25" s="555"/>
      <c r="H25" s="556"/>
      <c r="I25" s="43"/>
      <c r="J25" s="43"/>
      <c r="K25" s="43"/>
      <c r="L25" s="43"/>
      <c r="M25" s="43"/>
      <c r="N25" s="43"/>
      <c r="O25" s="43"/>
    </row>
    <row r="26" spans="2:15" ht="15" customHeight="1" x14ac:dyDescent="0.3">
      <c r="B26" s="19" t="s">
        <v>101</v>
      </c>
      <c r="C26" s="557" t="s">
        <v>417</v>
      </c>
      <c r="D26" s="557"/>
      <c r="E26" s="558"/>
      <c r="F26" s="557" t="s">
        <v>439</v>
      </c>
      <c r="G26" s="557"/>
      <c r="H26" s="558"/>
      <c r="I26" s="43"/>
      <c r="J26" s="43"/>
      <c r="K26" s="43"/>
      <c r="L26" s="43"/>
      <c r="M26" s="43"/>
      <c r="N26" s="43"/>
      <c r="O26" s="43"/>
    </row>
    <row r="27" spans="2:15" ht="15" customHeight="1" x14ac:dyDescent="0.3">
      <c r="B27" s="19" t="s">
        <v>102</v>
      </c>
      <c r="C27" s="557" t="s">
        <v>418</v>
      </c>
      <c r="D27" s="557"/>
      <c r="E27" s="558"/>
      <c r="F27" s="557" t="s">
        <v>440</v>
      </c>
      <c r="G27" s="557"/>
      <c r="H27" s="558"/>
      <c r="I27" s="43"/>
      <c r="J27" s="43"/>
      <c r="K27" s="43"/>
      <c r="L27" s="43"/>
      <c r="M27" s="43"/>
      <c r="N27" s="43"/>
      <c r="O27" s="43"/>
    </row>
    <row r="28" spans="2:15" ht="15" customHeight="1" x14ac:dyDescent="0.3">
      <c r="B28" s="20" t="s">
        <v>103</v>
      </c>
      <c r="C28" s="555" t="s">
        <v>419</v>
      </c>
      <c r="D28" s="555"/>
      <c r="E28" s="556"/>
      <c r="F28" s="555" t="s">
        <v>430</v>
      </c>
      <c r="G28" s="555"/>
      <c r="H28" s="556"/>
      <c r="I28" s="43"/>
      <c r="J28" s="43"/>
      <c r="K28" s="43"/>
      <c r="L28" s="43"/>
      <c r="M28" s="43"/>
      <c r="N28" s="43"/>
      <c r="O28" s="43"/>
    </row>
    <row r="29" spans="2:15" ht="15" customHeight="1" x14ac:dyDescent="0.3">
      <c r="B29" s="19" t="s">
        <v>104</v>
      </c>
      <c r="C29" s="557" t="s">
        <v>420</v>
      </c>
      <c r="D29" s="557"/>
      <c r="E29" s="558"/>
      <c r="F29" s="552" t="s">
        <v>431</v>
      </c>
      <c r="G29" s="553"/>
      <c r="H29" s="554"/>
      <c r="I29" s="43"/>
      <c r="J29" s="43" t="str">
        <f>'Kalender Akademik (1)'!L137</f>
        <v>Yogyakarta, 8 Juli 2024</v>
      </c>
      <c r="K29" s="43"/>
      <c r="L29" s="43"/>
      <c r="M29" s="43"/>
      <c r="N29" s="43"/>
      <c r="O29" s="43"/>
    </row>
    <row r="30" spans="2:15" ht="15" customHeight="1" x14ac:dyDescent="0.3">
      <c r="B30" s="19" t="s">
        <v>105</v>
      </c>
      <c r="C30" s="557" t="s">
        <v>421</v>
      </c>
      <c r="D30" s="557"/>
      <c r="E30" s="558"/>
      <c r="F30" s="552" t="s">
        <v>432</v>
      </c>
      <c r="G30" s="553"/>
      <c r="H30" s="554"/>
      <c r="I30" s="43"/>
      <c r="J30" s="43" t="str">
        <f>'Kalender Akademik (1)'!L138</f>
        <v>Kepala SMK N 3 Yogyakarta</v>
      </c>
      <c r="K30" s="43"/>
      <c r="L30" s="43"/>
      <c r="M30" s="43"/>
      <c r="N30" s="43"/>
      <c r="O30" s="43"/>
    </row>
    <row r="31" spans="2:15" ht="15" customHeight="1" x14ac:dyDescent="0.3">
      <c r="B31" s="19" t="s">
        <v>106</v>
      </c>
      <c r="C31" s="557" t="s">
        <v>422</v>
      </c>
      <c r="D31" s="557"/>
      <c r="E31" s="558"/>
      <c r="F31" s="557" t="s">
        <v>433</v>
      </c>
      <c r="G31" s="557"/>
      <c r="H31" s="558"/>
      <c r="I31" s="43"/>
      <c r="J31" s="43"/>
      <c r="K31" s="43"/>
      <c r="L31" s="43"/>
      <c r="M31" s="43"/>
      <c r="N31" s="43"/>
      <c r="O31" s="43"/>
    </row>
    <row r="32" spans="2:15" ht="15" customHeight="1" thickBot="1" x14ac:dyDescent="0.35">
      <c r="B32" s="21" t="s">
        <v>107</v>
      </c>
      <c r="C32" s="581" t="s">
        <v>423</v>
      </c>
      <c r="D32" s="581"/>
      <c r="E32" s="582"/>
      <c r="F32" s="581" t="s">
        <v>434</v>
      </c>
      <c r="G32" s="581"/>
      <c r="H32" s="602"/>
      <c r="I32" s="43"/>
      <c r="J32" s="43"/>
      <c r="K32" s="43"/>
      <c r="L32" s="43"/>
      <c r="M32" s="43"/>
      <c r="N32" s="43"/>
      <c r="O32" s="43"/>
    </row>
    <row r="33" spans="2:14" ht="15" customHeight="1" x14ac:dyDescent="0.3">
      <c r="B33" s="289" t="s">
        <v>100</v>
      </c>
      <c r="C33" s="603" t="s">
        <v>100</v>
      </c>
      <c r="D33" s="603"/>
      <c r="E33" s="604"/>
      <c r="F33" s="289" t="s">
        <v>100</v>
      </c>
      <c r="G33" s="288"/>
      <c r="H33" s="19"/>
      <c r="I33" s="43"/>
      <c r="J33" s="43"/>
      <c r="K33" s="43"/>
      <c r="L33" s="43"/>
      <c r="M33" s="43"/>
      <c r="N33" s="43"/>
    </row>
    <row r="34" spans="2:14" ht="16" thickBot="1" x14ac:dyDescent="0.35">
      <c r="B34" s="21" t="s">
        <v>408</v>
      </c>
      <c r="C34" s="581" t="s">
        <v>424</v>
      </c>
      <c r="D34" s="581"/>
      <c r="E34" s="582"/>
      <c r="F34" s="581" t="s">
        <v>441</v>
      </c>
      <c r="G34" s="581"/>
      <c r="H34" s="582"/>
      <c r="J34" s="510" t="str">
        <f>'Kalender Akademik (1)'!L142</f>
        <v>WIDADA, S.Pd., M.Pd.</v>
      </c>
    </row>
    <row r="35" spans="2:14" ht="16" thickBot="1" x14ac:dyDescent="0.35">
      <c r="B35" s="21" t="s">
        <v>409</v>
      </c>
      <c r="C35" s="581" t="s">
        <v>425</v>
      </c>
      <c r="D35" s="581"/>
      <c r="E35" s="582"/>
      <c r="F35" s="581" t="s">
        <v>442</v>
      </c>
      <c r="G35" s="581"/>
      <c r="H35" s="582"/>
      <c r="J35" s="43" t="str">
        <f>'Kalender Akademik (1)'!L143</f>
        <v>NIP. 196902122000121002</v>
      </c>
    </row>
  </sheetData>
  <dataConsolidate/>
  <mergeCells count="104">
    <mergeCell ref="C35:E35"/>
    <mergeCell ref="B16:H16"/>
    <mergeCell ref="F21:H21"/>
    <mergeCell ref="F20:H20"/>
    <mergeCell ref="C20:E20"/>
    <mergeCell ref="C19:E19"/>
    <mergeCell ref="F19:H19"/>
    <mergeCell ref="F17:H18"/>
    <mergeCell ref="C30:E30"/>
    <mergeCell ref="C31:E31"/>
    <mergeCell ref="C32:E32"/>
    <mergeCell ref="C17:E17"/>
    <mergeCell ref="C18:E18"/>
    <mergeCell ref="F32:H32"/>
    <mergeCell ref="F34:H34"/>
    <mergeCell ref="F35:H35"/>
    <mergeCell ref="C33:E33"/>
    <mergeCell ref="F27:H27"/>
    <mergeCell ref="F28:H28"/>
    <mergeCell ref="F29:H29"/>
    <mergeCell ref="F30:H30"/>
    <mergeCell ref="F31:H31"/>
    <mergeCell ref="C24:E24"/>
    <mergeCell ref="F22:H22"/>
    <mergeCell ref="M7:N7"/>
    <mergeCell ref="M9:N9"/>
    <mergeCell ref="M10:N10"/>
    <mergeCell ref="M11:N11"/>
    <mergeCell ref="I6:J6"/>
    <mergeCell ref="I7:J7"/>
    <mergeCell ref="K7:L7"/>
    <mergeCell ref="K6:M6"/>
    <mergeCell ref="C34:E34"/>
    <mergeCell ref="C25:E25"/>
    <mergeCell ref="C26:E26"/>
    <mergeCell ref="C27:E27"/>
    <mergeCell ref="C28:E28"/>
    <mergeCell ref="C29:E29"/>
    <mergeCell ref="C21:E21"/>
    <mergeCell ref="C22:E22"/>
    <mergeCell ref="C23:E23"/>
    <mergeCell ref="K11:L11"/>
    <mergeCell ref="K12:L12"/>
    <mergeCell ref="K13:L13"/>
    <mergeCell ref="G11:H11"/>
    <mergeCell ref="M14:N14"/>
    <mergeCell ref="M15:N15"/>
    <mergeCell ref="G15:H15"/>
    <mergeCell ref="E7:F7"/>
    <mergeCell ref="C15:D15"/>
    <mergeCell ref="E15:F15"/>
    <mergeCell ref="C9:D9"/>
    <mergeCell ref="A6:A7"/>
    <mergeCell ref="A8:A9"/>
    <mergeCell ref="A10:A11"/>
    <mergeCell ref="A12:A13"/>
    <mergeCell ref="E11:F11"/>
    <mergeCell ref="E10:L10"/>
    <mergeCell ref="C14:H14"/>
    <mergeCell ref="E12:F12"/>
    <mergeCell ref="E13:F13"/>
    <mergeCell ref="A14:A15"/>
    <mergeCell ref="C13:D13"/>
    <mergeCell ref="E6:F6"/>
    <mergeCell ref="F23:H23"/>
    <mergeCell ref="F24:H24"/>
    <mergeCell ref="F25:H25"/>
    <mergeCell ref="F26:H26"/>
    <mergeCell ref="I12:J12"/>
    <mergeCell ref="I13:J13"/>
    <mergeCell ref="G6:H6"/>
    <mergeCell ref="G7:H7"/>
    <mergeCell ref="G12:H12"/>
    <mergeCell ref="G13:H13"/>
    <mergeCell ref="I14:J14"/>
    <mergeCell ref="I11:J11"/>
    <mergeCell ref="C8:G8"/>
    <mergeCell ref="H8:M8"/>
    <mergeCell ref="K14:L14"/>
    <mergeCell ref="K15:L15"/>
    <mergeCell ref="M12:N12"/>
    <mergeCell ref="M13:N13"/>
    <mergeCell ref="C10:D10"/>
    <mergeCell ref="C11:D11"/>
    <mergeCell ref="C6:D6"/>
    <mergeCell ref="C7:D7"/>
    <mergeCell ref="C12:D12"/>
    <mergeCell ref="I15:J15"/>
    <mergeCell ref="A1:Q1"/>
    <mergeCell ref="A2:Q2"/>
    <mergeCell ref="M4:M5"/>
    <mergeCell ref="N4:N5"/>
    <mergeCell ref="F4:F5"/>
    <mergeCell ref="G4:G5"/>
    <mergeCell ref="A4:A5"/>
    <mergeCell ref="B4:B5"/>
    <mergeCell ref="C4:C5"/>
    <mergeCell ref="D4:D5"/>
    <mergeCell ref="E4:E5"/>
    <mergeCell ref="K4:K5"/>
    <mergeCell ref="L4:L5"/>
    <mergeCell ref="H4:H5"/>
    <mergeCell ref="I4:I5"/>
    <mergeCell ref="J4:J5"/>
  </mergeCells>
  <pageMargins left="1.4960629921259843" right="0.31496062992125984" top="0.35433070866141736" bottom="0.19685039370078741" header="0.47244094488188981" footer="0.31496062992125984"/>
  <pageSetup paperSize="2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19"/>
  <sheetViews>
    <sheetView view="pageBreakPreview" zoomScaleNormal="100" zoomScaleSheetLayoutView="100" workbookViewId="0">
      <selection activeCell="C63" sqref="C63"/>
    </sheetView>
  </sheetViews>
  <sheetFormatPr defaultColWidth="9.1796875" defaultRowHeight="14" x14ac:dyDescent="0.35"/>
  <cols>
    <col min="1" max="1" width="5.1796875" style="44" customWidth="1"/>
    <col min="2" max="2" width="16.7265625" style="44" customWidth="1"/>
    <col min="3" max="3" width="16" style="44" customWidth="1"/>
    <col min="4" max="4" width="2.1796875" style="44" customWidth="1"/>
    <col min="5" max="5" width="12.54296875" style="44" customWidth="1"/>
    <col min="6" max="6" width="12.81640625" style="44" customWidth="1"/>
    <col min="7" max="7" width="11" style="44" customWidth="1"/>
    <col min="8" max="8" width="14.453125" style="44" customWidth="1"/>
    <col min="9" max="9" width="9.1796875" style="44"/>
    <col min="10" max="10" width="5" style="171" customWidth="1"/>
    <col min="11" max="12" width="7.7265625" style="44" customWidth="1"/>
    <col min="13" max="13" width="8.7265625" style="44" customWidth="1"/>
    <col min="14" max="14" width="7.7265625" style="44" customWidth="1"/>
    <col min="15" max="15" width="5.54296875" style="44" customWidth="1"/>
    <col min="16" max="16" width="5.7265625" style="44" customWidth="1"/>
    <col min="17" max="17" width="5.1796875" style="44" customWidth="1"/>
    <col min="18" max="20" width="7.7265625" style="44" customWidth="1"/>
    <col min="21" max="16384" width="9.1796875" style="44"/>
  </cols>
  <sheetData>
    <row r="1" spans="1:16" ht="17.5" x14ac:dyDescent="0.35">
      <c r="A1" s="606" t="s">
        <v>446</v>
      </c>
      <c r="B1" s="606"/>
      <c r="C1" s="606"/>
      <c r="D1" s="606"/>
      <c r="E1" s="606"/>
      <c r="F1" s="606"/>
      <c r="G1" s="606"/>
      <c r="H1" s="24" t="s">
        <v>748</v>
      </c>
      <c r="I1" s="11"/>
      <c r="J1" s="11"/>
      <c r="K1" s="11"/>
    </row>
    <row r="2" spans="1:16" x14ac:dyDescent="0.35">
      <c r="H2" s="22">
        <v>45483</v>
      </c>
      <c r="I2" s="302"/>
      <c r="J2" s="302"/>
      <c r="K2" s="302"/>
    </row>
    <row r="3" spans="1:16" x14ac:dyDescent="0.35">
      <c r="A3" s="44" t="s">
        <v>661</v>
      </c>
      <c r="B3" s="52"/>
      <c r="C3" s="44" t="s">
        <v>776</v>
      </c>
    </row>
    <row r="4" spans="1:16" x14ac:dyDescent="0.35">
      <c r="A4" s="44" t="s">
        <v>663</v>
      </c>
      <c r="B4" s="52"/>
      <c r="C4" s="44" t="s">
        <v>772</v>
      </c>
      <c r="J4" s="44"/>
    </row>
    <row r="5" spans="1:16" x14ac:dyDescent="0.35">
      <c r="A5" s="44" t="s">
        <v>40</v>
      </c>
      <c r="C5" s="44" t="s">
        <v>1019</v>
      </c>
      <c r="J5" s="44"/>
    </row>
    <row r="6" spans="1:16" x14ac:dyDescent="0.3">
      <c r="A6" s="44" t="s">
        <v>662</v>
      </c>
      <c r="B6" s="52"/>
      <c r="C6" s="43" t="s">
        <v>773</v>
      </c>
      <c r="J6" s="44"/>
    </row>
    <row r="7" spans="1:16" x14ac:dyDescent="0.35">
      <c r="A7" s="44" t="s">
        <v>41</v>
      </c>
      <c r="B7" s="52"/>
      <c r="C7" s="44" t="s">
        <v>775</v>
      </c>
      <c r="J7" s="44"/>
    </row>
    <row r="8" spans="1:16" ht="16.5" customHeight="1" x14ac:dyDescent="0.35">
      <c r="A8" s="44" t="s">
        <v>111</v>
      </c>
      <c r="B8" s="52"/>
      <c r="C8" s="44" t="s">
        <v>777</v>
      </c>
      <c r="J8" s="44"/>
    </row>
    <row r="9" spans="1:16" x14ac:dyDescent="0.35">
      <c r="A9" s="44" t="s">
        <v>42</v>
      </c>
      <c r="B9" s="52"/>
      <c r="C9" s="44" t="s">
        <v>990</v>
      </c>
      <c r="J9" s="44"/>
    </row>
    <row r="10" spans="1:16" ht="16.5" customHeight="1" x14ac:dyDescent="0.35">
      <c r="B10" s="52"/>
      <c r="J10" s="265"/>
      <c r="K10" s="263"/>
      <c r="L10" s="263"/>
      <c r="M10" s="263"/>
      <c r="N10" s="263"/>
      <c r="O10" s="263"/>
      <c r="P10" s="263"/>
    </row>
    <row r="11" spans="1:16" ht="35.15" customHeight="1" thickBot="1" x14ac:dyDescent="0.4">
      <c r="A11" s="266" t="s">
        <v>112</v>
      </c>
      <c r="B11" s="266" t="s">
        <v>113</v>
      </c>
      <c r="C11" s="266" t="s">
        <v>160</v>
      </c>
      <c r="D11" s="607" t="s">
        <v>161</v>
      </c>
      <c r="E11" s="608"/>
      <c r="F11" s="266" t="s">
        <v>162</v>
      </c>
      <c r="G11" s="266" t="s">
        <v>163</v>
      </c>
      <c r="H11" s="267" t="s">
        <v>164</v>
      </c>
      <c r="J11" s="265"/>
      <c r="K11" s="263"/>
      <c r="L11" s="263"/>
      <c r="M11" s="263"/>
      <c r="N11" s="263"/>
      <c r="O11" s="263"/>
      <c r="P11" s="263"/>
    </row>
    <row r="12" spans="1:16" ht="18" customHeight="1" thickTop="1" x14ac:dyDescent="0.35">
      <c r="A12" s="192">
        <v>1</v>
      </c>
      <c r="B12" s="361" t="s">
        <v>146</v>
      </c>
      <c r="C12" s="192">
        <v>4</v>
      </c>
      <c r="D12" s="609">
        <v>3</v>
      </c>
      <c r="E12" s="610"/>
      <c r="F12" s="192">
        <v>2</v>
      </c>
      <c r="G12" s="192">
        <v>2</v>
      </c>
      <c r="H12" s="380">
        <f>G12*4</f>
        <v>8</v>
      </c>
    </row>
    <row r="13" spans="1:16" ht="18" customHeight="1" x14ac:dyDescent="0.35">
      <c r="A13" s="183">
        <v>2</v>
      </c>
      <c r="B13" s="362" t="s">
        <v>147</v>
      </c>
      <c r="C13" s="183">
        <v>5</v>
      </c>
      <c r="D13" s="611">
        <v>1</v>
      </c>
      <c r="E13" s="611"/>
      <c r="F13" s="192">
        <v>4</v>
      </c>
      <c r="G13" s="192">
        <v>4</v>
      </c>
      <c r="H13" s="380">
        <f t="shared" ref="H13:H17" si="0">G13*4</f>
        <v>16</v>
      </c>
    </row>
    <row r="14" spans="1:16" ht="18" customHeight="1" x14ac:dyDescent="0.35">
      <c r="A14" s="183">
        <v>3</v>
      </c>
      <c r="B14" s="362" t="s">
        <v>148</v>
      </c>
      <c r="C14" s="183">
        <v>4</v>
      </c>
      <c r="D14" s="611">
        <v>0</v>
      </c>
      <c r="E14" s="611"/>
      <c r="F14" s="192">
        <f t="shared" ref="F14:F17" si="1">C14-D14</f>
        <v>4</v>
      </c>
      <c r="G14" s="192">
        <v>4</v>
      </c>
      <c r="H14" s="380">
        <f t="shared" si="0"/>
        <v>16</v>
      </c>
    </row>
    <row r="15" spans="1:16" ht="18.75" customHeight="1" x14ac:dyDescent="0.35">
      <c r="A15" s="183">
        <v>4</v>
      </c>
      <c r="B15" s="362" t="s">
        <v>149</v>
      </c>
      <c r="C15" s="183">
        <v>5</v>
      </c>
      <c r="D15" s="611">
        <v>0</v>
      </c>
      <c r="E15" s="611"/>
      <c r="F15" s="192">
        <f t="shared" si="1"/>
        <v>5</v>
      </c>
      <c r="G15" s="192">
        <v>5</v>
      </c>
      <c r="H15" s="380">
        <f t="shared" si="0"/>
        <v>20</v>
      </c>
      <c r="K15" s="171"/>
    </row>
    <row r="16" spans="1:16" ht="18" customHeight="1" x14ac:dyDescent="0.35">
      <c r="A16" s="183">
        <v>5</v>
      </c>
      <c r="B16" s="362" t="s">
        <v>150</v>
      </c>
      <c r="C16" s="183">
        <v>4</v>
      </c>
      <c r="D16" s="611">
        <v>1</v>
      </c>
      <c r="E16" s="611"/>
      <c r="F16" s="192">
        <v>3</v>
      </c>
      <c r="G16" s="192">
        <v>3</v>
      </c>
      <c r="H16" s="380">
        <f t="shared" si="0"/>
        <v>12</v>
      </c>
    </row>
    <row r="17" spans="1:17" ht="18" customHeight="1" x14ac:dyDescent="0.35">
      <c r="A17" s="183">
        <v>6</v>
      </c>
      <c r="B17" s="362" t="s">
        <v>151</v>
      </c>
      <c r="C17" s="183">
        <v>4</v>
      </c>
      <c r="D17" s="611">
        <v>3</v>
      </c>
      <c r="E17" s="611"/>
      <c r="F17" s="192">
        <f t="shared" si="1"/>
        <v>1</v>
      </c>
      <c r="G17" s="192">
        <v>1</v>
      </c>
      <c r="H17" s="380">
        <f t="shared" si="0"/>
        <v>4</v>
      </c>
    </row>
    <row r="18" spans="1:17" x14ac:dyDescent="0.35">
      <c r="A18" s="612" t="s">
        <v>29</v>
      </c>
      <c r="B18" s="613"/>
      <c r="C18" s="268">
        <f>SUM(C12:C17)</f>
        <v>26</v>
      </c>
      <c r="D18" s="614">
        <f>SUM(D12:E17)</f>
        <v>8</v>
      </c>
      <c r="E18" s="615"/>
      <c r="F18" s="268">
        <f>SUM(F12:F17)</f>
        <v>19</v>
      </c>
      <c r="G18" s="268">
        <f>SUM(G12:G17)</f>
        <v>19</v>
      </c>
      <c r="H18" s="381">
        <f>SUM(H12:H17)</f>
        <v>76</v>
      </c>
    </row>
    <row r="19" spans="1:17" ht="16.5" customHeight="1" x14ac:dyDescent="0.35">
      <c r="A19" s="171"/>
      <c r="B19" s="171"/>
      <c r="C19" s="171"/>
      <c r="D19" s="171"/>
      <c r="E19" s="171"/>
      <c r="F19" s="171"/>
      <c r="G19" s="171"/>
    </row>
    <row r="20" spans="1:17" x14ac:dyDescent="0.35">
      <c r="A20" s="171"/>
      <c r="B20" s="205" t="s">
        <v>135</v>
      </c>
      <c r="C20" s="171"/>
      <c r="D20" s="171" t="s">
        <v>71</v>
      </c>
      <c r="E20" s="171">
        <v>4</v>
      </c>
      <c r="F20" s="205" t="s">
        <v>68</v>
      </c>
      <c r="G20" s="171"/>
    </row>
    <row r="21" spans="1:17" ht="16.5" customHeight="1" x14ac:dyDescent="0.35">
      <c r="A21" s="171"/>
      <c r="B21" s="205" t="s">
        <v>136</v>
      </c>
      <c r="C21" s="171"/>
      <c r="D21" s="171" t="s">
        <v>71</v>
      </c>
      <c r="E21" s="269">
        <f>H18</f>
        <v>76</v>
      </c>
      <c r="F21" s="205" t="s">
        <v>68</v>
      </c>
      <c r="G21" s="171"/>
    </row>
    <row r="22" spans="1:17" x14ac:dyDescent="0.35">
      <c r="B22" s="52" t="s">
        <v>114</v>
      </c>
      <c r="E22" s="171"/>
    </row>
    <row r="23" spans="1:17" x14ac:dyDescent="0.35">
      <c r="B23" s="44" t="s">
        <v>152</v>
      </c>
      <c r="D23" s="171" t="s">
        <v>71</v>
      </c>
      <c r="E23" s="206">
        <f>E21-E24-E25</f>
        <v>68</v>
      </c>
      <c r="F23" s="44" t="s">
        <v>68</v>
      </c>
    </row>
    <row r="24" spans="1:17" x14ac:dyDescent="0.35">
      <c r="B24" s="44" t="s">
        <v>345</v>
      </c>
      <c r="D24" s="171" t="s">
        <v>71</v>
      </c>
      <c r="E24" s="171">
        <v>4</v>
      </c>
      <c r="F24" s="44" t="s">
        <v>68</v>
      </c>
      <c r="P24" s="205"/>
    </row>
    <row r="25" spans="1:17" x14ac:dyDescent="0.35">
      <c r="B25" s="172" t="s">
        <v>153</v>
      </c>
      <c r="D25" s="171" t="s">
        <v>71</v>
      </c>
      <c r="E25" s="171">
        <v>4</v>
      </c>
      <c r="F25" s="44" t="s">
        <v>68</v>
      </c>
      <c r="Q25" s="270">
        <f>SUM(Q17:Q24)</f>
        <v>0</v>
      </c>
    </row>
    <row r="26" spans="1:17" x14ac:dyDescent="0.35">
      <c r="E26" s="171"/>
    </row>
    <row r="27" spans="1:17" x14ac:dyDescent="0.35">
      <c r="C27" s="206" t="s">
        <v>137</v>
      </c>
      <c r="D27" s="171" t="s">
        <v>71</v>
      </c>
      <c r="E27" s="271">
        <f>SUM(E23:E26)</f>
        <v>76</v>
      </c>
      <c r="F27" s="246" t="s">
        <v>68</v>
      </c>
    </row>
    <row r="28" spans="1:17" ht="16.5" customHeight="1" x14ac:dyDescent="0.35">
      <c r="B28" s="172"/>
      <c r="D28" s="171"/>
      <c r="E28" s="171"/>
    </row>
    <row r="29" spans="1:17" x14ac:dyDescent="0.35">
      <c r="B29" s="172"/>
      <c r="E29" s="171"/>
    </row>
    <row r="31" spans="1:17" x14ac:dyDescent="0.35">
      <c r="C31" s="206"/>
      <c r="D31" s="171"/>
      <c r="E31" s="272"/>
      <c r="F31" s="246"/>
    </row>
    <row r="32" spans="1:17" x14ac:dyDescent="0.35">
      <c r="F32" s="44" t="s">
        <v>1002</v>
      </c>
    </row>
    <row r="34" spans="2:23" x14ac:dyDescent="0.35">
      <c r="B34" s="44" t="s">
        <v>925</v>
      </c>
      <c r="F34" s="44" t="s">
        <v>778</v>
      </c>
    </row>
    <row r="35" spans="2:23" x14ac:dyDescent="0.35">
      <c r="N35" s="52"/>
    </row>
    <row r="38" spans="2:23" ht="21.75" customHeight="1" x14ac:dyDescent="0.3">
      <c r="B38" s="49" t="s">
        <v>1016</v>
      </c>
      <c r="C38" s="49"/>
      <c r="D38" s="49"/>
      <c r="E38" s="49"/>
      <c r="F38" s="49" t="str">
        <f>'COVER '!H34</f>
        <v>Jumari, S.Pd.T., M.Eng</v>
      </c>
    </row>
    <row r="39" spans="2:23" x14ac:dyDescent="0.3">
      <c r="B39" s="44" t="s">
        <v>1017</v>
      </c>
      <c r="F39" s="616" t="s">
        <v>1015</v>
      </c>
      <c r="G39" s="616"/>
      <c r="K39" s="43"/>
      <c r="L39" s="43"/>
      <c r="M39" s="43"/>
      <c r="N39" s="43"/>
      <c r="O39" s="43"/>
      <c r="P39" s="43"/>
      <c r="Q39" s="43"/>
    </row>
    <row r="40" spans="2:23" x14ac:dyDescent="0.3">
      <c r="F40" s="52"/>
      <c r="K40" s="43"/>
      <c r="L40" s="43"/>
      <c r="M40" s="43"/>
      <c r="N40" s="43"/>
      <c r="O40" s="43"/>
      <c r="P40" s="43"/>
      <c r="Q40" s="43"/>
      <c r="R40" s="43"/>
    </row>
    <row r="41" spans="2:23" x14ac:dyDescent="0.35">
      <c r="C41" s="44" t="s">
        <v>34</v>
      </c>
      <c r="F41" s="52"/>
    </row>
    <row r="42" spans="2:23" x14ac:dyDescent="0.35">
      <c r="B42" s="44" t="s">
        <v>144</v>
      </c>
      <c r="F42" s="44" t="s">
        <v>687</v>
      </c>
      <c r="L42" s="273"/>
    </row>
    <row r="45" spans="2:23" x14ac:dyDescent="0.3">
      <c r="R45" s="43"/>
      <c r="S45" s="43"/>
      <c r="T45" s="43"/>
      <c r="U45" s="43"/>
      <c r="V45" s="43"/>
      <c r="W45" s="43"/>
    </row>
    <row r="46" spans="2:23" x14ac:dyDescent="0.3">
      <c r="B46" s="44" t="s">
        <v>1049</v>
      </c>
      <c r="F46" s="49" t="s">
        <v>1048</v>
      </c>
      <c r="R46" s="43"/>
      <c r="S46" s="43"/>
      <c r="T46" s="43"/>
      <c r="U46" s="43"/>
      <c r="V46" s="43"/>
      <c r="W46" s="49"/>
    </row>
    <row r="47" spans="2:23" x14ac:dyDescent="0.3">
      <c r="B47" s="44" t="s">
        <v>989</v>
      </c>
      <c r="F47" s="49" t="s">
        <v>779</v>
      </c>
    </row>
    <row r="48" spans="2:23" ht="10.5" customHeight="1" x14ac:dyDescent="0.35"/>
    <row r="49" ht="10.5" customHeight="1" x14ac:dyDescent="0.35"/>
    <row r="50" ht="10.5" customHeight="1" x14ac:dyDescent="0.35"/>
    <row r="51" ht="10.5" customHeight="1" x14ac:dyDescent="0.35"/>
    <row r="52" ht="10.5" customHeight="1" x14ac:dyDescent="0.35"/>
    <row r="53" ht="10.5" customHeight="1" x14ac:dyDescent="0.35"/>
    <row r="54" ht="10.5" customHeight="1" x14ac:dyDescent="0.35"/>
    <row r="55" ht="10.5" customHeight="1" x14ac:dyDescent="0.35"/>
    <row r="56" ht="10.5" customHeight="1" x14ac:dyDescent="0.35"/>
    <row r="57" ht="10.5" customHeight="1" x14ac:dyDescent="0.35"/>
    <row r="58" ht="10.5" customHeight="1" x14ac:dyDescent="0.35"/>
    <row r="59" ht="10.5" customHeight="1" x14ac:dyDescent="0.35"/>
    <row r="60" ht="10.5" customHeight="1" x14ac:dyDescent="0.35"/>
    <row r="61" ht="10.5" customHeight="1" x14ac:dyDescent="0.35"/>
    <row r="62" ht="10.5" customHeight="1" x14ac:dyDescent="0.35"/>
    <row r="63" ht="10.5" customHeight="1" x14ac:dyDescent="0.35"/>
    <row r="64" ht="10.5" customHeight="1" x14ac:dyDescent="0.35"/>
    <row r="65" spans="1:19" ht="10.5" customHeight="1" x14ac:dyDescent="0.35"/>
    <row r="66" spans="1:19" ht="10.5" customHeight="1" x14ac:dyDescent="0.35"/>
    <row r="67" spans="1:19" ht="10.5" customHeight="1" x14ac:dyDescent="0.35"/>
    <row r="68" spans="1:19" ht="10.5" customHeight="1" x14ac:dyDescent="0.35"/>
    <row r="69" spans="1:19" ht="10.5" customHeight="1" x14ac:dyDescent="0.35"/>
    <row r="70" spans="1:19" ht="10.5" customHeight="1" x14ac:dyDescent="0.35"/>
    <row r="71" spans="1:19" ht="10.5" customHeight="1" x14ac:dyDescent="0.35"/>
    <row r="72" spans="1:19" ht="17.5" x14ac:dyDescent="0.35">
      <c r="A72" s="606" t="s">
        <v>446</v>
      </c>
      <c r="B72" s="606"/>
      <c r="C72" s="606"/>
      <c r="D72" s="606"/>
      <c r="E72" s="606"/>
      <c r="F72" s="606"/>
      <c r="G72" s="606"/>
      <c r="H72" s="24" t="s">
        <v>454</v>
      </c>
      <c r="K72" s="171"/>
      <c r="L72" s="171"/>
      <c r="M72" s="171"/>
      <c r="N72" s="171"/>
      <c r="O72" s="171"/>
      <c r="P72" s="171"/>
    </row>
    <row r="73" spans="1:19" x14ac:dyDescent="0.35">
      <c r="H73" s="22">
        <v>45117</v>
      </c>
      <c r="K73" s="171"/>
      <c r="L73" s="171"/>
      <c r="M73" s="171"/>
      <c r="N73" s="171"/>
      <c r="O73" s="171"/>
      <c r="P73" s="171"/>
    </row>
    <row r="74" spans="1:19" ht="16.5" customHeight="1" x14ac:dyDescent="0.3">
      <c r="A74" s="44" t="s">
        <v>40</v>
      </c>
      <c r="C74" s="44" t="s">
        <v>35</v>
      </c>
      <c r="K74" s="171"/>
      <c r="L74" s="171"/>
      <c r="M74" s="171"/>
      <c r="N74" s="171"/>
      <c r="O74" s="171"/>
      <c r="P74" s="171"/>
      <c r="R74" s="43"/>
      <c r="S74" s="43"/>
    </row>
    <row r="75" spans="1:19" ht="16.5" customHeight="1" x14ac:dyDescent="0.3">
      <c r="A75" s="44" t="s">
        <v>41</v>
      </c>
      <c r="B75" s="52"/>
      <c r="C75" s="44" t="s">
        <v>35</v>
      </c>
      <c r="K75" s="171"/>
      <c r="L75" s="171"/>
      <c r="M75" s="171"/>
      <c r="N75" s="171"/>
      <c r="O75" s="171"/>
      <c r="P75" s="171"/>
      <c r="R75" s="43"/>
      <c r="S75" s="43"/>
    </row>
    <row r="76" spans="1:19" ht="16.5" customHeight="1" x14ac:dyDescent="0.3">
      <c r="A76" s="44" t="s">
        <v>663</v>
      </c>
      <c r="B76" s="52"/>
      <c r="C76" s="44" t="s">
        <v>35</v>
      </c>
      <c r="K76" s="171"/>
      <c r="L76" s="171"/>
      <c r="M76" s="171"/>
      <c r="N76" s="171"/>
      <c r="O76" s="171"/>
      <c r="P76" s="171"/>
      <c r="R76" s="43"/>
      <c r="S76" s="43"/>
    </row>
    <row r="77" spans="1:19" ht="16.5" customHeight="1" x14ac:dyDescent="0.3">
      <c r="A77" s="44" t="s">
        <v>661</v>
      </c>
      <c r="B77" s="52"/>
      <c r="C77" s="44" t="s">
        <v>35</v>
      </c>
      <c r="K77" s="171"/>
      <c r="L77" s="171"/>
      <c r="M77" s="171"/>
      <c r="N77" s="171"/>
      <c r="O77" s="171"/>
      <c r="P77" s="171"/>
      <c r="R77" s="43"/>
      <c r="S77" s="43"/>
    </row>
    <row r="78" spans="1:19" x14ac:dyDescent="0.3">
      <c r="A78" s="44" t="s">
        <v>662</v>
      </c>
      <c r="B78" s="52"/>
      <c r="C78" s="43" t="s">
        <v>382</v>
      </c>
    </row>
    <row r="79" spans="1:19" ht="16.5" customHeight="1" x14ac:dyDescent="0.3">
      <c r="A79" s="44" t="s">
        <v>111</v>
      </c>
      <c r="B79" s="52"/>
      <c r="C79" s="44" t="s">
        <v>382</v>
      </c>
      <c r="F79" s="44" t="s">
        <v>37</v>
      </c>
      <c r="R79" s="43"/>
      <c r="S79" s="43"/>
    </row>
    <row r="80" spans="1:19" ht="16.5" customHeight="1" x14ac:dyDescent="0.3">
      <c r="A80" s="44" t="s">
        <v>42</v>
      </c>
      <c r="B80" s="52"/>
      <c r="C80" s="44" t="s">
        <v>382</v>
      </c>
      <c r="K80" s="605"/>
      <c r="L80" s="605"/>
      <c r="M80" s="605"/>
      <c r="N80" s="605"/>
      <c r="O80" s="605"/>
      <c r="P80" s="605"/>
      <c r="R80" s="43"/>
      <c r="S80" s="43"/>
    </row>
    <row r="81" spans="1:18" x14ac:dyDescent="0.35">
      <c r="B81" s="356" t="s">
        <v>652</v>
      </c>
      <c r="C81" s="356" t="s">
        <v>653</v>
      </c>
      <c r="K81" s="273"/>
      <c r="Q81" s="273"/>
    </row>
    <row r="82" spans="1:18" x14ac:dyDescent="0.35">
      <c r="K82" s="273"/>
      <c r="Q82" s="273"/>
    </row>
    <row r="83" spans="1:18" ht="33.75" customHeight="1" thickBot="1" x14ac:dyDescent="0.4">
      <c r="A83" s="266" t="s">
        <v>112</v>
      </c>
      <c r="B83" s="266" t="s">
        <v>113</v>
      </c>
      <c r="C83" s="266" t="s">
        <v>160</v>
      </c>
      <c r="D83" s="607" t="s">
        <v>161</v>
      </c>
      <c r="E83" s="608"/>
      <c r="F83" s="266" t="s">
        <v>162</v>
      </c>
      <c r="G83" s="266" t="s">
        <v>163</v>
      </c>
      <c r="H83" s="267" t="s">
        <v>164</v>
      </c>
      <c r="K83" s="171"/>
      <c r="L83" s="171"/>
      <c r="M83" s="171"/>
      <c r="N83" s="171"/>
      <c r="O83" s="171"/>
      <c r="P83" s="171"/>
    </row>
    <row r="84" spans="1:18" ht="14.5" thickTop="1" x14ac:dyDescent="0.35">
      <c r="A84" s="192">
        <v>1</v>
      </c>
      <c r="B84" s="361" t="s">
        <v>154</v>
      </c>
      <c r="C84" s="192">
        <v>5</v>
      </c>
      <c r="D84" s="617">
        <v>0</v>
      </c>
      <c r="E84" s="618"/>
      <c r="F84" s="192">
        <f>C84-D84</f>
        <v>5</v>
      </c>
      <c r="G84" s="353"/>
      <c r="H84" s="353">
        <f>G84*2</f>
        <v>0</v>
      </c>
      <c r="J84" s="44"/>
      <c r="K84" s="171"/>
      <c r="L84" s="171"/>
      <c r="M84" s="171"/>
      <c r="N84" s="171"/>
      <c r="O84" s="171"/>
      <c r="P84" s="171"/>
      <c r="Q84" s="171"/>
      <c r="R84" s="171"/>
    </row>
    <row r="85" spans="1:18" x14ac:dyDescent="0.35">
      <c r="A85" s="183">
        <v>2</v>
      </c>
      <c r="B85" s="362" t="s">
        <v>155</v>
      </c>
      <c r="C85" s="183">
        <v>4</v>
      </c>
      <c r="D85" s="619">
        <v>0</v>
      </c>
      <c r="E85" s="620"/>
      <c r="F85" s="192">
        <f>C85-D85</f>
        <v>4</v>
      </c>
      <c r="G85" s="354"/>
      <c r="H85" s="353">
        <f>G85*2</f>
        <v>0</v>
      </c>
      <c r="J85" s="44"/>
      <c r="K85" s="171"/>
      <c r="L85" s="171"/>
      <c r="M85" s="171"/>
      <c r="N85" s="171"/>
      <c r="O85" s="171"/>
      <c r="P85" s="171"/>
      <c r="Q85" s="171"/>
      <c r="R85" s="171"/>
    </row>
    <row r="86" spans="1:18" x14ac:dyDescent="0.35">
      <c r="A86" s="183">
        <v>3</v>
      </c>
      <c r="B86" s="362" t="s">
        <v>156</v>
      </c>
      <c r="C86" s="183">
        <v>4</v>
      </c>
      <c r="D86" s="619">
        <v>1</v>
      </c>
      <c r="E86" s="620"/>
      <c r="F86" s="192">
        <f t="shared" ref="F86:F88" si="2">C86-D86</f>
        <v>3</v>
      </c>
      <c r="G86" s="354"/>
      <c r="H86" s="353">
        <f t="shared" ref="H86:H89" si="3">G86*2</f>
        <v>0</v>
      </c>
      <c r="I86" s="171"/>
      <c r="K86" s="171"/>
      <c r="L86" s="171"/>
      <c r="M86" s="171"/>
      <c r="N86" s="171"/>
      <c r="O86" s="171"/>
      <c r="P86" s="171"/>
      <c r="Q86" s="171"/>
      <c r="R86" s="171"/>
    </row>
    <row r="87" spans="1:18" x14ac:dyDescent="0.35">
      <c r="A87" s="183">
        <v>4</v>
      </c>
      <c r="B87" s="362" t="s">
        <v>157</v>
      </c>
      <c r="C87" s="183">
        <v>4</v>
      </c>
      <c r="D87" s="619">
        <v>2</v>
      </c>
      <c r="E87" s="620"/>
      <c r="F87" s="192">
        <f t="shared" si="2"/>
        <v>2</v>
      </c>
      <c r="G87" s="354"/>
      <c r="H87" s="353">
        <f t="shared" si="3"/>
        <v>0</v>
      </c>
      <c r="K87" s="273"/>
      <c r="Q87" s="273"/>
    </row>
    <row r="88" spans="1:18" x14ac:dyDescent="0.35">
      <c r="A88" s="183">
        <v>5</v>
      </c>
      <c r="B88" s="362" t="s">
        <v>158</v>
      </c>
      <c r="C88" s="183">
        <v>5</v>
      </c>
      <c r="D88" s="619">
        <v>0</v>
      </c>
      <c r="E88" s="620"/>
      <c r="F88" s="192">
        <f t="shared" si="2"/>
        <v>5</v>
      </c>
      <c r="G88" s="354"/>
      <c r="H88" s="353">
        <f t="shared" si="3"/>
        <v>0</v>
      </c>
    </row>
    <row r="89" spans="1:18" x14ac:dyDescent="0.35">
      <c r="A89" s="183">
        <v>6</v>
      </c>
      <c r="B89" s="362" t="s">
        <v>159</v>
      </c>
      <c r="C89" s="183">
        <v>4</v>
      </c>
      <c r="D89" s="619">
        <v>2</v>
      </c>
      <c r="E89" s="620"/>
      <c r="F89" s="192">
        <f>C89-D89</f>
        <v>2</v>
      </c>
      <c r="G89" s="354"/>
      <c r="H89" s="353">
        <f t="shared" si="3"/>
        <v>0</v>
      </c>
    </row>
    <row r="90" spans="1:18" x14ac:dyDescent="0.35">
      <c r="A90" s="612" t="s">
        <v>29</v>
      </c>
      <c r="B90" s="613"/>
      <c r="C90" s="268">
        <f>SUM(C84:C89)</f>
        <v>26</v>
      </c>
      <c r="D90" s="614">
        <f>SUM(D84:D89)</f>
        <v>5</v>
      </c>
      <c r="E90" s="615"/>
      <c r="F90" s="268">
        <f>SUM(F84:F89)</f>
        <v>21</v>
      </c>
      <c r="G90" s="354">
        <f>SUM(G84:G89)</f>
        <v>0</v>
      </c>
      <c r="H90" s="355">
        <v>38</v>
      </c>
    </row>
    <row r="91" spans="1:18" x14ac:dyDescent="0.35">
      <c r="A91" s="171"/>
      <c r="B91" s="171"/>
      <c r="C91" s="171"/>
      <c r="D91" s="171"/>
      <c r="E91" s="171"/>
      <c r="F91" s="171"/>
      <c r="G91" s="171"/>
    </row>
    <row r="92" spans="1:18" x14ac:dyDescent="0.35">
      <c r="A92" s="171"/>
      <c r="B92" s="205" t="s">
        <v>135</v>
      </c>
      <c r="C92" s="171"/>
      <c r="D92" s="171" t="s">
        <v>71</v>
      </c>
      <c r="E92" s="171"/>
      <c r="F92" s="205" t="s">
        <v>68</v>
      </c>
      <c r="G92" s="171"/>
      <c r="Q92" s="273"/>
    </row>
    <row r="93" spans="1:18" x14ac:dyDescent="0.35">
      <c r="A93" s="171"/>
      <c r="B93" s="205" t="s">
        <v>136</v>
      </c>
      <c r="C93" s="171"/>
      <c r="D93" s="171" t="s">
        <v>71</v>
      </c>
      <c r="E93" s="265"/>
      <c r="F93" s="205" t="s">
        <v>68</v>
      </c>
      <c r="G93" s="171"/>
    </row>
    <row r="94" spans="1:18" x14ac:dyDescent="0.35">
      <c r="B94" s="52" t="s">
        <v>114</v>
      </c>
      <c r="E94" s="171"/>
    </row>
    <row r="95" spans="1:18" x14ac:dyDescent="0.35">
      <c r="B95" s="44" t="s">
        <v>152</v>
      </c>
      <c r="D95" s="171" t="s">
        <v>71</v>
      </c>
      <c r="E95" s="171"/>
    </row>
    <row r="96" spans="1:18" x14ac:dyDescent="0.35">
      <c r="B96" s="172" t="s">
        <v>445</v>
      </c>
      <c r="C96" s="172"/>
      <c r="D96" s="171" t="s">
        <v>71</v>
      </c>
      <c r="E96" s="171"/>
    </row>
    <row r="97" spans="2:17" x14ac:dyDescent="0.35">
      <c r="B97" s="172" t="s">
        <v>153</v>
      </c>
      <c r="C97" s="172"/>
      <c r="D97" s="171" t="s">
        <v>71</v>
      </c>
      <c r="E97" s="171" t="s">
        <v>342</v>
      </c>
      <c r="F97" s="44" t="s">
        <v>68</v>
      </c>
      <c r="O97" s="52"/>
      <c r="Q97" s="273"/>
    </row>
    <row r="98" spans="2:17" x14ac:dyDescent="0.35">
      <c r="B98" s="172"/>
      <c r="C98" s="172"/>
      <c r="D98" s="171"/>
      <c r="E98" s="171"/>
      <c r="O98" s="52"/>
      <c r="Q98" s="273"/>
    </row>
    <row r="99" spans="2:17" x14ac:dyDescent="0.35">
      <c r="B99" s="172"/>
      <c r="C99" s="172"/>
      <c r="E99" s="171"/>
      <c r="K99" s="273"/>
    </row>
    <row r="101" spans="2:17" x14ac:dyDescent="0.35">
      <c r="B101" s="172"/>
      <c r="C101" s="206" t="s">
        <v>137</v>
      </c>
      <c r="D101" s="171" t="s">
        <v>71</v>
      </c>
      <c r="E101" s="272">
        <f>SUM(E95:E99)</f>
        <v>0</v>
      </c>
      <c r="F101" s="246" t="s">
        <v>68</v>
      </c>
    </row>
    <row r="102" spans="2:17" ht="16.5" customHeight="1" x14ac:dyDescent="0.35"/>
    <row r="103" spans="2:17" ht="16.5" customHeight="1" x14ac:dyDescent="0.35">
      <c r="B103" s="44" t="s">
        <v>654</v>
      </c>
      <c r="C103" s="206"/>
      <c r="D103" s="171"/>
      <c r="E103" s="272"/>
      <c r="F103" s="246"/>
    </row>
    <row r="104" spans="2:17" ht="16.5" customHeight="1" x14ac:dyDescent="0.35">
      <c r="F104" s="44" t="s">
        <v>1002</v>
      </c>
      <c r="K104" s="273"/>
      <c r="Q104" s="273"/>
    </row>
    <row r="105" spans="2:17" x14ac:dyDescent="0.35">
      <c r="K105" s="273"/>
    </row>
    <row r="106" spans="2:17" x14ac:dyDescent="0.35">
      <c r="B106" s="44" t="s">
        <v>925</v>
      </c>
      <c r="F106" s="44" t="s">
        <v>43</v>
      </c>
    </row>
    <row r="110" spans="2:17" ht="16.5" customHeight="1" x14ac:dyDescent="0.3">
      <c r="B110" s="49" t="str">
        <f>B38</f>
        <v>Taufiq Afandi, S.Pd</v>
      </c>
      <c r="C110" s="49"/>
      <c r="D110" s="49"/>
      <c r="E110" s="49"/>
      <c r="F110" s="49" t="str">
        <f>F38</f>
        <v>Jumari, S.Pd.T., M.Eng</v>
      </c>
    </row>
    <row r="111" spans="2:17" x14ac:dyDescent="0.35">
      <c r="B111" s="44" t="str">
        <f>B39</f>
        <v>NIP. 197505112006041004</v>
      </c>
      <c r="F111" s="44" t="str">
        <f t="shared" ref="F111" si="4">F39</f>
        <v>NIP. 198311152024211006</v>
      </c>
    </row>
    <row r="112" spans="2:17" x14ac:dyDescent="0.3">
      <c r="B112" s="49"/>
      <c r="C112" s="49"/>
      <c r="D112" s="49"/>
      <c r="E112" s="49"/>
      <c r="F112" s="49"/>
    </row>
    <row r="113" spans="2:6" x14ac:dyDescent="0.35">
      <c r="C113" s="621" t="s">
        <v>190</v>
      </c>
      <c r="D113" s="621"/>
      <c r="E113" s="621"/>
    </row>
    <row r="114" spans="2:6" x14ac:dyDescent="0.3">
      <c r="B114" s="49" t="str">
        <f t="shared" ref="B114:B119" si="5">B42</f>
        <v>Kepala Sekolah</v>
      </c>
      <c r="C114" s="49"/>
      <c r="D114" s="49"/>
      <c r="E114" s="49"/>
      <c r="F114" s="49" t="str">
        <f t="shared" ref="F114" si="6">F42</f>
        <v>WKS-1</v>
      </c>
    </row>
    <row r="116" spans="2:6" x14ac:dyDescent="0.3">
      <c r="B116" s="49"/>
      <c r="C116" s="49"/>
      <c r="D116" s="49"/>
      <c r="E116" s="49"/>
      <c r="F116" s="49"/>
    </row>
    <row r="118" spans="2:6" x14ac:dyDescent="0.3">
      <c r="B118" s="49" t="str">
        <f t="shared" si="5"/>
        <v>Widada, S.Pd., M.Pd.</v>
      </c>
      <c r="C118" s="49"/>
      <c r="D118" s="49"/>
      <c r="E118" s="49"/>
      <c r="F118" s="49" t="str">
        <f t="shared" ref="F118" si="7">F46</f>
        <v>Gunawan S Pd., M Pd</v>
      </c>
    </row>
    <row r="119" spans="2:6" x14ac:dyDescent="0.35">
      <c r="B119" s="44" t="str">
        <f t="shared" si="5"/>
        <v>NIP. 196902122000121002</v>
      </c>
      <c r="F119" s="44" t="str">
        <f t="shared" ref="F119" si="8">F47</f>
        <v>NIP. 197112132005011004</v>
      </c>
    </row>
  </sheetData>
  <mergeCells count="23">
    <mergeCell ref="C113:E113"/>
    <mergeCell ref="D89:E89"/>
    <mergeCell ref="A90:B90"/>
    <mergeCell ref="D90:E90"/>
    <mergeCell ref="D88:E88"/>
    <mergeCell ref="D83:E83"/>
    <mergeCell ref="D84:E84"/>
    <mergeCell ref="D85:E85"/>
    <mergeCell ref="D86:E86"/>
    <mergeCell ref="D87:E87"/>
    <mergeCell ref="K80:P80"/>
    <mergeCell ref="A1:G1"/>
    <mergeCell ref="D11:E11"/>
    <mergeCell ref="D12:E12"/>
    <mergeCell ref="D13:E13"/>
    <mergeCell ref="D14:E14"/>
    <mergeCell ref="D15:E15"/>
    <mergeCell ref="D16:E16"/>
    <mergeCell ref="D17:E17"/>
    <mergeCell ref="A18:B18"/>
    <mergeCell ref="D18:E18"/>
    <mergeCell ref="A72:G72"/>
    <mergeCell ref="F39:G39"/>
  </mergeCells>
  <pageMargins left="1.0629921259842521" right="0.39370078740157483" top="0.47244094488188981" bottom="1.5748031496062993" header="0.31496062992125984" footer="0.31496062992125984"/>
  <pageSetup paperSize="258" scale="90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87"/>
  <sheetViews>
    <sheetView view="pageBreakPreview" topLeftCell="A37" zoomScaleNormal="112" zoomScaleSheetLayoutView="100" workbookViewId="0">
      <selection activeCell="D42" sqref="D42"/>
    </sheetView>
  </sheetViews>
  <sheetFormatPr defaultColWidth="9.1796875" defaultRowHeight="16.5" customHeight="1" x14ac:dyDescent="0.3"/>
  <cols>
    <col min="1" max="1" width="3.26953125" style="43" customWidth="1"/>
    <col min="2" max="2" width="17.81640625" style="43" customWidth="1"/>
    <col min="3" max="3" width="45.81640625" style="43" customWidth="1"/>
    <col min="4" max="5" width="13.26953125" style="62" customWidth="1"/>
    <col min="6" max="6" width="8.54296875" style="43" customWidth="1"/>
    <col min="7" max="16384" width="9.1796875" style="43"/>
  </cols>
  <sheetData>
    <row r="1" spans="2:6" ht="16.5" customHeight="1" x14ac:dyDescent="0.3">
      <c r="C1" s="44"/>
      <c r="D1" s="171"/>
      <c r="E1" s="628" t="s">
        <v>749</v>
      </c>
      <c r="F1" s="628"/>
    </row>
    <row r="2" spans="2:6" ht="16.5" customHeight="1" x14ac:dyDescent="0.3">
      <c r="D2" s="171"/>
      <c r="E2" s="629">
        <v>45483</v>
      </c>
      <c r="F2" s="629"/>
    </row>
    <row r="3" spans="2:6" ht="16.5" customHeight="1" x14ac:dyDescent="0.3">
      <c r="C3" s="264" t="s">
        <v>115</v>
      </c>
      <c r="D3" s="171"/>
      <c r="E3" s="171"/>
      <c r="F3" s="44"/>
    </row>
    <row r="4" spans="2:6" ht="16.5" customHeight="1" x14ac:dyDescent="0.3">
      <c r="C4" s="264"/>
      <c r="D4" s="171"/>
      <c r="E4" s="171"/>
      <c r="F4" s="44"/>
    </row>
    <row r="5" spans="2:6" ht="16.5" customHeight="1" x14ac:dyDescent="0.3">
      <c r="B5" s="44" t="s">
        <v>661</v>
      </c>
      <c r="C5" s="44" t="s">
        <v>776</v>
      </c>
      <c r="E5" s="171"/>
      <c r="F5" s="44"/>
    </row>
    <row r="6" spans="2:6" ht="16.5" customHeight="1" x14ac:dyDescent="0.3">
      <c r="B6" s="44" t="s">
        <v>663</v>
      </c>
      <c r="C6" s="44" t="s">
        <v>772</v>
      </c>
      <c r="E6" s="171"/>
      <c r="F6" s="44"/>
    </row>
    <row r="7" spans="2:6" ht="16.5" customHeight="1" x14ac:dyDescent="0.3">
      <c r="B7" s="44" t="s">
        <v>40</v>
      </c>
      <c r="C7" s="44" t="str">
        <f>'Prhtngn Mingg Ef(3)'!C5</f>
        <v>: Pemrograman Sistem Embeded</v>
      </c>
      <c r="E7" s="171"/>
      <c r="F7" s="44"/>
    </row>
    <row r="8" spans="2:6" ht="16.5" customHeight="1" x14ac:dyDescent="0.3">
      <c r="B8" s="44" t="s">
        <v>662</v>
      </c>
      <c r="C8" s="43" t="s">
        <v>773</v>
      </c>
      <c r="E8" s="171"/>
      <c r="F8" s="44"/>
    </row>
    <row r="9" spans="2:6" ht="16.5" customHeight="1" x14ac:dyDescent="0.3">
      <c r="B9" s="44" t="s">
        <v>41</v>
      </c>
      <c r="C9" s="44" t="s">
        <v>1027</v>
      </c>
      <c r="E9" s="171"/>
      <c r="F9" s="44"/>
    </row>
    <row r="10" spans="2:6" ht="16.5" customHeight="1" x14ac:dyDescent="0.3">
      <c r="B10" s="44" t="s">
        <v>111</v>
      </c>
      <c r="C10" s="44" t="s">
        <v>777</v>
      </c>
      <c r="E10" s="171"/>
      <c r="F10" s="44"/>
    </row>
    <row r="11" spans="2:6" ht="16.5" customHeight="1" x14ac:dyDescent="0.3">
      <c r="B11" s="44" t="s">
        <v>42</v>
      </c>
      <c r="C11" s="44" t="s">
        <v>990</v>
      </c>
      <c r="E11" s="171"/>
      <c r="F11" s="44"/>
    </row>
    <row r="12" spans="2:6" ht="16.5" customHeight="1" x14ac:dyDescent="0.3">
      <c r="C12" s="44"/>
      <c r="D12" s="171"/>
      <c r="E12" s="171"/>
      <c r="F12" s="44"/>
    </row>
    <row r="13" spans="2:6" ht="16.5" customHeight="1" x14ac:dyDescent="0.3">
      <c r="B13" s="622" t="s">
        <v>111</v>
      </c>
      <c r="C13" s="622" t="s">
        <v>688</v>
      </c>
      <c r="D13" s="624" t="s">
        <v>330</v>
      </c>
      <c r="E13" s="624"/>
      <c r="F13" s="625" t="s">
        <v>7</v>
      </c>
    </row>
    <row r="14" spans="2:6" ht="16.5" customHeight="1" x14ac:dyDescent="0.3">
      <c r="B14" s="622"/>
      <c r="C14" s="622"/>
      <c r="D14" s="626" t="s">
        <v>53</v>
      </c>
      <c r="E14" s="626" t="s">
        <v>54</v>
      </c>
      <c r="F14" s="625"/>
    </row>
    <row r="15" spans="2:6" ht="16.5" customHeight="1" x14ac:dyDescent="0.3">
      <c r="B15" s="623"/>
      <c r="C15" s="623"/>
      <c r="D15" s="627"/>
      <c r="E15" s="627"/>
      <c r="F15" s="626"/>
    </row>
    <row r="16" spans="2:6" ht="38.5" customHeight="1" x14ac:dyDescent="0.35">
      <c r="B16" s="630" t="s">
        <v>1037</v>
      </c>
      <c r="C16" s="511" t="s">
        <v>1028</v>
      </c>
      <c r="D16" s="183">
        <v>8</v>
      </c>
      <c r="E16" s="183"/>
      <c r="F16" s="187">
        <f>D16+E16</f>
        <v>8</v>
      </c>
    </row>
    <row r="17" spans="2:7" ht="57" customHeight="1" x14ac:dyDescent="0.3">
      <c r="B17" s="631"/>
      <c r="C17" s="500" t="s">
        <v>1029</v>
      </c>
      <c r="D17" s="187">
        <v>8</v>
      </c>
      <c r="E17" s="187"/>
      <c r="F17" s="187">
        <f t="shared" ref="F17:F25" si="0">D17+E17</f>
        <v>8</v>
      </c>
    </row>
    <row r="18" spans="2:7" ht="42.5" customHeight="1" x14ac:dyDescent="0.3">
      <c r="B18" s="631"/>
      <c r="C18" s="500" t="s">
        <v>1030</v>
      </c>
      <c r="D18" s="187">
        <v>8</v>
      </c>
      <c r="E18" s="187"/>
      <c r="F18" s="187">
        <f t="shared" si="0"/>
        <v>8</v>
      </c>
    </row>
    <row r="19" spans="2:7" ht="36" customHeight="1" x14ac:dyDescent="0.3">
      <c r="B19" s="631"/>
      <c r="C19" s="500" t="s">
        <v>1031</v>
      </c>
      <c r="D19" s="187">
        <v>8</v>
      </c>
      <c r="E19" s="187"/>
      <c r="F19" s="187">
        <f t="shared" si="0"/>
        <v>8</v>
      </c>
    </row>
    <row r="20" spans="2:7" ht="16.5" customHeight="1" x14ac:dyDescent="0.35">
      <c r="B20" s="631"/>
      <c r="C20" s="511" t="s">
        <v>378</v>
      </c>
      <c r="D20" s="187"/>
      <c r="E20" s="187">
        <v>4</v>
      </c>
      <c r="F20" s="187">
        <f t="shared" si="0"/>
        <v>4</v>
      </c>
    </row>
    <row r="21" spans="2:7" ht="33" customHeight="1" x14ac:dyDescent="0.3">
      <c r="B21" s="632">
        <v>3</v>
      </c>
      <c r="C21" s="512" t="s">
        <v>1032</v>
      </c>
      <c r="D21" s="187">
        <v>8</v>
      </c>
      <c r="E21" s="187"/>
      <c r="F21" s="187">
        <f t="shared" si="0"/>
        <v>8</v>
      </c>
    </row>
    <row r="22" spans="2:7" ht="33.5" customHeight="1" x14ac:dyDescent="0.3">
      <c r="B22" s="632"/>
      <c r="C22" s="512" t="s">
        <v>1033</v>
      </c>
      <c r="D22" s="384">
        <v>8</v>
      </c>
      <c r="E22" s="384"/>
      <c r="F22" s="187">
        <f t="shared" si="0"/>
        <v>8</v>
      </c>
    </row>
    <row r="23" spans="2:7" ht="35.5" customHeight="1" x14ac:dyDescent="0.3">
      <c r="B23" s="632"/>
      <c r="C23" s="512" t="s">
        <v>1034</v>
      </c>
      <c r="D23" s="384">
        <v>10</v>
      </c>
      <c r="E23" s="384"/>
      <c r="F23" s="187">
        <f t="shared" si="0"/>
        <v>10</v>
      </c>
    </row>
    <row r="24" spans="2:7" ht="32.5" customHeight="1" x14ac:dyDescent="0.3">
      <c r="B24" s="632"/>
      <c r="C24" s="512" t="s">
        <v>1035</v>
      </c>
      <c r="D24" s="384">
        <v>10</v>
      </c>
      <c r="E24" s="384"/>
      <c r="F24" s="187">
        <f t="shared" si="0"/>
        <v>10</v>
      </c>
    </row>
    <row r="25" spans="2:7" ht="16.5" customHeight="1" x14ac:dyDescent="0.3">
      <c r="B25" s="633"/>
      <c r="C25" s="498" t="s">
        <v>1036</v>
      </c>
      <c r="D25" s="384"/>
      <c r="E25" s="384">
        <v>4</v>
      </c>
      <c r="F25" s="187">
        <f t="shared" si="0"/>
        <v>4</v>
      </c>
    </row>
    <row r="26" spans="2:7" ht="16.5" customHeight="1" x14ac:dyDescent="0.3">
      <c r="B26" s="183" t="s">
        <v>337</v>
      </c>
      <c r="C26" s="390"/>
      <c r="D26" s="183">
        <f>SUM(D16:D25)</f>
        <v>68</v>
      </c>
      <c r="E26" s="183">
        <f>SUM(E16:E25)</f>
        <v>8</v>
      </c>
      <c r="F26" s="183">
        <f>SUM(F16:F25)</f>
        <v>76</v>
      </c>
    </row>
    <row r="28" spans="2:7" ht="16.5" customHeight="1" x14ac:dyDescent="0.3">
      <c r="B28" s="44"/>
      <c r="C28" s="44"/>
      <c r="D28" s="171"/>
      <c r="E28" s="171"/>
      <c r="G28" s="44"/>
    </row>
    <row r="29" spans="2:7" ht="16.5" customHeight="1" x14ac:dyDescent="0.3">
      <c r="B29" s="44"/>
      <c r="C29" s="44"/>
      <c r="D29" s="171" t="s">
        <v>1038</v>
      </c>
      <c r="E29" s="171"/>
      <c r="G29" s="44"/>
    </row>
    <row r="30" spans="2:7" ht="16.5" customHeight="1" x14ac:dyDescent="0.3">
      <c r="B30" s="44" t="s">
        <v>1001</v>
      </c>
      <c r="C30" s="44"/>
      <c r="D30" s="171" t="s">
        <v>43</v>
      </c>
      <c r="E30" s="171"/>
      <c r="G30" s="44"/>
    </row>
    <row r="31" spans="2:7" ht="16.5" customHeight="1" x14ac:dyDescent="0.3">
      <c r="B31" s="44"/>
      <c r="C31" s="44"/>
      <c r="D31" s="171"/>
      <c r="E31" s="171"/>
      <c r="G31" s="44"/>
    </row>
    <row r="32" spans="2:7" ht="16.5" customHeight="1" x14ac:dyDescent="0.3">
      <c r="B32" s="196"/>
      <c r="C32" s="44"/>
      <c r="D32" s="502"/>
      <c r="E32" s="171"/>
      <c r="G32" s="44"/>
    </row>
    <row r="33" spans="2:7" ht="16.5" customHeight="1" x14ac:dyDescent="0.3">
      <c r="B33" s="44"/>
      <c r="C33" s="44"/>
      <c r="D33" s="171"/>
      <c r="E33" s="171"/>
      <c r="G33" s="44"/>
    </row>
    <row r="34" spans="2:7" ht="16.5" customHeight="1" x14ac:dyDescent="0.3">
      <c r="B34" s="44" t="str">
        <f>'Prhtngn Mingg Ef(3)'!B38</f>
        <v>Taufiq Afandi, S.Pd</v>
      </c>
      <c r="C34" s="44"/>
      <c r="D34" s="171" t="str">
        <f>'Prhtngn Mingg Ef(3)'!F38</f>
        <v>Jumari, S.Pd.T., M.Eng</v>
      </c>
      <c r="E34" s="171"/>
      <c r="G34" s="44"/>
    </row>
    <row r="35" spans="2:7" ht="16.5" customHeight="1" x14ac:dyDescent="0.3">
      <c r="B35" s="172" t="str">
        <f>'Prhtngn Mingg Ef(3)'!B39</f>
        <v>NIP. 197505112006041004</v>
      </c>
      <c r="C35" s="173"/>
      <c r="D35" s="171" t="str">
        <f>'Prhtngn Mingg Ef(3)'!F39</f>
        <v>NIP. 198311152024211006</v>
      </c>
      <c r="E35" s="493"/>
      <c r="G35" s="44"/>
    </row>
    <row r="36" spans="2:7" ht="16.5" customHeight="1" x14ac:dyDescent="0.3">
      <c r="B36" s="172"/>
      <c r="C36" s="173"/>
      <c r="D36" s="171"/>
      <c r="E36" s="493"/>
      <c r="G36" s="44"/>
    </row>
    <row r="37" spans="2:7" ht="16.5" customHeight="1" x14ac:dyDescent="0.3">
      <c r="B37" s="172"/>
      <c r="C37" s="493" t="s">
        <v>190</v>
      </c>
      <c r="D37" s="513"/>
      <c r="E37" s="493"/>
      <c r="G37" s="44"/>
    </row>
    <row r="38" spans="2:7" ht="16.5" customHeight="1" x14ac:dyDescent="0.3">
      <c r="B38" s="172" t="s">
        <v>144</v>
      </c>
      <c r="C38" s="173"/>
      <c r="D38" s="513" t="s">
        <v>993</v>
      </c>
      <c r="E38" s="493"/>
      <c r="G38" s="44"/>
    </row>
    <row r="39" spans="2:7" ht="16.5" customHeight="1" x14ac:dyDescent="0.3">
      <c r="B39" s="44"/>
      <c r="C39" s="44"/>
      <c r="D39" s="171"/>
      <c r="E39" s="171"/>
      <c r="G39" s="44"/>
    </row>
    <row r="40" spans="2:7" ht="16.5" customHeight="1" x14ac:dyDescent="0.3">
      <c r="B40" s="172"/>
      <c r="C40" s="173"/>
      <c r="D40" s="502"/>
      <c r="E40" s="493"/>
      <c r="G40" s="44"/>
    </row>
    <row r="41" spans="2:7" ht="16.5" customHeight="1" x14ac:dyDescent="0.3">
      <c r="B41" s="172"/>
      <c r="C41" s="173"/>
      <c r="D41" s="502"/>
      <c r="E41" s="493"/>
      <c r="G41" s="44"/>
    </row>
    <row r="42" spans="2:7" ht="16.5" customHeight="1" x14ac:dyDescent="0.3">
      <c r="B42" s="172" t="str">
        <f>'Prhtngn Mingg Ef(3)'!B46</f>
        <v>Widada, S.Pd., M.Pd.</v>
      </c>
      <c r="C42" s="173"/>
      <c r="D42" s="513" t="str">
        <f>'Prhtngn Mingg Ef(3)'!F46</f>
        <v>Gunawan S Pd., M Pd</v>
      </c>
      <c r="E42" s="493"/>
      <c r="G42" s="44"/>
    </row>
    <row r="43" spans="2:7" ht="16.5" customHeight="1" x14ac:dyDescent="0.3">
      <c r="B43" s="172" t="str">
        <f>'Prhtngn Mingg Ef(3)'!B47</f>
        <v>NIP. 196902122000121002</v>
      </c>
      <c r="C43" s="173"/>
      <c r="D43" s="513" t="str">
        <f>'Prhtngn Mingg Ef(3)'!F47</f>
        <v>NIP. 197112132005011004</v>
      </c>
      <c r="E43" s="493"/>
      <c r="G43" s="44"/>
    </row>
    <row r="44" spans="2:7" ht="16.5" customHeight="1" x14ac:dyDescent="0.3">
      <c r="B44" s="172"/>
      <c r="C44" s="173"/>
      <c r="D44" s="513"/>
      <c r="E44" s="493"/>
      <c r="G44" s="44"/>
    </row>
    <row r="45" spans="2:7" ht="16.5" customHeight="1" x14ac:dyDescent="0.3">
      <c r="B45" s="172"/>
      <c r="C45" s="173"/>
      <c r="D45" s="513"/>
      <c r="E45" s="493"/>
      <c r="G45" s="44"/>
    </row>
    <row r="46" spans="2:7" ht="16.5" customHeight="1" x14ac:dyDescent="0.3">
      <c r="B46" s="172"/>
      <c r="C46" s="173"/>
      <c r="D46" s="513"/>
      <c r="E46" s="493"/>
      <c r="G46" s="44"/>
    </row>
    <row r="47" spans="2:7" ht="16.5" customHeight="1" x14ac:dyDescent="0.3">
      <c r="B47" s="172"/>
      <c r="C47" s="173"/>
      <c r="D47" s="513"/>
      <c r="E47" s="493"/>
      <c r="G47" s="44"/>
    </row>
    <row r="48" spans="2:7" ht="16.5" customHeight="1" x14ac:dyDescent="0.3">
      <c r="B48" s="172"/>
      <c r="C48" s="173"/>
      <c r="D48" s="513"/>
      <c r="E48" s="493"/>
      <c r="G48" s="44"/>
    </row>
    <row r="49" spans="2:7" ht="16.5" customHeight="1" x14ac:dyDescent="0.3">
      <c r="B49" s="172"/>
      <c r="C49" s="173"/>
      <c r="D49" s="513"/>
      <c r="E49" s="493"/>
      <c r="G49" s="44"/>
    </row>
    <row r="50" spans="2:7" ht="16.5" customHeight="1" x14ac:dyDescent="0.3">
      <c r="C50" s="264" t="s">
        <v>115</v>
      </c>
      <c r="D50" s="171"/>
      <c r="E50" s="171"/>
      <c r="F50" s="44"/>
      <c r="G50" s="44"/>
    </row>
    <row r="51" spans="2:7" ht="16.5" customHeight="1" x14ac:dyDescent="0.3">
      <c r="B51" s="44" t="s">
        <v>661</v>
      </c>
      <c r="C51" s="52"/>
      <c r="D51" s="171" t="s">
        <v>776</v>
      </c>
      <c r="E51" s="171"/>
      <c r="F51" s="44"/>
      <c r="G51" s="44"/>
    </row>
    <row r="52" spans="2:7" ht="16.5" customHeight="1" x14ac:dyDescent="0.3">
      <c r="B52" s="44" t="s">
        <v>663</v>
      </c>
      <c r="C52" s="52"/>
      <c r="D52" s="171" t="s">
        <v>772</v>
      </c>
      <c r="E52" s="171"/>
      <c r="F52" s="44"/>
      <c r="G52" s="44"/>
    </row>
    <row r="53" spans="2:7" ht="16.5" customHeight="1" x14ac:dyDescent="0.3">
      <c r="B53" s="44" t="s">
        <v>40</v>
      </c>
      <c r="C53" s="44"/>
      <c r="D53" s="171" t="s">
        <v>774</v>
      </c>
      <c r="E53" s="171"/>
      <c r="F53" s="44"/>
      <c r="G53" s="44"/>
    </row>
    <row r="54" spans="2:7" ht="16.5" customHeight="1" x14ac:dyDescent="0.3">
      <c r="B54" s="44" t="s">
        <v>662</v>
      </c>
      <c r="C54" s="52"/>
      <c r="D54" s="62" t="s">
        <v>773</v>
      </c>
      <c r="E54" s="171"/>
      <c r="F54" s="44"/>
      <c r="G54" s="44"/>
    </row>
    <row r="55" spans="2:7" ht="16.5" customHeight="1" x14ac:dyDescent="0.3">
      <c r="B55" s="44" t="s">
        <v>41</v>
      </c>
      <c r="C55" s="52"/>
      <c r="D55" s="171" t="s">
        <v>775</v>
      </c>
      <c r="E55" s="171"/>
      <c r="F55" s="44"/>
      <c r="G55" s="44"/>
    </row>
    <row r="56" spans="2:7" ht="16.5" customHeight="1" x14ac:dyDescent="0.3">
      <c r="B56" s="44" t="s">
        <v>111</v>
      </c>
      <c r="C56" s="52"/>
      <c r="D56" s="171" t="s">
        <v>994</v>
      </c>
      <c r="E56" s="171"/>
      <c r="F56" s="44"/>
      <c r="G56" s="44"/>
    </row>
    <row r="57" spans="2:7" ht="16.5" customHeight="1" x14ac:dyDescent="0.3">
      <c r="B57" s="44" t="s">
        <v>42</v>
      </c>
      <c r="C57" s="52"/>
      <c r="D57" s="171" t="s">
        <v>990</v>
      </c>
      <c r="E57" s="171"/>
      <c r="F57" s="44"/>
      <c r="G57" s="44"/>
    </row>
    <row r="58" spans="2:7" ht="16.5" customHeight="1" x14ac:dyDescent="0.3">
      <c r="C58" s="44"/>
      <c r="D58" s="171"/>
      <c r="E58" s="171"/>
      <c r="F58" s="44"/>
      <c r="G58" s="44"/>
    </row>
    <row r="59" spans="2:7" ht="16.5" customHeight="1" x14ac:dyDescent="0.3">
      <c r="B59" s="622" t="s">
        <v>111</v>
      </c>
      <c r="C59" s="622" t="s">
        <v>688</v>
      </c>
      <c r="D59" s="624" t="s">
        <v>330</v>
      </c>
      <c r="E59" s="624"/>
      <c r="F59" s="625" t="s">
        <v>7</v>
      </c>
      <c r="G59" s="44"/>
    </row>
    <row r="60" spans="2:7" ht="16.5" customHeight="1" x14ac:dyDescent="0.3">
      <c r="B60" s="622"/>
      <c r="C60" s="622"/>
      <c r="D60" s="626" t="s">
        <v>53</v>
      </c>
      <c r="E60" s="626" t="s">
        <v>54</v>
      </c>
      <c r="F60" s="625"/>
      <c r="G60" s="44"/>
    </row>
    <row r="61" spans="2:7" ht="16.5" customHeight="1" x14ac:dyDescent="0.3">
      <c r="B61" s="623"/>
      <c r="C61" s="623"/>
      <c r="D61" s="627"/>
      <c r="E61" s="627"/>
      <c r="F61" s="626"/>
      <c r="G61" s="44"/>
    </row>
    <row r="62" spans="2:7" ht="16.5" customHeight="1" x14ac:dyDescent="0.3">
      <c r="B62" s="634">
        <v>3</v>
      </c>
      <c r="C62" s="193"/>
      <c r="D62" s="183"/>
      <c r="E62" s="183"/>
      <c r="F62" s="634"/>
      <c r="G62" s="44"/>
    </row>
    <row r="63" spans="2:7" ht="16.5" customHeight="1" x14ac:dyDescent="0.3">
      <c r="B63" s="635"/>
      <c r="C63" s="391"/>
      <c r="D63" s="183"/>
      <c r="E63" s="183"/>
      <c r="F63" s="635"/>
      <c r="G63" s="44"/>
    </row>
    <row r="64" spans="2:7" ht="16.5" customHeight="1" x14ac:dyDescent="0.3">
      <c r="B64" s="634">
        <v>3</v>
      </c>
      <c r="C64" s="639"/>
      <c r="D64" s="634"/>
      <c r="E64" s="634"/>
      <c r="F64" s="634"/>
      <c r="G64" s="44"/>
    </row>
    <row r="65" spans="2:7" ht="16.5" customHeight="1" x14ac:dyDescent="0.3">
      <c r="B65" s="638"/>
      <c r="C65" s="640"/>
      <c r="D65" s="635"/>
      <c r="E65" s="635"/>
      <c r="F65" s="638"/>
      <c r="G65" s="44"/>
    </row>
    <row r="66" spans="2:7" ht="16.5" customHeight="1" x14ac:dyDescent="0.3">
      <c r="B66" s="635"/>
      <c r="C66" s="38"/>
      <c r="D66" s="384"/>
      <c r="E66" s="384"/>
      <c r="F66" s="635"/>
      <c r="G66" s="44"/>
    </row>
    <row r="67" spans="2:7" ht="16.5" customHeight="1" x14ac:dyDescent="0.3">
      <c r="B67" s="634">
        <v>4</v>
      </c>
      <c r="C67" s="37"/>
      <c r="D67" s="384"/>
      <c r="E67" s="384"/>
      <c r="F67" s="636"/>
      <c r="G67" s="44"/>
    </row>
    <row r="68" spans="2:7" ht="16.5" customHeight="1" x14ac:dyDescent="0.3">
      <c r="B68" s="635"/>
      <c r="C68" s="37"/>
      <c r="D68" s="384"/>
      <c r="E68" s="384"/>
      <c r="F68" s="637"/>
      <c r="G68" s="44"/>
    </row>
    <row r="69" spans="2:7" ht="16.5" customHeight="1" x14ac:dyDescent="0.3">
      <c r="B69" s="636">
        <v>4</v>
      </c>
      <c r="C69" s="37"/>
      <c r="D69" s="384"/>
      <c r="E69" s="384"/>
      <c r="F69" s="636"/>
      <c r="G69" s="44"/>
    </row>
    <row r="70" spans="2:7" ht="16.5" customHeight="1" x14ac:dyDescent="0.3">
      <c r="B70" s="637"/>
      <c r="C70" s="391"/>
      <c r="D70" s="183"/>
      <c r="E70" s="183"/>
      <c r="F70" s="637"/>
      <c r="G70" s="44"/>
    </row>
    <row r="71" spans="2:7" ht="16.5" customHeight="1" x14ac:dyDescent="0.3">
      <c r="B71" s="183" t="s">
        <v>337</v>
      </c>
      <c r="C71" s="390"/>
      <c r="D71" s="183">
        <f>SUM(D62:D70)</f>
        <v>0</v>
      </c>
      <c r="E71" s="183">
        <f>SUM(E62:E70)</f>
        <v>0</v>
      </c>
      <c r="F71" s="183">
        <f>SUM(F62:F70)</f>
        <v>0</v>
      </c>
      <c r="G71" s="44"/>
    </row>
    <row r="73" spans="2:7" ht="16.5" customHeight="1" x14ac:dyDescent="0.3">
      <c r="B73" s="44"/>
      <c r="C73" s="44"/>
      <c r="D73" s="171"/>
      <c r="E73" s="171"/>
    </row>
    <row r="74" spans="2:7" ht="16.5" customHeight="1" x14ac:dyDescent="0.3">
      <c r="B74" s="44"/>
      <c r="C74" s="44"/>
      <c r="D74" s="171" t="s">
        <v>685</v>
      </c>
      <c r="E74" s="171"/>
    </row>
    <row r="75" spans="2:7" ht="16.5" customHeight="1" x14ac:dyDescent="0.3">
      <c r="B75" s="44" t="s">
        <v>1001</v>
      </c>
      <c r="C75" s="44"/>
      <c r="D75" s="171" t="s">
        <v>43</v>
      </c>
      <c r="E75" s="171"/>
    </row>
    <row r="76" spans="2:7" ht="16.5" customHeight="1" x14ac:dyDescent="0.3">
      <c r="B76" s="44"/>
      <c r="C76" s="44"/>
      <c r="D76" s="171"/>
      <c r="E76" s="171"/>
    </row>
    <row r="77" spans="2:7" ht="16.5" customHeight="1" x14ac:dyDescent="0.3">
      <c r="B77" s="196"/>
      <c r="C77" s="44"/>
      <c r="D77" s="502"/>
      <c r="E77" s="171"/>
    </row>
    <row r="78" spans="2:7" ht="16.5" customHeight="1" x14ac:dyDescent="0.3">
      <c r="B78" s="44"/>
      <c r="C78" s="44"/>
      <c r="D78" s="171"/>
      <c r="E78" s="171"/>
    </row>
    <row r="79" spans="2:7" ht="16.5" customHeight="1" x14ac:dyDescent="0.3">
      <c r="B79" s="44" t="str">
        <f>B34</f>
        <v>Taufiq Afandi, S.Pd</v>
      </c>
      <c r="C79" s="44"/>
      <c r="D79" s="171" t="str">
        <f t="shared" ref="D79" si="1">D34</f>
        <v>Jumari, S.Pd.T., M.Eng</v>
      </c>
      <c r="E79" s="171"/>
    </row>
    <row r="80" spans="2:7" ht="16.5" customHeight="1" x14ac:dyDescent="0.3">
      <c r="B80" s="44" t="str">
        <f>B35</f>
        <v>NIP. 197505112006041004</v>
      </c>
      <c r="C80" s="44"/>
      <c r="D80" s="171" t="str">
        <f t="shared" ref="D80" si="2">D35</f>
        <v>NIP. 198311152024211006</v>
      </c>
      <c r="E80" s="493"/>
    </row>
    <row r="81" spans="2:5" ht="16.5" customHeight="1" x14ac:dyDescent="0.3">
      <c r="B81" s="44"/>
      <c r="C81" s="44"/>
      <c r="D81" s="171"/>
      <c r="E81" s="493"/>
    </row>
    <row r="82" spans="2:5" ht="16.5" customHeight="1" x14ac:dyDescent="0.3">
      <c r="B82" s="44" t="str">
        <f t="shared" ref="B82:B87" si="3">B38</f>
        <v>Kepala Sekolah</v>
      </c>
      <c r="C82" s="44"/>
      <c r="D82" s="171" t="str">
        <f t="shared" ref="D82" si="4">D38</f>
        <v>WKS Kurikulum</v>
      </c>
      <c r="E82" s="493"/>
    </row>
    <row r="83" spans="2:5" ht="16.5" customHeight="1" x14ac:dyDescent="0.3">
      <c r="B83" s="44"/>
      <c r="C83" s="44"/>
      <c r="D83" s="171"/>
      <c r="E83" s="171"/>
    </row>
    <row r="84" spans="2:5" ht="16.5" customHeight="1" x14ac:dyDescent="0.3">
      <c r="B84" s="44"/>
      <c r="C84" s="44"/>
      <c r="D84" s="171"/>
      <c r="E84" s="493"/>
    </row>
    <row r="85" spans="2:5" ht="16.5" customHeight="1" x14ac:dyDescent="0.3">
      <c r="B85" s="44"/>
      <c r="C85" s="44"/>
      <c r="D85" s="171"/>
      <c r="E85" s="493"/>
    </row>
    <row r="86" spans="2:5" ht="16.5" customHeight="1" x14ac:dyDescent="0.3">
      <c r="B86" s="44" t="str">
        <f t="shared" si="3"/>
        <v>Widada, S.Pd., M.Pd.</v>
      </c>
      <c r="C86" s="44"/>
      <c r="D86" s="171" t="str">
        <f t="shared" ref="D86" si="5">D42</f>
        <v>Gunawan S Pd., M Pd</v>
      </c>
      <c r="E86" s="493"/>
    </row>
    <row r="87" spans="2:5" ht="16.5" customHeight="1" x14ac:dyDescent="0.3">
      <c r="B87" s="44" t="str">
        <f t="shared" si="3"/>
        <v>NIP. 196902122000121002</v>
      </c>
      <c r="C87" s="44"/>
      <c r="D87" s="171" t="str">
        <f t="shared" ref="D87" si="6">D43</f>
        <v>NIP. 197112132005011004</v>
      </c>
      <c r="E87" s="493"/>
    </row>
  </sheetData>
  <mergeCells count="27">
    <mergeCell ref="B16:B20"/>
    <mergeCell ref="B21:B25"/>
    <mergeCell ref="B67:B68"/>
    <mergeCell ref="F67:F68"/>
    <mergeCell ref="B69:B70"/>
    <mergeCell ref="F69:F70"/>
    <mergeCell ref="B62:B63"/>
    <mergeCell ref="F62:F63"/>
    <mergeCell ref="B64:B66"/>
    <mergeCell ref="C64:C65"/>
    <mergeCell ref="D64:D65"/>
    <mergeCell ref="E64:E65"/>
    <mergeCell ref="F64:F66"/>
    <mergeCell ref="B59:B61"/>
    <mergeCell ref="C59:C61"/>
    <mergeCell ref="D59:E59"/>
    <mergeCell ref="F59:F61"/>
    <mergeCell ref="D60:D61"/>
    <mergeCell ref="E60:E61"/>
    <mergeCell ref="E1:F1"/>
    <mergeCell ref="E2:F2"/>
    <mergeCell ref="B13:B15"/>
    <mergeCell ref="C13:C15"/>
    <mergeCell ref="D13:E13"/>
    <mergeCell ref="F13:F15"/>
    <mergeCell ref="D14:D15"/>
    <mergeCell ref="E14:E15"/>
  </mergeCells>
  <pageMargins left="0.9055118110236221" right="0.31496062992125984" top="0.35433070866141736" bottom="1.4566929133858268" header="0.31496062992125984" footer="0.31496062992125984"/>
  <pageSetup paperSize="258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G90"/>
  <sheetViews>
    <sheetView view="pageBreakPreview" zoomScale="60" zoomScaleNormal="85" workbookViewId="0">
      <selection activeCell="AJ15" sqref="AJ15"/>
    </sheetView>
  </sheetViews>
  <sheetFormatPr defaultColWidth="9.1796875" defaultRowHeight="15.75" customHeight="1" x14ac:dyDescent="0.3"/>
  <cols>
    <col min="1" max="1" width="14.1796875" style="43" customWidth="1"/>
    <col min="2" max="2" width="5" style="43" customWidth="1"/>
    <col min="3" max="3" width="53.81640625" style="43" customWidth="1"/>
    <col min="4" max="4" width="4.54296875" style="43" customWidth="1"/>
    <col min="5" max="30" width="3.26953125" style="43" customWidth="1"/>
    <col min="31" max="31" width="6.26953125" style="43" customWidth="1"/>
    <col min="32" max="32" width="4.1796875" style="43" customWidth="1"/>
    <col min="33" max="16384" width="9.1796875" style="43"/>
  </cols>
  <sheetData>
    <row r="1" spans="2:31" ht="15.75" customHeight="1" x14ac:dyDescent="0.3">
      <c r="Z1" s="611" t="s">
        <v>750</v>
      </c>
      <c r="AA1" s="611"/>
      <c r="AB1" s="611"/>
      <c r="AC1" s="611"/>
      <c r="AD1" s="611"/>
    </row>
    <row r="2" spans="2:31" ht="15.75" customHeight="1" x14ac:dyDescent="0.3">
      <c r="Z2" s="653">
        <v>45483</v>
      </c>
      <c r="AA2" s="653"/>
      <c r="AB2" s="653"/>
      <c r="AC2" s="653"/>
      <c r="AD2" s="653"/>
    </row>
    <row r="3" spans="2:31" ht="15.75" customHeight="1" x14ac:dyDescent="0.3">
      <c r="B3" s="621" t="s">
        <v>120</v>
      </c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1"/>
      <c r="T3" s="621"/>
      <c r="U3" s="621"/>
      <c r="V3" s="621"/>
      <c r="W3" s="621"/>
      <c r="X3" s="621"/>
      <c r="Y3" s="621"/>
      <c r="Z3" s="621"/>
      <c r="AA3" s="621"/>
      <c r="AB3" s="621"/>
      <c r="AC3" s="621"/>
      <c r="AD3" s="621"/>
      <c r="AE3" s="621"/>
    </row>
    <row r="4" spans="2:31" ht="15.75" customHeight="1" x14ac:dyDescent="0.3"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</row>
    <row r="5" spans="2:31" ht="15.75" customHeight="1" x14ac:dyDescent="0.3">
      <c r="B5" s="171"/>
      <c r="C5" s="44" t="s">
        <v>661</v>
      </c>
      <c r="D5" s="52"/>
      <c r="E5" s="44" t="s">
        <v>776</v>
      </c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</row>
    <row r="6" spans="2:31" ht="15.75" customHeight="1" x14ac:dyDescent="0.3">
      <c r="B6" s="171"/>
      <c r="C6" s="44" t="s">
        <v>663</v>
      </c>
      <c r="D6" s="52"/>
      <c r="E6" s="44" t="s">
        <v>772</v>
      </c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</row>
    <row r="7" spans="2:31" ht="15.75" customHeight="1" x14ac:dyDescent="0.3">
      <c r="B7" s="171"/>
      <c r="C7" s="44" t="s">
        <v>40</v>
      </c>
      <c r="D7" s="44"/>
      <c r="E7" s="44" t="str">
        <f>'PROTA (4)'!C7</f>
        <v>: Pemrograman Sistem Embeded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</row>
    <row r="8" spans="2:31" ht="15.75" customHeight="1" x14ac:dyDescent="0.3">
      <c r="C8" s="44" t="s">
        <v>662</v>
      </c>
      <c r="D8" s="52"/>
      <c r="E8" s="43" t="s">
        <v>773</v>
      </c>
    </row>
    <row r="9" spans="2:31" ht="15.75" customHeight="1" x14ac:dyDescent="0.3">
      <c r="C9" s="44" t="s">
        <v>41</v>
      </c>
      <c r="D9" s="52"/>
      <c r="E9" s="44" t="s">
        <v>775</v>
      </c>
      <c r="O9" s="44"/>
      <c r="P9" s="44"/>
      <c r="V9" s="44"/>
    </row>
    <row r="10" spans="2:31" ht="15.75" customHeight="1" x14ac:dyDescent="0.3">
      <c r="C10" s="44" t="s">
        <v>111</v>
      </c>
      <c r="D10" s="52"/>
      <c r="E10" s="44" t="s">
        <v>777</v>
      </c>
      <c r="I10" s="44"/>
      <c r="P10" s="44"/>
      <c r="AE10" s="43" t="s">
        <v>37</v>
      </c>
    </row>
    <row r="11" spans="2:31" ht="15.75" customHeight="1" x14ac:dyDescent="0.3">
      <c r="C11" s="44" t="s">
        <v>42</v>
      </c>
      <c r="D11" s="52"/>
      <c r="E11" s="44" t="s">
        <v>990</v>
      </c>
    </row>
    <row r="12" spans="2:31" ht="15.75" customHeight="1" x14ac:dyDescent="0.3">
      <c r="D12" s="175"/>
    </row>
    <row r="13" spans="2:31" ht="15.75" customHeight="1" x14ac:dyDescent="0.3">
      <c r="B13" s="654" t="s">
        <v>5</v>
      </c>
      <c r="C13" s="656" t="s">
        <v>688</v>
      </c>
      <c r="D13" s="656" t="s">
        <v>121</v>
      </c>
      <c r="E13" s="658" t="s">
        <v>113</v>
      </c>
      <c r="F13" s="658"/>
      <c r="G13" s="658"/>
      <c r="H13" s="658"/>
      <c r="I13" s="658"/>
      <c r="J13" s="658"/>
      <c r="K13" s="658"/>
      <c r="L13" s="658"/>
      <c r="M13" s="658"/>
      <c r="N13" s="658"/>
      <c r="O13" s="658"/>
      <c r="P13" s="658"/>
      <c r="Q13" s="658"/>
      <c r="R13" s="658"/>
      <c r="S13" s="658"/>
      <c r="T13" s="658"/>
      <c r="U13" s="658"/>
      <c r="V13" s="658"/>
      <c r="W13" s="658"/>
      <c r="X13" s="658"/>
      <c r="Y13" s="658"/>
      <c r="Z13" s="658"/>
      <c r="AA13" s="658"/>
      <c r="AB13" s="658"/>
      <c r="AC13" s="658"/>
      <c r="AD13" s="658"/>
      <c r="AE13" s="656" t="s">
        <v>335</v>
      </c>
    </row>
    <row r="14" spans="2:31" ht="15.75" customHeight="1" x14ac:dyDescent="0.3">
      <c r="B14" s="654"/>
      <c r="C14" s="657"/>
      <c r="D14" s="657"/>
      <c r="E14" s="659" t="s">
        <v>146</v>
      </c>
      <c r="F14" s="659"/>
      <c r="G14" s="659"/>
      <c r="H14" s="659"/>
      <c r="I14" s="660" t="s">
        <v>147</v>
      </c>
      <c r="J14" s="660"/>
      <c r="K14" s="660"/>
      <c r="L14" s="660"/>
      <c r="M14" s="660"/>
      <c r="N14" s="661" t="s">
        <v>148</v>
      </c>
      <c r="O14" s="661"/>
      <c r="P14" s="661"/>
      <c r="Q14" s="661"/>
      <c r="R14" s="662" t="s">
        <v>149</v>
      </c>
      <c r="S14" s="663"/>
      <c r="T14" s="663"/>
      <c r="U14" s="663"/>
      <c r="V14" s="664"/>
      <c r="W14" s="665" t="s">
        <v>326</v>
      </c>
      <c r="X14" s="666"/>
      <c r="Y14" s="666"/>
      <c r="Z14" s="667"/>
      <c r="AA14" s="659" t="s">
        <v>151</v>
      </c>
      <c r="AB14" s="659"/>
      <c r="AC14" s="659"/>
      <c r="AD14" s="659"/>
      <c r="AE14" s="657"/>
    </row>
    <row r="15" spans="2:31" ht="15.75" customHeight="1" x14ac:dyDescent="0.3">
      <c r="B15" s="655"/>
      <c r="C15" s="657"/>
      <c r="D15" s="657"/>
      <c r="E15" s="385">
        <v>1</v>
      </c>
      <c r="F15" s="385">
        <v>2</v>
      </c>
      <c r="G15" s="385">
        <v>3</v>
      </c>
      <c r="H15" s="385">
        <v>4</v>
      </c>
      <c r="I15" s="386">
        <v>1</v>
      </c>
      <c r="J15" s="386">
        <v>2</v>
      </c>
      <c r="K15" s="386">
        <v>3</v>
      </c>
      <c r="L15" s="386">
        <v>4</v>
      </c>
      <c r="M15" s="386">
        <v>5</v>
      </c>
      <c r="N15" s="387">
        <v>1</v>
      </c>
      <c r="O15" s="387">
        <v>2</v>
      </c>
      <c r="P15" s="387">
        <v>3</v>
      </c>
      <c r="Q15" s="387">
        <v>4</v>
      </c>
      <c r="R15" s="388">
        <v>1</v>
      </c>
      <c r="S15" s="388">
        <v>2</v>
      </c>
      <c r="T15" s="388">
        <v>3</v>
      </c>
      <c r="U15" s="388">
        <v>4</v>
      </c>
      <c r="V15" s="388">
        <v>5</v>
      </c>
      <c r="W15" s="389">
        <v>1</v>
      </c>
      <c r="X15" s="389">
        <v>2</v>
      </c>
      <c r="Y15" s="389">
        <v>3</v>
      </c>
      <c r="Z15" s="389">
        <v>4</v>
      </c>
      <c r="AA15" s="385">
        <v>1</v>
      </c>
      <c r="AB15" s="385">
        <v>2</v>
      </c>
      <c r="AC15" s="385">
        <v>3</v>
      </c>
      <c r="AD15" s="385">
        <v>4</v>
      </c>
      <c r="AE15" s="657"/>
    </row>
    <row r="16" spans="2:31" ht="15.75" customHeight="1" x14ac:dyDescent="0.3">
      <c r="B16" s="649">
        <v>1</v>
      </c>
      <c r="C16" s="647" t="s">
        <v>1028</v>
      </c>
      <c r="D16" s="641"/>
      <c r="E16" s="651"/>
      <c r="F16" s="641"/>
      <c r="G16" s="641">
        <v>8</v>
      </c>
      <c r="H16" s="641"/>
      <c r="I16" s="641"/>
      <c r="J16" s="641"/>
      <c r="K16" s="641"/>
      <c r="L16" s="641"/>
      <c r="M16" s="641"/>
      <c r="N16" s="641"/>
      <c r="O16" s="641"/>
      <c r="P16" s="643"/>
      <c r="Q16" s="641"/>
      <c r="R16" s="641"/>
      <c r="S16" s="641"/>
      <c r="T16" s="641"/>
      <c r="U16" s="641"/>
      <c r="V16" s="641"/>
      <c r="W16" s="641"/>
      <c r="X16" s="641"/>
      <c r="Y16" s="641"/>
      <c r="Z16" s="643"/>
      <c r="AA16" s="643"/>
      <c r="AB16" s="641"/>
      <c r="AC16" s="641"/>
      <c r="AD16" s="641"/>
      <c r="AE16" s="641"/>
    </row>
    <row r="17" spans="2:33" ht="15.75" customHeight="1" x14ac:dyDescent="0.3">
      <c r="B17" s="650"/>
      <c r="C17" s="648"/>
      <c r="D17" s="642"/>
      <c r="E17" s="652"/>
      <c r="F17" s="642"/>
      <c r="G17" s="642"/>
      <c r="H17" s="642"/>
      <c r="I17" s="642"/>
      <c r="J17" s="642"/>
      <c r="K17" s="642"/>
      <c r="L17" s="642"/>
      <c r="M17" s="642"/>
      <c r="N17" s="642"/>
      <c r="O17" s="642"/>
      <c r="P17" s="644"/>
      <c r="Q17" s="642"/>
      <c r="R17" s="642"/>
      <c r="S17" s="642"/>
      <c r="T17" s="642"/>
      <c r="U17" s="642"/>
      <c r="V17" s="642"/>
      <c r="W17" s="642"/>
      <c r="X17" s="642"/>
      <c r="Y17" s="642"/>
      <c r="Z17" s="644"/>
      <c r="AA17" s="644"/>
      <c r="AB17" s="642"/>
      <c r="AC17" s="642"/>
      <c r="AD17" s="642"/>
      <c r="AE17" s="642"/>
      <c r="AG17" s="43" t="s">
        <v>37</v>
      </c>
    </row>
    <row r="18" spans="2:33" ht="15.75" customHeight="1" x14ac:dyDescent="0.3">
      <c r="B18" s="649">
        <v>2</v>
      </c>
      <c r="C18" s="647" t="s">
        <v>1029</v>
      </c>
      <c r="D18" s="641"/>
      <c r="E18" s="641"/>
      <c r="F18" s="641"/>
      <c r="G18" s="641"/>
      <c r="H18" s="641">
        <v>4</v>
      </c>
      <c r="I18" s="641"/>
      <c r="J18" s="641">
        <v>4</v>
      </c>
      <c r="K18" s="641"/>
      <c r="L18" s="641"/>
      <c r="M18" s="641"/>
      <c r="N18" s="641"/>
      <c r="O18" s="641"/>
      <c r="P18" s="643"/>
      <c r="Q18" s="641"/>
      <c r="R18" s="641"/>
      <c r="S18" s="641"/>
      <c r="T18" s="641"/>
      <c r="U18" s="641"/>
      <c r="V18" s="641"/>
      <c r="W18" s="641"/>
      <c r="X18" s="641"/>
      <c r="Y18" s="641"/>
      <c r="Z18" s="643"/>
      <c r="AA18" s="643"/>
      <c r="AB18" s="641"/>
      <c r="AC18" s="641"/>
      <c r="AD18" s="641"/>
      <c r="AE18" s="641"/>
    </row>
    <row r="19" spans="2:33" ht="21.5" customHeight="1" x14ac:dyDescent="0.3">
      <c r="B19" s="650"/>
      <c r="C19" s="648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4"/>
      <c r="Q19" s="642"/>
      <c r="R19" s="642"/>
      <c r="S19" s="642"/>
      <c r="T19" s="642"/>
      <c r="U19" s="642"/>
      <c r="V19" s="642"/>
      <c r="W19" s="642"/>
      <c r="X19" s="642"/>
      <c r="Y19" s="642"/>
      <c r="Z19" s="644"/>
      <c r="AA19" s="644"/>
      <c r="AB19" s="642"/>
      <c r="AC19" s="642"/>
      <c r="AD19" s="642"/>
      <c r="AE19" s="642"/>
    </row>
    <row r="20" spans="2:33" ht="15.75" customHeight="1" x14ac:dyDescent="0.3">
      <c r="B20" s="649">
        <v>3</v>
      </c>
      <c r="C20" s="647" t="s">
        <v>1030</v>
      </c>
      <c r="D20" s="641"/>
      <c r="E20" s="641"/>
      <c r="F20" s="641"/>
      <c r="G20" s="641"/>
      <c r="H20" s="641"/>
      <c r="I20" s="641"/>
      <c r="J20" s="641"/>
      <c r="K20" s="641">
        <v>4</v>
      </c>
      <c r="L20" s="641"/>
      <c r="M20" s="641">
        <v>4</v>
      </c>
      <c r="N20" s="641"/>
      <c r="O20" s="641"/>
      <c r="P20" s="643"/>
      <c r="Q20" s="641"/>
      <c r="R20" s="641"/>
      <c r="S20" s="641"/>
      <c r="T20" s="641"/>
      <c r="U20" s="641"/>
      <c r="V20" s="641"/>
      <c r="W20" s="641"/>
      <c r="X20" s="641"/>
      <c r="Y20" s="641"/>
      <c r="Z20" s="643"/>
      <c r="AA20" s="643"/>
      <c r="AB20" s="641"/>
      <c r="AC20" s="641"/>
      <c r="AD20" s="641"/>
      <c r="AE20" s="641"/>
    </row>
    <row r="21" spans="2:33" ht="22" customHeight="1" x14ac:dyDescent="0.3">
      <c r="B21" s="650"/>
      <c r="C21" s="648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4"/>
      <c r="Q21" s="642"/>
      <c r="R21" s="642"/>
      <c r="S21" s="642"/>
      <c r="T21" s="642"/>
      <c r="U21" s="642"/>
      <c r="V21" s="642"/>
      <c r="W21" s="642"/>
      <c r="X21" s="642"/>
      <c r="Y21" s="642"/>
      <c r="Z21" s="644"/>
      <c r="AA21" s="644"/>
      <c r="AB21" s="642"/>
      <c r="AC21" s="642"/>
      <c r="AD21" s="642"/>
      <c r="AE21" s="642"/>
    </row>
    <row r="22" spans="2:33" ht="15.75" customHeight="1" x14ac:dyDescent="0.3">
      <c r="B22" s="645">
        <v>4</v>
      </c>
      <c r="C22" s="670" t="s">
        <v>1031</v>
      </c>
      <c r="D22" s="645"/>
      <c r="E22" s="646"/>
      <c r="F22" s="645"/>
      <c r="G22" s="646"/>
      <c r="H22" s="645"/>
      <c r="I22" s="646"/>
      <c r="J22" s="645"/>
      <c r="K22" s="646"/>
      <c r="L22" s="645"/>
      <c r="M22" s="646"/>
      <c r="N22" s="645">
        <v>4</v>
      </c>
      <c r="O22" s="646">
        <v>4</v>
      </c>
      <c r="P22" s="671"/>
      <c r="Q22" s="646"/>
      <c r="R22" s="645"/>
      <c r="S22" s="646"/>
      <c r="T22" s="645"/>
      <c r="U22" s="646"/>
      <c r="V22" s="645"/>
      <c r="W22" s="646"/>
      <c r="X22" s="645"/>
      <c r="Y22" s="646"/>
      <c r="Z22" s="672"/>
      <c r="AA22" s="673"/>
      <c r="AB22" s="645"/>
      <c r="AC22" s="646"/>
      <c r="AD22" s="645"/>
      <c r="AE22" s="646"/>
    </row>
    <row r="23" spans="2:33" ht="15.75" customHeight="1" x14ac:dyDescent="0.3">
      <c r="B23" s="645"/>
      <c r="C23" s="670"/>
      <c r="D23" s="645"/>
      <c r="E23" s="646"/>
      <c r="F23" s="645"/>
      <c r="G23" s="646"/>
      <c r="H23" s="645"/>
      <c r="I23" s="646"/>
      <c r="J23" s="645"/>
      <c r="K23" s="646"/>
      <c r="L23" s="645"/>
      <c r="M23" s="646"/>
      <c r="N23" s="645"/>
      <c r="O23" s="646"/>
      <c r="P23" s="668"/>
      <c r="Q23" s="646"/>
      <c r="R23" s="645"/>
      <c r="S23" s="646"/>
      <c r="T23" s="645"/>
      <c r="U23" s="646"/>
      <c r="V23" s="645"/>
      <c r="W23" s="646"/>
      <c r="X23" s="645"/>
      <c r="Y23" s="646"/>
      <c r="Z23" s="672"/>
      <c r="AA23" s="673"/>
      <c r="AB23" s="645"/>
      <c r="AC23" s="646"/>
      <c r="AD23" s="645"/>
      <c r="AE23" s="646"/>
    </row>
    <row r="24" spans="2:33" ht="15.75" customHeight="1" x14ac:dyDescent="0.3">
      <c r="B24" s="645"/>
      <c r="C24" s="670"/>
      <c r="D24" s="645"/>
      <c r="E24" s="646"/>
      <c r="F24" s="645"/>
      <c r="G24" s="646"/>
      <c r="H24" s="645"/>
      <c r="I24" s="646"/>
      <c r="J24" s="645"/>
      <c r="K24" s="646"/>
      <c r="L24" s="645"/>
      <c r="M24" s="646"/>
      <c r="N24" s="645"/>
      <c r="O24" s="646"/>
      <c r="P24" s="668"/>
      <c r="Q24" s="646"/>
      <c r="R24" s="645"/>
      <c r="S24" s="646"/>
      <c r="T24" s="645"/>
      <c r="U24" s="646"/>
      <c r="V24" s="645"/>
      <c r="W24" s="646"/>
      <c r="X24" s="645"/>
      <c r="Y24" s="646"/>
      <c r="Z24" s="672"/>
      <c r="AA24" s="673"/>
      <c r="AB24" s="645"/>
      <c r="AC24" s="646"/>
      <c r="AD24" s="645"/>
      <c r="AE24" s="646"/>
    </row>
    <row r="25" spans="2:33" ht="15.75" customHeight="1" x14ac:dyDescent="0.3">
      <c r="B25" s="649">
        <v>5</v>
      </c>
      <c r="C25" s="647" t="s">
        <v>378</v>
      </c>
      <c r="D25" s="645"/>
      <c r="E25" s="646"/>
      <c r="F25" s="645"/>
      <c r="G25" s="646"/>
      <c r="H25" s="645"/>
      <c r="I25" s="646"/>
      <c r="J25" s="645"/>
      <c r="K25" s="646"/>
      <c r="L25" s="645"/>
      <c r="M25" s="646"/>
      <c r="N25" s="645"/>
      <c r="O25" s="646"/>
      <c r="P25" s="668">
        <v>4</v>
      </c>
      <c r="Q25" s="646"/>
      <c r="R25" s="645"/>
      <c r="S25" s="646"/>
      <c r="T25" s="645"/>
      <c r="U25" s="646"/>
      <c r="V25" s="645"/>
      <c r="W25" s="646"/>
      <c r="X25" s="645"/>
      <c r="Y25" s="646"/>
      <c r="Z25" s="672"/>
      <c r="AA25" s="673"/>
      <c r="AB25" s="645"/>
      <c r="AC25" s="646"/>
      <c r="AD25" s="645"/>
      <c r="AE25" s="646"/>
    </row>
    <row r="26" spans="2:33" ht="17.5" customHeight="1" x14ac:dyDescent="0.3">
      <c r="B26" s="650"/>
      <c r="C26" s="648"/>
      <c r="D26" s="645"/>
      <c r="E26" s="646"/>
      <c r="F26" s="645"/>
      <c r="G26" s="646"/>
      <c r="H26" s="645"/>
      <c r="I26" s="646"/>
      <c r="J26" s="645"/>
      <c r="K26" s="646"/>
      <c r="L26" s="645"/>
      <c r="M26" s="646"/>
      <c r="N26" s="645"/>
      <c r="O26" s="646"/>
      <c r="P26" s="669"/>
      <c r="Q26" s="646"/>
      <c r="R26" s="645"/>
      <c r="S26" s="646"/>
      <c r="T26" s="645"/>
      <c r="U26" s="646"/>
      <c r="V26" s="645"/>
      <c r="W26" s="646"/>
      <c r="X26" s="645"/>
      <c r="Y26" s="646"/>
      <c r="Z26" s="672"/>
      <c r="AA26" s="673"/>
      <c r="AB26" s="645"/>
      <c r="AC26" s="646"/>
      <c r="AD26" s="645"/>
      <c r="AE26" s="646"/>
    </row>
    <row r="27" spans="2:33" ht="15.75" customHeight="1" x14ac:dyDescent="0.3">
      <c r="B27" s="649">
        <v>6</v>
      </c>
      <c r="C27" s="647" t="s">
        <v>1032</v>
      </c>
      <c r="D27" s="641"/>
      <c r="E27" s="641"/>
      <c r="F27" s="641"/>
      <c r="G27" s="641"/>
      <c r="H27" s="641"/>
      <c r="I27" s="641"/>
      <c r="J27" s="641"/>
      <c r="K27" s="641"/>
      <c r="L27" s="641"/>
      <c r="M27" s="641"/>
      <c r="N27" s="641"/>
      <c r="O27" s="641"/>
      <c r="P27" s="643"/>
      <c r="Q27" s="641">
        <v>4</v>
      </c>
      <c r="R27" s="641">
        <v>4</v>
      </c>
      <c r="S27" s="641"/>
      <c r="T27" s="641"/>
      <c r="U27" s="641"/>
      <c r="V27" s="641"/>
      <c r="W27" s="641"/>
      <c r="X27" s="641"/>
      <c r="Y27" s="641"/>
      <c r="Z27" s="643"/>
      <c r="AA27" s="643"/>
      <c r="AB27" s="641"/>
      <c r="AC27" s="641"/>
      <c r="AD27" s="641"/>
      <c r="AE27" s="641"/>
    </row>
    <row r="28" spans="2:33" ht="19" customHeight="1" x14ac:dyDescent="0.3">
      <c r="B28" s="650"/>
      <c r="C28" s="648"/>
      <c r="D28" s="642"/>
      <c r="E28" s="642"/>
      <c r="F28" s="642"/>
      <c r="G28" s="642"/>
      <c r="H28" s="642"/>
      <c r="I28" s="642"/>
      <c r="J28" s="642"/>
      <c r="K28" s="642"/>
      <c r="L28" s="642"/>
      <c r="M28" s="642"/>
      <c r="N28" s="642"/>
      <c r="O28" s="642"/>
      <c r="P28" s="644"/>
      <c r="Q28" s="642"/>
      <c r="R28" s="642"/>
      <c r="S28" s="642"/>
      <c r="T28" s="642"/>
      <c r="U28" s="642"/>
      <c r="V28" s="642"/>
      <c r="W28" s="642"/>
      <c r="X28" s="642"/>
      <c r="Y28" s="642"/>
      <c r="Z28" s="644"/>
      <c r="AA28" s="644"/>
      <c r="AB28" s="642"/>
      <c r="AC28" s="642"/>
      <c r="AD28" s="642"/>
      <c r="AE28" s="642"/>
    </row>
    <row r="29" spans="2:33" ht="15.75" customHeight="1" x14ac:dyDescent="0.3">
      <c r="B29" s="649">
        <v>7</v>
      </c>
      <c r="C29" s="647" t="s">
        <v>1033</v>
      </c>
      <c r="D29" s="641"/>
      <c r="E29" s="641"/>
      <c r="F29" s="641"/>
      <c r="G29" s="641"/>
      <c r="H29" s="641"/>
      <c r="I29" s="641"/>
      <c r="J29" s="641"/>
      <c r="K29" s="641"/>
      <c r="L29" s="641"/>
      <c r="M29" s="641"/>
      <c r="N29" s="641"/>
      <c r="O29" s="641"/>
      <c r="P29" s="643"/>
      <c r="Q29" s="641"/>
      <c r="R29" s="641"/>
      <c r="S29" s="641">
        <v>4</v>
      </c>
      <c r="T29" s="641">
        <v>4</v>
      </c>
      <c r="U29" s="641"/>
      <c r="V29" s="641"/>
      <c r="W29" s="641"/>
      <c r="X29" s="641"/>
      <c r="Y29" s="641"/>
      <c r="Z29" s="643"/>
      <c r="AA29" s="643"/>
      <c r="AB29" s="641"/>
      <c r="AC29" s="641"/>
      <c r="AD29" s="641"/>
      <c r="AE29" s="641"/>
    </row>
    <row r="30" spans="2:33" ht="22.5" customHeight="1" x14ac:dyDescent="0.3">
      <c r="B30" s="650"/>
      <c r="C30" s="648"/>
      <c r="D30" s="642"/>
      <c r="E30" s="642"/>
      <c r="F30" s="642"/>
      <c r="G30" s="642"/>
      <c r="H30" s="642"/>
      <c r="I30" s="642"/>
      <c r="J30" s="642"/>
      <c r="K30" s="642"/>
      <c r="L30" s="642"/>
      <c r="M30" s="642"/>
      <c r="N30" s="642"/>
      <c r="O30" s="642"/>
      <c r="P30" s="644"/>
      <c r="Q30" s="642"/>
      <c r="R30" s="642"/>
      <c r="S30" s="642"/>
      <c r="T30" s="642"/>
      <c r="U30" s="642"/>
      <c r="V30" s="642"/>
      <c r="W30" s="642"/>
      <c r="X30" s="642"/>
      <c r="Y30" s="642"/>
      <c r="Z30" s="644"/>
      <c r="AA30" s="644"/>
      <c r="AB30" s="642"/>
      <c r="AC30" s="642"/>
      <c r="AD30" s="642"/>
      <c r="AE30" s="642"/>
    </row>
    <row r="31" spans="2:33" ht="15.75" customHeight="1" x14ac:dyDescent="0.3">
      <c r="B31" s="649">
        <v>8</v>
      </c>
      <c r="C31" s="647" t="s">
        <v>1034</v>
      </c>
      <c r="D31" s="641"/>
      <c r="E31" s="641"/>
      <c r="F31" s="641"/>
      <c r="G31" s="641"/>
      <c r="H31" s="641"/>
      <c r="I31" s="641"/>
      <c r="J31" s="641"/>
      <c r="K31" s="641"/>
      <c r="L31" s="641"/>
      <c r="M31" s="641"/>
      <c r="N31" s="641"/>
      <c r="O31" s="641"/>
      <c r="P31" s="643"/>
      <c r="Q31" s="641"/>
      <c r="R31" s="641"/>
      <c r="S31" s="641"/>
      <c r="T31" s="641"/>
      <c r="U31" s="641">
        <v>5</v>
      </c>
      <c r="V31" s="641">
        <v>5</v>
      </c>
      <c r="W31" s="641"/>
      <c r="X31" s="641"/>
      <c r="Y31" s="641"/>
      <c r="Z31" s="643"/>
      <c r="AA31" s="643"/>
      <c r="AB31" s="641"/>
      <c r="AC31" s="641"/>
      <c r="AD31" s="641"/>
      <c r="AE31" s="641"/>
    </row>
    <row r="32" spans="2:33" ht="15.75" customHeight="1" x14ac:dyDescent="0.3">
      <c r="B32" s="650"/>
      <c r="C32" s="648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42"/>
      <c r="P32" s="644"/>
      <c r="Q32" s="642"/>
      <c r="R32" s="642"/>
      <c r="S32" s="642"/>
      <c r="T32" s="642"/>
      <c r="U32" s="642"/>
      <c r="V32" s="642"/>
      <c r="W32" s="642"/>
      <c r="X32" s="642"/>
      <c r="Y32" s="642"/>
      <c r="Z32" s="644"/>
      <c r="AA32" s="644"/>
      <c r="AB32" s="642"/>
      <c r="AC32" s="642"/>
      <c r="AD32" s="642"/>
      <c r="AE32" s="642"/>
    </row>
    <row r="33" spans="2:31" ht="15.75" customHeight="1" x14ac:dyDescent="0.3">
      <c r="B33" s="649">
        <v>9</v>
      </c>
      <c r="C33" s="674" t="s">
        <v>1035</v>
      </c>
      <c r="D33" s="641"/>
      <c r="E33" s="641"/>
      <c r="F33" s="641"/>
      <c r="G33" s="641"/>
      <c r="H33" s="641"/>
      <c r="I33" s="641"/>
      <c r="J33" s="641"/>
      <c r="K33" s="641"/>
      <c r="L33" s="641"/>
      <c r="M33" s="641"/>
      <c r="N33" s="641"/>
      <c r="O33" s="641"/>
      <c r="P33" s="643"/>
      <c r="Q33" s="641"/>
      <c r="R33" s="641"/>
      <c r="S33" s="641"/>
      <c r="T33" s="641"/>
      <c r="U33" s="641"/>
      <c r="V33" s="641"/>
      <c r="W33" s="641"/>
      <c r="X33" s="641">
        <v>5</v>
      </c>
      <c r="Y33" s="641">
        <v>5</v>
      </c>
      <c r="Z33" s="643"/>
      <c r="AA33" s="643"/>
      <c r="AB33" s="641"/>
      <c r="AC33" s="641"/>
      <c r="AD33" s="641"/>
      <c r="AE33" s="641"/>
    </row>
    <row r="34" spans="2:31" ht="15.75" customHeight="1" x14ac:dyDescent="0.3">
      <c r="B34" s="650"/>
      <c r="C34" s="675"/>
      <c r="D34" s="642"/>
      <c r="E34" s="642"/>
      <c r="F34" s="642"/>
      <c r="G34" s="642"/>
      <c r="H34" s="642"/>
      <c r="I34" s="642"/>
      <c r="J34" s="642"/>
      <c r="K34" s="642"/>
      <c r="L34" s="642"/>
      <c r="M34" s="642"/>
      <c r="N34" s="642"/>
      <c r="O34" s="642"/>
      <c r="P34" s="644"/>
      <c r="Q34" s="642"/>
      <c r="R34" s="642"/>
      <c r="S34" s="642"/>
      <c r="T34" s="642"/>
      <c r="U34" s="642"/>
      <c r="V34" s="642"/>
      <c r="W34" s="642"/>
      <c r="X34" s="642"/>
      <c r="Y34" s="642"/>
      <c r="Z34" s="644"/>
      <c r="AA34" s="644"/>
      <c r="AB34" s="642"/>
      <c r="AC34" s="642"/>
      <c r="AD34" s="642"/>
      <c r="AE34" s="642"/>
    </row>
    <row r="35" spans="2:31" ht="15.75" customHeight="1" x14ac:dyDescent="0.3">
      <c r="B35" s="649">
        <v>10</v>
      </c>
      <c r="C35" s="639" t="s">
        <v>1036</v>
      </c>
      <c r="D35" s="641"/>
      <c r="E35" s="641"/>
      <c r="F35" s="641"/>
      <c r="G35" s="641"/>
      <c r="H35" s="641"/>
      <c r="I35" s="641"/>
      <c r="J35" s="641"/>
      <c r="K35" s="641"/>
      <c r="L35" s="641"/>
      <c r="M35" s="641"/>
      <c r="N35" s="641"/>
      <c r="O35" s="641"/>
      <c r="P35" s="643"/>
      <c r="Q35" s="641"/>
      <c r="R35" s="641"/>
      <c r="S35" s="641"/>
      <c r="T35" s="641"/>
      <c r="U35" s="641"/>
      <c r="V35" s="641"/>
      <c r="W35" s="641"/>
      <c r="X35" s="641"/>
      <c r="Y35" s="641"/>
      <c r="Z35" s="643">
        <v>4</v>
      </c>
      <c r="AA35" s="643"/>
      <c r="AB35" s="641"/>
      <c r="AC35" s="641"/>
      <c r="AD35" s="641"/>
      <c r="AE35" s="641"/>
    </row>
    <row r="36" spans="2:31" ht="15.75" customHeight="1" x14ac:dyDescent="0.3">
      <c r="B36" s="650"/>
      <c r="C36" s="640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4"/>
      <c r="Q36" s="642"/>
      <c r="R36" s="642"/>
      <c r="S36" s="642"/>
      <c r="T36" s="642"/>
      <c r="U36" s="642"/>
      <c r="V36" s="642"/>
      <c r="W36" s="642"/>
      <c r="X36" s="642"/>
      <c r="Y36" s="642"/>
      <c r="Z36" s="644"/>
      <c r="AA36" s="644"/>
      <c r="AB36" s="642"/>
      <c r="AC36" s="642"/>
      <c r="AD36" s="642"/>
      <c r="AE36" s="642"/>
    </row>
    <row r="37" spans="2:31" ht="15.75" customHeight="1" x14ac:dyDescent="0.3">
      <c r="B37" s="649">
        <v>11</v>
      </c>
      <c r="C37" s="639" t="s">
        <v>29</v>
      </c>
      <c r="D37" s="641"/>
      <c r="E37" s="641"/>
      <c r="F37" s="641"/>
      <c r="G37" s="641">
        <f>SUM(G16:G36)</f>
        <v>8</v>
      </c>
      <c r="H37" s="641">
        <f>SUM(H18:H36)</f>
        <v>4</v>
      </c>
      <c r="I37" s="641">
        <f t="shared" ref="I37:Q37" si="0">SUM(I18:I36)</f>
        <v>0</v>
      </c>
      <c r="J37" s="641">
        <f t="shared" si="0"/>
        <v>4</v>
      </c>
      <c r="K37" s="641">
        <f t="shared" si="0"/>
        <v>4</v>
      </c>
      <c r="L37" s="641">
        <f t="shared" si="0"/>
        <v>0</v>
      </c>
      <c r="M37" s="641">
        <f t="shared" si="0"/>
        <v>4</v>
      </c>
      <c r="N37" s="641">
        <f t="shared" si="0"/>
        <v>4</v>
      </c>
      <c r="O37" s="641">
        <f t="shared" si="0"/>
        <v>4</v>
      </c>
      <c r="P37" s="641">
        <f t="shared" si="0"/>
        <v>4</v>
      </c>
      <c r="Q37" s="641">
        <f t="shared" si="0"/>
        <v>4</v>
      </c>
      <c r="R37" s="641">
        <f t="shared" ref="R37" si="1">SUM(R18:R36)</f>
        <v>4</v>
      </c>
      <c r="S37" s="641">
        <f t="shared" ref="S37" si="2">SUM(S18:S36)</f>
        <v>4</v>
      </c>
      <c r="T37" s="641">
        <f t="shared" ref="T37" si="3">SUM(T18:T36)</f>
        <v>4</v>
      </c>
      <c r="U37" s="641">
        <f t="shared" ref="U37" si="4">SUM(U18:U36)</f>
        <v>5</v>
      </c>
      <c r="V37" s="641">
        <f t="shared" ref="V37" si="5">SUM(V18:V36)</f>
        <v>5</v>
      </c>
      <c r="W37" s="641">
        <f t="shared" ref="W37" si="6">SUM(W18:W36)</f>
        <v>0</v>
      </c>
      <c r="X37" s="641">
        <f t="shared" ref="X37:Z37" si="7">SUM(X18:X36)</f>
        <v>5</v>
      </c>
      <c r="Y37" s="641">
        <f t="shared" si="7"/>
        <v>5</v>
      </c>
      <c r="Z37" s="641">
        <f t="shared" si="7"/>
        <v>4</v>
      </c>
      <c r="AA37" s="643"/>
      <c r="AB37" s="641"/>
      <c r="AC37" s="641"/>
      <c r="AD37" s="641"/>
      <c r="AE37" s="641">
        <f>SUM(G37:AD38)</f>
        <v>76</v>
      </c>
    </row>
    <row r="38" spans="2:31" ht="15.75" customHeight="1" x14ac:dyDescent="0.3">
      <c r="B38" s="650"/>
      <c r="C38" s="640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644"/>
      <c r="AB38" s="642"/>
      <c r="AC38" s="642"/>
      <c r="AD38" s="642"/>
      <c r="AE38" s="642"/>
    </row>
    <row r="40" spans="2:31" ht="15.75" customHeight="1" x14ac:dyDescent="0.3">
      <c r="C40" s="44" t="s">
        <v>34</v>
      </c>
      <c r="D40" s="44" t="s">
        <v>687</v>
      </c>
      <c r="P40" s="44" t="s">
        <v>995</v>
      </c>
      <c r="Z40" s="43" t="s">
        <v>43</v>
      </c>
    </row>
    <row r="41" spans="2:31" ht="15.75" customHeight="1" x14ac:dyDescent="0.3">
      <c r="C41" s="44" t="s">
        <v>144</v>
      </c>
    </row>
    <row r="44" spans="2:31" ht="15.75" customHeight="1" x14ac:dyDescent="0.3">
      <c r="C44" s="44" t="str">
        <f>'PROTA (4)'!B86</f>
        <v>Widada, S.Pd., M.Pd.</v>
      </c>
      <c r="D44" s="53" t="str">
        <f>'PROTA (4)'!D86</f>
        <v>Gunawan S Pd., M Pd</v>
      </c>
      <c r="P44" s="49" t="str">
        <f>'PROTA (4)'!B79</f>
        <v>Taufiq Afandi, S.Pd</v>
      </c>
      <c r="Z44" s="43" t="str">
        <f>'PROTA (4)'!D79</f>
        <v>Jumari, S.Pd.T., M.Eng</v>
      </c>
    </row>
    <row r="45" spans="2:31" ht="15.75" customHeight="1" x14ac:dyDescent="0.3">
      <c r="C45" s="44" t="str">
        <f>'PROTA (4)'!B87</f>
        <v>NIP. 196902122000121002</v>
      </c>
      <c r="D45" s="53" t="str">
        <f>'PROTA (4)'!D87</f>
        <v>NIP. 197112132005011004</v>
      </c>
      <c r="P45" s="49" t="str">
        <f>'PROTA (4)'!B80</f>
        <v>NIP. 197505112006041004</v>
      </c>
      <c r="Z45" s="43" t="str">
        <f>'PROTA (4)'!D80</f>
        <v>NIP. 198311152024211006</v>
      </c>
    </row>
    <row r="48" spans="2:31" ht="15.75" customHeight="1" x14ac:dyDescent="0.3">
      <c r="B48" s="621" t="s">
        <v>120</v>
      </c>
      <c r="C48" s="621"/>
      <c r="D48" s="621"/>
      <c r="E48" s="621"/>
      <c r="F48" s="621"/>
      <c r="G48" s="621"/>
      <c r="H48" s="621"/>
      <c r="I48" s="621"/>
      <c r="J48" s="621"/>
      <c r="K48" s="621"/>
      <c r="L48" s="621"/>
      <c r="M48" s="621"/>
      <c r="N48" s="621"/>
      <c r="O48" s="621"/>
      <c r="P48" s="621"/>
      <c r="Q48" s="621"/>
      <c r="R48" s="621"/>
      <c r="S48" s="621"/>
      <c r="T48" s="621"/>
      <c r="U48" s="621"/>
      <c r="V48" s="621"/>
      <c r="W48" s="621"/>
      <c r="X48" s="621"/>
      <c r="Y48" s="621"/>
      <c r="Z48" s="621"/>
      <c r="AA48" s="621"/>
      <c r="AB48" s="621"/>
      <c r="AC48" s="621"/>
      <c r="AD48" s="621"/>
      <c r="AE48" s="621"/>
    </row>
    <row r="49" spans="2:31" ht="15.75" customHeight="1" x14ac:dyDescent="0.3"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</row>
    <row r="50" spans="2:31" ht="15.75" customHeight="1" x14ac:dyDescent="0.3">
      <c r="B50" s="171"/>
      <c r="C50" s="44" t="s">
        <v>661</v>
      </c>
      <c r="D50" s="52"/>
      <c r="E50" s="44" t="s">
        <v>776</v>
      </c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</row>
    <row r="51" spans="2:31" ht="15.75" customHeight="1" x14ac:dyDescent="0.3">
      <c r="B51" s="171"/>
      <c r="C51" s="44" t="s">
        <v>663</v>
      </c>
      <c r="D51" s="52"/>
      <c r="E51" s="44" t="s">
        <v>772</v>
      </c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</row>
    <row r="52" spans="2:31" ht="15.75" customHeight="1" x14ac:dyDescent="0.3">
      <c r="B52" s="171"/>
      <c r="C52" s="44" t="s">
        <v>40</v>
      </c>
      <c r="D52" s="44"/>
      <c r="E52" s="44" t="str">
        <f>E7</f>
        <v>: Pemrograman Sistem Embeded</v>
      </c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</row>
    <row r="53" spans="2:31" ht="15.75" customHeight="1" x14ac:dyDescent="0.3">
      <c r="C53" s="44" t="s">
        <v>662</v>
      </c>
      <c r="D53" s="52"/>
      <c r="E53" s="43" t="s">
        <v>773</v>
      </c>
    </row>
    <row r="54" spans="2:31" ht="15.75" customHeight="1" x14ac:dyDescent="0.3">
      <c r="C54" s="44" t="s">
        <v>41</v>
      </c>
      <c r="D54" s="52"/>
      <c r="E54" s="44" t="s">
        <v>775</v>
      </c>
      <c r="O54" s="44"/>
      <c r="P54" s="44"/>
      <c r="V54" s="44"/>
    </row>
    <row r="55" spans="2:31" ht="15.75" customHeight="1" x14ac:dyDescent="0.3">
      <c r="C55" s="44" t="s">
        <v>111</v>
      </c>
      <c r="D55" s="52"/>
      <c r="E55" s="44" t="s">
        <v>994</v>
      </c>
      <c r="I55" s="44"/>
      <c r="P55" s="44"/>
      <c r="AE55" s="43" t="s">
        <v>37</v>
      </c>
    </row>
    <row r="56" spans="2:31" ht="15.75" customHeight="1" x14ac:dyDescent="0.3">
      <c r="C56" s="44" t="s">
        <v>42</v>
      </c>
      <c r="D56" s="52"/>
      <c r="E56" s="44" t="s">
        <v>990</v>
      </c>
    </row>
    <row r="57" spans="2:31" ht="15.75" customHeight="1" x14ac:dyDescent="0.3">
      <c r="D57" s="175"/>
    </row>
    <row r="58" spans="2:31" ht="15.75" customHeight="1" x14ac:dyDescent="0.3">
      <c r="B58" s="654" t="s">
        <v>5</v>
      </c>
      <c r="C58" s="656" t="s">
        <v>688</v>
      </c>
      <c r="D58" s="656" t="s">
        <v>121</v>
      </c>
      <c r="E58" s="658" t="s">
        <v>113</v>
      </c>
      <c r="F58" s="658"/>
      <c r="G58" s="658"/>
      <c r="H58" s="658"/>
      <c r="I58" s="658"/>
      <c r="J58" s="658"/>
      <c r="K58" s="658"/>
      <c r="L58" s="658"/>
      <c r="M58" s="658"/>
      <c r="N58" s="658"/>
      <c r="O58" s="658"/>
      <c r="P58" s="658"/>
      <c r="Q58" s="658"/>
      <c r="R58" s="658"/>
      <c r="S58" s="658"/>
      <c r="T58" s="658"/>
      <c r="U58" s="658"/>
      <c r="V58" s="658"/>
      <c r="W58" s="658"/>
      <c r="X58" s="658"/>
      <c r="Y58" s="658"/>
      <c r="Z58" s="658"/>
      <c r="AA58" s="658"/>
      <c r="AB58" s="658"/>
      <c r="AC58" s="658"/>
      <c r="AD58" s="658"/>
      <c r="AE58" s="656" t="s">
        <v>335</v>
      </c>
    </row>
    <row r="59" spans="2:31" ht="15.75" customHeight="1" x14ac:dyDescent="0.3">
      <c r="B59" s="654"/>
      <c r="C59" s="657"/>
      <c r="D59" s="657"/>
      <c r="E59" s="659" t="s">
        <v>996</v>
      </c>
      <c r="F59" s="659"/>
      <c r="G59" s="659"/>
      <c r="H59" s="659"/>
      <c r="I59" s="660" t="s">
        <v>997</v>
      </c>
      <c r="J59" s="660"/>
      <c r="K59" s="660"/>
      <c r="L59" s="660"/>
      <c r="M59" s="660"/>
      <c r="N59" s="661" t="s">
        <v>998</v>
      </c>
      <c r="O59" s="661"/>
      <c r="P59" s="661"/>
      <c r="Q59" s="661"/>
      <c r="R59" s="662" t="s">
        <v>999</v>
      </c>
      <c r="S59" s="663"/>
      <c r="T59" s="663"/>
      <c r="U59" s="663"/>
      <c r="V59" s="664"/>
      <c r="W59" s="665" t="s">
        <v>14</v>
      </c>
      <c r="X59" s="666"/>
      <c r="Y59" s="666"/>
      <c r="Z59" s="667"/>
      <c r="AA59" s="659" t="s">
        <v>1000</v>
      </c>
      <c r="AB59" s="659"/>
      <c r="AC59" s="659"/>
      <c r="AD59" s="659"/>
      <c r="AE59" s="657"/>
    </row>
    <row r="60" spans="2:31" ht="15.75" customHeight="1" x14ac:dyDescent="0.3">
      <c r="B60" s="655"/>
      <c r="C60" s="657"/>
      <c r="D60" s="657"/>
      <c r="E60" s="385">
        <v>1</v>
      </c>
      <c r="F60" s="385">
        <v>2</v>
      </c>
      <c r="G60" s="385">
        <v>3</v>
      </c>
      <c r="H60" s="385">
        <v>4</v>
      </c>
      <c r="I60" s="386">
        <v>1</v>
      </c>
      <c r="J60" s="386">
        <v>2</v>
      </c>
      <c r="K60" s="386">
        <v>3</v>
      </c>
      <c r="L60" s="386">
        <v>4</v>
      </c>
      <c r="M60" s="386">
        <v>5</v>
      </c>
      <c r="N60" s="387">
        <v>1</v>
      </c>
      <c r="O60" s="387">
        <v>2</v>
      </c>
      <c r="P60" s="387">
        <v>3</v>
      </c>
      <c r="Q60" s="387">
        <v>4</v>
      </c>
      <c r="R60" s="388">
        <v>1</v>
      </c>
      <c r="S60" s="388">
        <v>2</v>
      </c>
      <c r="T60" s="388">
        <v>3</v>
      </c>
      <c r="U60" s="388">
        <v>4</v>
      </c>
      <c r="V60" s="388">
        <v>5</v>
      </c>
      <c r="W60" s="389">
        <v>1</v>
      </c>
      <c r="X60" s="389">
        <v>2</v>
      </c>
      <c r="Y60" s="389">
        <v>3</v>
      </c>
      <c r="Z60" s="389">
        <v>4</v>
      </c>
      <c r="AA60" s="385">
        <v>1</v>
      </c>
      <c r="AB60" s="385">
        <v>2</v>
      </c>
      <c r="AC60" s="385">
        <v>3</v>
      </c>
      <c r="AD60" s="385">
        <v>4</v>
      </c>
      <c r="AE60" s="657"/>
    </row>
    <row r="61" spans="2:31" ht="15.75" customHeight="1" x14ac:dyDescent="0.3">
      <c r="B61" s="649">
        <v>1</v>
      </c>
      <c r="C61" s="639" t="s">
        <v>828</v>
      </c>
      <c r="D61" s="641">
        <v>4</v>
      </c>
      <c r="E61" s="651">
        <v>4</v>
      </c>
      <c r="F61" s="641"/>
      <c r="G61" s="641"/>
      <c r="H61" s="641"/>
      <c r="I61" s="641"/>
      <c r="J61" s="641"/>
      <c r="K61" s="641"/>
      <c r="L61" s="641"/>
      <c r="M61" s="641"/>
      <c r="N61" s="641"/>
      <c r="O61" s="641"/>
      <c r="P61" s="643"/>
      <c r="Q61" s="641"/>
      <c r="R61" s="641"/>
      <c r="S61" s="641"/>
      <c r="T61" s="641"/>
      <c r="U61" s="641"/>
      <c r="V61" s="641"/>
      <c r="W61" s="641"/>
      <c r="X61" s="641"/>
      <c r="Y61" s="641"/>
      <c r="Z61" s="643"/>
      <c r="AA61" s="643"/>
      <c r="AB61" s="641"/>
      <c r="AC61" s="641"/>
      <c r="AD61" s="641"/>
      <c r="AE61" s="641"/>
    </row>
    <row r="62" spans="2:31" ht="15.75" customHeight="1" x14ac:dyDescent="0.3">
      <c r="B62" s="650"/>
      <c r="C62" s="640"/>
      <c r="D62" s="642"/>
      <c r="E62" s="652"/>
      <c r="F62" s="642"/>
      <c r="G62" s="642"/>
      <c r="H62" s="642"/>
      <c r="I62" s="642"/>
      <c r="J62" s="642"/>
      <c r="K62" s="642"/>
      <c r="L62" s="642"/>
      <c r="M62" s="642"/>
      <c r="N62" s="642"/>
      <c r="O62" s="642"/>
      <c r="P62" s="644"/>
      <c r="Q62" s="642"/>
      <c r="R62" s="642"/>
      <c r="S62" s="642"/>
      <c r="T62" s="642"/>
      <c r="U62" s="642"/>
      <c r="V62" s="642"/>
      <c r="W62" s="642"/>
      <c r="X62" s="642"/>
      <c r="Y62" s="642"/>
      <c r="Z62" s="644"/>
      <c r="AA62" s="644"/>
      <c r="AB62" s="642"/>
      <c r="AC62" s="642"/>
      <c r="AD62" s="642"/>
      <c r="AE62" s="642"/>
    </row>
    <row r="63" spans="2:31" ht="15.75" customHeight="1" x14ac:dyDescent="0.3">
      <c r="B63" s="649">
        <v>2</v>
      </c>
      <c r="C63" s="639" t="s">
        <v>829</v>
      </c>
      <c r="D63" s="641">
        <v>8</v>
      </c>
      <c r="E63" s="641"/>
      <c r="F63" s="641">
        <v>4</v>
      </c>
      <c r="G63" s="641">
        <v>4</v>
      </c>
      <c r="H63" s="641"/>
      <c r="I63" s="641"/>
      <c r="J63" s="641"/>
      <c r="K63" s="641"/>
      <c r="L63" s="641"/>
      <c r="M63" s="641"/>
      <c r="N63" s="641"/>
      <c r="O63" s="641"/>
      <c r="P63" s="643"/>
      <c r="Q63" s="641"/>
      <c r="R63" s="641"/>
      <c r="S63" s="641"/>
      <c r="T63" s="641"/>
      <c r="U63" s="641"/>
      <c r="V63" s="641"/>
      <c r="W63" s="641"/>
      <c r="X63" s="641"/>
      <c r="Y63" s="641"/>
      <c r="Z63" s="643"/>
      <c r="AA63" s="643"/>
      <c r="AB63" s="641"/>
      <c r="AC63" s="641"/>
      <c r="AD63" s="641"/>
      <c r="AE63" s="641"/>
    </row>
    <row r="64" spans="2:31" ht="15.75" customHeight="1" x14ac:dyDescent="0.3">
      <c r="B64" s="650"/>
      <c r="C64" s="640"/>
      <c r="D64" s="642"/>
      <c r="E64" s="642"/>
      <c r="F64" s="642"/>
      <c r="G64" s="642"/>
      <c r="H64" s="642"/>
      <c r="I64" s="642"/>
      <c r="J64" s="642"/>
      <c r="K64" s="642"/>
      <c r="L64" s="642"/>
      <c r="M64" s="642"/>
      <c r="N64" s="642"/>
      <c r="O64" s="642"/>
      <c r="P64" s="644"/>
      <c r="Q64" s="642"/>
      <c r="R64" s="642"/>
      <c r="S64" s="642"/>
      <c r="T64" s="642"/>
      <c r="U64" s="642"/>
      <c r="V64" s="642"/>
      <c r="W64" s="642"/>
      <c r="X64" s="642"/>
      <c r="Y64" s="642"/>
      <c r="Z64" s="644"/>
      <c r="AA64" s="644"/>
      <c r="AB64" s="642"/>
      <c r="AC64" s="642"/>
      <c r="AD64" s="642"/>
      <c r="AE64" s="642"/>
    </row>
    <row r="65" spans="2:31" ht="15.75" customHeight="1" x14ac:dyDescent="0.3">
      <c r="B65" s="649">
        <v>3</v>
      </c>
      <c r="C65" s="639" t="s">
        <v>830</v>
      </c>
      <c r="D65" s="641">
        <v>4</v>
      </c>
      <c r="E65" s="641"/>
      <c r="F65" s="641"/>
      <c r="G65" s="641"/>
      <c r="H65" s="641">
        <v>4</v>
      </c>
      <c r="I65" s="641"/>
      <c r="J65" s="641"/>
      <c r="K65" s="641"/>
      <c r="L65" s="641"/>
      <c r="M65" s="641"/>
      <c r="N65" s="641"/>
      <c r="O65" s="641"/>
      <c r="P65" s="643"/>
      <c r="Q65" s="641"/>
      <c r="R65" s="641"/>
      <c r="S65" s="641"/>
      <c r="T65" s="641"/>
      <c r="U65" s="641"/>
      <c r="V65" s="641"/>
      <c r="W65" s="641"/>
      <c r="X65" s="641"/>
      <c r="Y65" s="641"/>
      <c r="Z65" s="643"/>
      <c r="AA65" s="643"/>
      <c r="AB65" s="641"/>
      <c r="AC65" s="641"/>
      <c r="AD65" s="641"/>
      <c r="AE65" s="641"/>
    </row>
    <row r="66" spans="2:31" ht="15.75" customHeight="1" x14ac:dyDescent="0.3">
      <c r="B66" s="650"/>
      <c r="C66" s="640"/>
      <c r="D66" s="642"/>
      <c r="E66" s="642"/>
      <c r="F66" s="642"/>
      <c r="G66" s="642"/>
      <c r="H66" s="642"/>
      <c r="I66" s="642"/>
      <c r="J66" s="642"/>
      <c r="K66" s="642"/>
      <c r="L66" s="642"/>
      <c r="M66" s="642"/>
      <c r="N66" s="642"/>
      <c r="O66" s="642"/>
      <c r="P66" s="644"/>
      <c r="Q66" s="642"/>
      <c r="R66" s="642"/>
      <c r="S66" s="642"/>
      <c r="T66" s="642"/>
      <c r="U66" s="642"/>
      <c r="V66" s="642"/>
      <c r="W66" s="642"/>
      <c r="X66" s="642"/>
      <c r="Y66" s="642"/>
      <c r="Z66" s="644"/>
      <c r="AA66" s="644"/>
      <c r="AB66" s="642"/>
      <c r="AC66" s="642"/>
      <c r="AD66" s="642"/>
      <c r="AE66" s="642"/>
    </row>
    <row r="67" spans="2:31" ht="15.75" customHeight="1" x14ac:dyDescent="0.3">
      <c r="B67" s="645">
        <v>4</v>
      </c>
      <c r="C67" s="676" t="s">
        <v>831</v>
      </c>
      <c r="D67" s="645">
        <v>8</v>
      </c>
      <c r="E67" s="646"/>
      <c r="F67" s="645"/>
      <c r="G67" s="646"/>
      <c r="H67" s="645"/>
      <c r="I67" s="646">
        <v>4</v>
      </c>
      <c r="J67" s="645">
        <v>2</v>
      </c>
      <c r="K67" s="646"/>
      <c r="L67" s="645"/>
      <c r="M67" s="646"/>
      <c r="N67" s="645"/>
      <c r="O67" s="646"/>
      <c r="P67" s="671"/>
      <c r="Q67" s="646"/>
      <c r="R67" s="645"/>
      <c r="S67" s="646"/>
      <c r="T67" s="645"/>
      <c r="U67" s="646"/>
      <c r="V67" s="645"/>
      <c r="W67" s="646"/>
      <c r="X67" s="645"/>
      <c r="Y67" s="646"/>
      <c r="Z67" s="672"/>
      <c r="AA67" s="673"/>
      <c r="AB67" s="645"/>
      <c r="AC67" s="646"/>
      <c r="AD67" s="645"/>
      <c r="AE67" s="646"/>
    </row>
    <row r="68" spans="2:31" ht="15.75" customHeight="1" x14ac:dyDescent="0.3">
      <c r="B68" s="645"/>
      <c r="C68" s="676"/>
      <c r="D68" s="645"/>
      <c r="E68" s="646"/>
      <c r="F68" s="645"/>
      <c r="G68" s="646"/>
      <c r="H68" s="645"/>
      <c r="I68" s="646"/>
      <c r="J68" s="645"/>
      <c r="K68" s="646"/>
      <c r="L68" s="645"/>
      <c r="M68" s="646"/>
      <c r="N68" s="645"/>
      <c r="O68" s="646"/>
      <c r="P68" s="668"/>
      <c r="Q68" s="646"/>
      <c r="R68" s="645"/>
      <c r="S68" s="646"/>
      <c r="T68" s="645"/>
      <c r="U68" s="646"/>
      <c r="V68" s="645"/>
      <c r="W68" s="646"/>
      <c r="X68" s="645"/>
      <c r="Y68" s="646"/>
      <c r="Z68" s="672"/>
      <c r="AA68" s="673"/>
      <c r="AB68" s="645"/>
      <c r="AC68" s="646"/>
      <c r="AD68" s="645"/>
      <c r="AE68" s="646"/>
    </row>
    <row r="69" spans="2:31" ht="15.75" customHeight="1" x14ac:dyDescent="0.3">
      <c r="B69" s="645"/>
      <c r="C69" s="676"/>
      <c r="D69" s="645">
        <v>4</v>
      </c>
      <c r="E69" s="646"/>
      <c r="F69" s="645"/>
      <c r="G69" s="646"/>
      <c r="H69" s="645"/>
      <c r="I69" s="646"/>
      <c r="J69" s="645">
        <v>4</v>
      </c>
      <c r="K69" s="646"/>
      <c r="L69" s="645"/>
      <c r="M69" s="646"/>
      <c r="N69" s="645"/>
      <c r="O69" s="646"/>
      <c r="P69" s="668"/>
      <c r="Q69" s="646"/>
      <c r="R69" s="645"/>
      <c r="S69" s="646"/>
      <c r="T69" s="645"/>
      <c r="U69" s="646"/>
      <c r="V69" s="645"/>
      <c r="W69" s="646"/>
      <c r="X69" s="645"/>
      <c r="Y69" s="646"/>
      <c r="Z69" s="672"/>
      <c r="AA69" s="673"/>
      <c r="AB69" s="645"/>
      <c r="AC69" s="646"/>
      <c r="AD69" s="645"/>
      <c r="AE69" s="646"/>
    </row>
    <row r="70" spans="2:31" ht="15.75" customHeight="1" x14ac:dyDescent="0.3">
      <c r="B70" s="649">
        <v>5</v>
      </c>
      <c r="C70" s="639" t="s">
        <v>832</v>
      </c>
      <c r="D70" s="645">
        <v>4</v>
      </c>
      <c r="E70" s="646"/>
      <c r="F70" s="645"/>
      <c r="G70" s="646"/>
      <c r="H70" s="645"/>
      <c r="I70" s="646"/>
      <c r="J70" s="645">
        <v>2</v>
      </c>
      <c r="K70" s="646">
        <v>4</v>
      </c>
      <c r="L70" s="645"/>
      <c r="M70" s="646"/>
      <c r="N70" s="645"/>
      <c r="O70" s="646"/>
      <c r="P70" s="668" t="s">
        <v>835</v>
      </c>
      <c r="Q70" s="646"/>
      <c r="R70" s="645"/>
      <c r="S70" s="646"/>
      <c r="T70" s="645"/>
      <c r="U70" s="646"/>
      <c r="V70" s="645"/>
      <c r="W70" s="646"/>
      <c r="X70" s="645"/>
      <c r="Y70" s="646"/>
      <c r="Z70" s="672" t="s">
        <v>835</v>
      </c>
      <c r="AA70" s="673"/>
      <c r="AB70" s="645"/>
      <c r="AC70" s="646"/>
      <c r="AD70" s="645"/>
      <c r="AE70" s="646"/>
    </row>
    <row r="71" spans="2:31" ht="15.75" customHeight="1" x14ac:dyDescent="0.3">
      <c r="B71" s="650"/>
      <c r="C71" s="640"/>
      <c r="D71" s="645"/>
      <c r="E71" s="646"/>
      <c r="F71" s="645"/>
      <c r="G71" s="646"/>
      <c r="H71" s="645"/>
      <c r="I71" s="646"/>
      <c r="J71" s="645"/>
      <c r="K71" s="646"/>
      <c r="L71" s="645"/>
      <c r="M71" s="646"/>
      <c r="N71" s="645"/>
      <c r="O71" s="646"/>
      <c r="P71" s="669"/>
      <c r="Q71" s="646"/>
      <c r="R71" s="645"/>
      <c r="S71" s="646"/>
      <c r="T71" s="645"/>
      <c r="U71" s="646"/>
      <c r="V71" s="645"/>
      <c r="W71" s="646"/>
      <c r="X71" s="645"/>
      <c r="Y71" s="646"/>
      <c r="Z71" s="672"/>
      <c r="AA71" s="673"/>
      <c r="AB71" s="645"/>
      <c r="AC71" s="646"/>
      <c r="AD71" s="645"/>
      <c r="AE71" s="646"/>
    </row>
    <row r="72" spans="2:31" ht="15.75" customHeight="1" x14ac:dyDescent="0.3">
      <c r="B72" s="649">
        <v>6</v>
      </c>
      <c r="C72" s="639" t="s">
        <v>833</v>
      </c>
      <c r="D72" s="641">
        <v>8</v>
      </c>
      <c r="E72" s="641"/>
      <c r="F72" s="641"/>
      <c r="G72" s="641"/>
      <c r="H72" s="641"/>
      <c r="I72" s="641"/>
      <c r="J72" s="641"/>
      <c r="K72" s="641"/>
      <c r="L72" s="641">
        <v>4</v>
      </c>
      <c r="M72" s="641">
        <v>4</v>
      </c>
      <c r="N72" s="641"/>
      <c r="O72" s="641"/>
      <c r="P72" s="643" t="s">
        <v>82</v>
      </c>
      <c r="Q72" s="641"/>
      <c r="R72" s="641"/>
      <c r="S72" s="641"/>
      <c r="T72" s="641"/>
      <c r="U72" s="641"/>
      <c r="V72" s="641"/>
      <c r="W72" s="641"/>
      <c r="X72" s="641"/>
      <c r="Y72" s="641"/>
      <c r="Z72" s="643" t="s">
        <v>2</v>
      </c>
      <c r="AA72" s="643"/>
      <c r="AB72" s="641"/>
      <c r="AC72" s="641"/>
      <c r="AD72" s="641"/>
      <c r="AE72" s="641"/>
    </row>
    <row r="73" spans="2:31" ht="15.75" customHeight="1" x14ac:dyDescent="0.3">
      <c r="B73" s="650"/>
      <c r="C73" s="640"/>
      <c r="D73" s="642"/>
      <c r="E73" s="642"/>
      <c r="F73" s="642"/>
      <c r="G73" s="642"/>
      <c r="H73" s="642"/>
      <c r="I73" s="642"/>
      <c r="J73" s="642"/>
      <c r="K73" s="642"/>
      <c r="L73" s="642"/>
      <c r="M73" s="642"/>
      <c r="N73" s="642"/>
      <c r="O73" s="642"/>
      <c r="P73" s="644"/>
      <c r="Q73" s="642"/>
      <c r="R73" s="642"/>
      <c r="S73" s="642"/>
      <c r="T73" s="642"/>
      <c r="U73" s="642"/>
      <c r="V73" s="642"/>
      <c r="W73" s="642"/>
      <c r="X73" s="642"/>
      <c r="Y73" s="642"/>
      <c r="Z73" s="644"/>
      <c r="AA73" s="644"/>
      <c r="AB73" s="642"/>
      <c r="AC73" s="642"/>
      <c r="AD73" s="642"/>
      <c r="AE73" s="642"/>
    </row>
    <row r="74" spans="2:31" ht="15.75" customHeight="1" x14ac:dyDescent="0.3">
      <c r="B74" s="649">
        <v>7</v>
      </c>
      <c r="C74" s="639" t="s">
        <v>834</v>
      </c>
      <c r="D74" s="641">
        <v>8</v>
      </c>
      <c r="E74" s="641"/>
      <c r="F74" s="641"/>
      <c r="G74" s="641"/>
      <c r="H74" s="641"/>
      <c r="I74" s="641"/>
      <c r="J74" s="641"/>
      <c r="K74" s="641"/>
      <c r="L74" s="641"/>
      <c r="M74" s="641"/>
      <c r="N74" s="641">
        <v>4</v>
      </c>
      <c r="O74" s="641">
        <v>4</v>
      </c>
      <c r="P74" s="643" t="s">
        <v>81</v>
      </c>
      <c r="Q74" s="641"/>
      <c r="R74" s="641"/>
      <c r="S74" s="641"/>
      <c r="T74" s="641"/>
      <c r="U74" s="641"/>
      <c r="V74" s="641"/>
      <c r="W74" s="641"/>
      <c r="X74" s="641"/>
      <c r="Y74" s="641"/>
      <c r="Z74" s="643" t="s">
        <v>81</v>
      </c>
      <c r="AA74" s="643"/>
      <c r="AB74" s="641"/>
      <c r="AC74" s="641"/>
      <c r="AD74" s="641"/>
      <c r="AE74" s="641"/>
    </row>
    <row r="75" spans="2:31" ht="15.75" customHeight="1" x14ac:dyDescent="0.3">
      <c r="B75" s="650"/>
      <c r="C75" s="640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42"/>
      <c r="P75" s="644"/>
      <c r="Q75" s="642"/>
      <c r="R75" s="642"/>
      <c r="S75" s="642"/>
      <c r="T75" s="642"/>
      <c r="U75" s="642"/>
      <c r="V75" s="642"/>
      <c r="W75" s="642"/>
      <c r="X75" s="642"/>
      <c r="Y75" s="642"/>
      <c r="Z75" s="644"/>
      <c r="AA75" s="644"/>
      <c r="AB75" s="642"/>
      <c r="AC75" s="642"/>
      <c r="AD75" s="642"/>
      <c r="AE75" s="642"/>
    </row>
    <row r="76" spans="2:31" ht="15.75" customHeight="1" x14ac:dyDescent="0.3">
      <c r="B76" s="649">
        <v>8</v>
      </c>
      <c r="C76" s="639" t="s">
        <v>836</v>
      </c>
      <c r="D76" s="641">
        <v>4</v>
      </c>
      <c r="E76" s="641"/>
      <c r="F76" s="641"/>
      <c r="G76" s="641"/>
      <c r="H76" s="641"/>
      <c r="I76" s="641"/>
      <c r="J76" s="641"/>
      <c r="K76" s="641"/>
      <c r="L76" s="641"/>
      <c r="M76" s="641"/>
      <c r="N76" s="641"/>
      <c r="O76" s="641"/>
      <c r="P76" s="643"/>
      <c r="Q76" s="641">
        <v>4</v>
      </c>
      <c r="R76" s="641"/>
      <c r="S76" s="641"/>
      <c r="T76" s="641"/>
      <c r="U76" s="641"/>
      <c r="V76" s="641"/>
      <c r="W76" s="641"/>
      <c r="X76" s="641"/>
      <c r="Y76" s="641"/>
      <c r="Z76" s="643"/>
      <c r="AA76" s="643"/>
      <c r="AB76" s="641"/>
      <c r="AC76" s="641"/>
      <c r="AD76" s="641"/>
      <c r="AE76" s="641"/>
    </row>
    <row r="77" spans="2:31" ht="15.75" customHeight="1" x14ac:dyDescent="0.3">
      <c r="B77" s="650"/>
      <c r="C77" s="640"/>
      <c r="D77" s="642"/>
      <c r="E77" s="642"/>
      <c r="F77" s="642"/>
      <c r="G77" s="642"/>
      <c r="H77" s="642"/>
      <c r="I77" s="642"/>
      <c r="J77" s="642"/>
      <c r="K77" s="642"/>
      <c r="L77" s="642"/>
      <c r="M77" s="642"/>
      <c r="N77" s="642"/>
      <c r="O77" s="642"/>
      <c r="P77" s="644"/>
      <c r="Q77" s="642"/>
      <c r="R77" s="642"/>
      <c r="S77" s="642"/>
      <c r="T77" s="642"/>
      <c r="U77" s="642"/>
      <c r="V77" s="642"/>
      <c r="W77" s="642"/>
      <c r="X77" s="642"/>
      <c r="Y77" s="642"/>
      <c r="Z77" s="644"/>
      <c r="AA77" s="644"/>
      <c r="AB77" s="642"/>
      <c r="AC77" s="642"/>
      <c r="AD77" s="642"/>
      <c r="AE77" s="642"/>
    </row>
    <row r="78" spans="2:31" ht="15.75" customHeight="1" x14ac:dyDescent="0.3">
      <c r="B78" s="649">
        <v>9</v>
      </c>
      <c r="C78" s="639" t="s">
        <v>837</v>
      </c>
      <c r="D78" s="641">
        <v>4</v>
      </c>
      <c r="E78" s="641"/>
      <c r="F78" s="641"/>
      <c r="G78" s="641"/>
      <c r="H78" s="641"/>
      <c r="I78" s="641"/>
      <c r="J78" s="641"/>
      <c r="K78" s="641"/>
      <c r="L78" s="641"/>
      <c r="M78" s="641"/>
      <c r="N78" s="641"/>
      <c r="O78" s="641"/>
      <c r="P78" s="643"/>
      <c r="Q78" s="641"/>
      <c r="R78" s="641">
        <v>4</v>
      </c>
      <c r="S78" s="641">
        <v>4</v>
      </c>
      <c r="T78" s="641"/>
      <c r="U78" s="641"/>
      <c r="V78" s="641"/>
      <c r="W78" s="641"/>
      <c r="X78" s="641"/>
      <c r="Y78" s="641"/>
      <c r="Z78" s="643"/>
      <c r="AA78" s="643"/>
      <c r="AB78" s="641"/>
      <c r="AC78" s="641"/>
      <c r="AD78" s="641"/>
      <c r="AE78" s="641"/>
    </row>
    <row r="79" spans="2:31" ht="15.75" customHeight="1" x14ac:dyDescent="0.3">
      <c r="B79" s="650"/>
      <c r="C79" s="640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42"/>
      <c r="P79" s="644"/>
      <c r="Q79" s="642"/>
      <c r="R79" s="642"/>
      <c r="S79" s="642"/>
      <c r="T79" s="642"/>
      <c r="U79" s="642"/>
      <c r="V79" s="642"/>
      <c r="W79" s="642"/>
      <c r="X79" s="642"/>
      <c r="Y79" s="642"/>
      <c r="Z79" s="644"/>
      <c r="AA79" s="644"/>
      <c r="AB79" s="642"/>
      <c r="AC79" s="642"/>
      <c r="AD79" s="642"/>
      <c r="AE79" s="642"/>
    </row>
    <row r="80" spans="2:31" ht="15.75" customHeight="1" x14ac:dyDescent="0.3">
      <c r="B80" s="649">
        <v>10</v>
      </c>
      <c r="C80" s="639" t="s">
        <v>838</v>
      </c>
      <c r="D80" s="641">
        <v>12</v>
      </c>
      <c r="E80" s="641"/>
      <c r="F80" s="641"/>
      <c r="G80" s="641"/>
      <c r="H80" s="641"/>
      <c r="I80" s="641"/>
      <c r="J80" s="641"/>
      <c r="K80" s="641"/>
      <c r="L80" s="641"/>
      <c r="M80" s="641"/>
      <c r="N80" s="641"/>
      <c r="O80" s="641"/>
      <c r="P80" s="643"/>
      <c r="Q80" s="641"/>
      <c r="R80" s="641"/>
      <c r="S80" s="641"/>
      <c r="T80" s="641">
        <v>4</v>
      </c>
      <c r="U80" s="641">
        <v>4</v>
      </c>
      <c r="V80" s="641">
        <v>4</v>
      </c>
      <c r="W80" s="641"/>
      <c r="X80" s="641"/>
      <c r="Y80" s="641"/>
      <c r="Z80" s="643"/>
      <c r="AA80" s="643"/>
      <c r="AB80" s="641"/>
      <c r="AC80" s="641"/>
      <c r="AD80" s="641"/>
      <c r="AE80" s="641"/>
    </row>
    <row r="81" spans="2:31" ht="15.75" customHeight="1" x14ac:dyDescent="0.3">
      <c r="B81" s="650"/>
      <c r="C81" s="640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4"/>
      <c r="Q81" s="642"/>
      <c r="R81" s="642"/>
      <c r="S81" s="642"/>
      <c r="T81" s="642"/>
      <c r="U81" s="642"/>
      <c r="V81" s="642"/>
      <c r="W81" s="642"/>
      <c r="X81" s="642"/>
      <c r="Y81" s="642"/>
      <c r="Z81" s="644"/>
      <c r="AA81" s="644"/>
      <c r="AB81" s="642"/>
      <c r="AC81" s="642"/>
      <c r="AD81" s="642"/>
      <c r="AE81" s="642"/>
    </row>
    <row r="82" spans="2:31" ht="15.75" customHeight="1" x14ac:dyDescent="0.3">
      <c r="B82" s="649">
        <v>11</v>
      </c>
      <c r="C82" s="639" t="s">
        <v>839</v>
      </c>
      <c r="D82" s="641">
        <v>12</v>
      </c>
      <c r="E82" s="641"/>
      <c r="F82" s="641"/>
      <c r="G82" s="641"/>
      <c r="H82" s="641"/>
      <c r="I82" s="641"/>
      <c r="J82" s="641"/>
      <c r="K82" s="641"/>
      <c r="L82" s="641"/>
      <c r="M82" s="641"/>
      <c r="N82" s="641"/>
      <c r="O82" s="641"/>
      <c r="P82" s="643"/>
      <c r="Q82" s="641"/>
      <c r="R82" s="641"/>
      <c r="S82" s="641"/>
      <c r="T82" s="641"/>
      <c r="U82" s="641"/>
      <c r="V82" s="641"/>
      <c r="W82" s="641">
        <v>4</v>
      </c>
      <c r="X82" s="641">
        <v>4</v>
      </c>
      <c r="Y82" s="641">
        <v>4</v>
      </c>
      <c r="Z82" s="643"/>
      <c r="AA82" s="643"/>
      <c r="AB82" s="641"/>
      <c r="AC82" s="641"/>
      <c r="AD82" s="641"/>
      <c r="AE82" s="641"/>
    </row>
    <row r="83" spans="2:31" ht="15.75" customHeight="1" x14ac:dyDescent="0.3">
      <c r="B83" s="650"/>
      <c r="C83" s="640"/>
      <c r="D83" s="642"/>
      <c r="E83" s="642"/>
      <c r="F83" s="642"/>
      <c r="G83" s="642"/>
      <c r="H83" s="642"/>
      <c r="I83" s="642"/>
      <c r="J83" s="642"/>
      <c r="K83" s="642"/>
      <c r="L83" s="642"/>
      <c r="M83" s="642"/>
      <c r="N83" s="642"/>
      <c r="O83" s="642"/>
      <c r="P83" s="644"/>
      <c r="Q83" s="642"/>
      <c r="R83" s="642"/>
      <c r="S83" s="642"/>
      <c r="T83" s="642"/>
      <c r="U83" s="642"/>
      <c r="V83" s="642"/>
      <c r="W83" s="642"/>
      <c r="X83" s="642"/>
      <c r="Y83" s="642"/>
      <c r="Z83" s="644"/>
      <c r="AA83" s="644"/>
      <c r="AB83" s="642"/>
      <c r="AC83" s="642"/>
      <c r="AD83" s="642"/>
      <c r="AE83" s="642"/>
    </row>
    <row r="85" spans="2:31" ht="15.75" customHeight="1" x14ac:dyDescent="0.3">
      <c r="C85" s="44" t="s">
        <v>34</v>
      </c>
    </row>
    <row r="86" spans="2:31" ht="15.75" customHeight="1" x14ac:dyDescent="0.3">
      <c r="C86" s="44" t="s">
        <v>144</v>
      </c>
      <c r="D86" s="44" t="s">
        <v>687</v>
      </c>
      <c r="P86" s="44" t="s">
        <v>995</v>
      </c>
      <c r="Z86" s="43" t="s">
        <v>43</v>
      </c>
    </row>
    <row r="89" spans="2:31" ht="15.75" customHeight="1" x14ac:dyDescent="0.3">
      <c r="C89" s="44" t="str">
        <f>C44</f>
        <v>Widada, S.Pd., M.Pd.</v>
      </c>
      <c r="D89" s="44" t="str">
        <f t="shared" ref="D89:Z89" si="8">D44</f>
        <v>Gunawan S Pd., M Pd</v>
      </c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 t="str">
        <f t="shared" si="8"/>
        <v>Taufiq Afandi, S.Pd</v>
      </c>
      <c r="Q89" s="44"/>
      <c r="R89" s="44"/>
      <c r="S89" s="44"/>
      <c r="T89" s="44"/>
      <c r="U89" s="44"/>
      <c r="V89" s="44"/>
      <c r="W89" s="44"/>
      <c r="X89" s="44"/>
      <c r="Y89" s="44"/>
      <c r="Z89" s="44" t="str">
        <f t="shared" si="8"/>
        <v>Jumari, S.Pd.T., M.Eng</v>
      </c>
    </row>
    <row r="90" spans="2:31" ht="15.75" customHeight="1" x14ac:dyDescent="0.3">
      <c r="C90" s="44" t="str">
        <f>C45</f>
        <v>NIP. 196902122000121002</v>
      </c>
      <c r="D90" s="44" t="str">
        <f t="shared" ref="D90:Z90" si="9">D45</f>
        <v>NIP. 197112132005011004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 t="str">
        <f t="shared" si="9"/>
        <v>NIP. 197505112006041004</v>
      </c>
      <c r="Q90" s="44"/>
      <c r="R90" s="44"/>
      <c r="S90" s="44"/>
      <c r="T90" s="44"/>
      <c r="U90" s="44"/>
      <c r="V90" s="44"/>
      <c r="W90" s="44"/>
      <c r="X90" s="44"/>
      <c r="Y90" s="44"/>
      <c r="Z90" s="44" t="str">
        <f t="shared" si="9"/>
        <v>NIP. 198311152024211006</v>
      </c>
    </row>
  </sheetData>
  <mergeCells count="686">
    <mergeCell ref="AC82:AC83"/>
    <mergeCell ref="AD82:AD83"/>
    <mergeCell ref="AE82:AE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C78:AC79"/>
    <mergeCell ref="AD78:AD79"/>
    <mergeCell ref="AE78:AE79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C74:AC75"/>
    <mergeCell ref="AD74:AD75"/>
    <mergeCell ref="AE74:AE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C70:AC71"/>
    <mergeCell ref="AD70:AD71"/>
    <mergeCell ref="AE70:AE71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C65:AC66"/>
    <mergeCell ref="AD65:AD66"/>
    <mergeCell ref="AE65:AE66"/>
    <mergeCell ref="B67:B69"/>
    <mergeCell ref="C67:C69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T65:T66"/>
    <mergeCell ref="U65:U66"/>
    <mergeCell ref="V65:V66"/>
    <mergeCell ref="W65:W66"/>
    <mergeCell ref="X65:X66"/>
    <mergeCell ref="Y65:Y66"/>
    <mergeCell ref="Z65:Z66"/>
    <mergeCell ref="AA65:AA66"/>
    <mergeCell ref="AB65:AB66"/>
    <mergeCell ref="K65:K66"/>
    <mergeCell ref="L65:L66"/>
    <mergeCell ref="M65:M66"/>
    <mergeCell ref="N65:N66"/>
    <mergeCell ref="O65:O66"/>
    <mergeCell ref="P65:P66"/>
    <mergeCell ref="Q65:Q66"/>
    <mergeCell ref="R65:R66"/>
    <mergeCell ref="S65:S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W63:W64"/>
    <mergeCell ref="X63:X64"/>
    <mergeCell ref="Y63:Y64"/>
    <mergeCell ref="Z63:Z64"/>
    <mergeCell ref="AA63:AA64"/>
    <mergeCell ref="AB63:AB64"/>
    <mergeCell ref="AC63:AC64"/>
    <mergeCell ref="AD63:AD64"/>
    <mergeCell ref="AE63:AE64"/>
    <mergeCell ref="AC61:AC62"/>
    <mergeCell ref="AD61:AD62"/>
    <mergeCell ref="AE61:AE62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R37:R38"/>
    <mergeCell ref="S37:S38"/>
    <mergeCell ref="B48:AE48"/>
    <mergeCell ref="B58:B60"/>
    <mergeCell ref="C58:C60"/>
    <mergeCell ref="D58:D60"/>
    <mergeCell ref="E58:AD58"/>
    <mergeCell ref="AE58:AE60"/>
    <mergeCell ref="E59:H59"/>
    <mergeCell ref="I59:M59"/>
    <mergeCell ref="N59:Q59"/>
    <mergeCell ref="R59:V59"/>
    <mergeCell ref="W59:Z59"/>
    <mergeCell ref="AA59:AD59"/>
    <mergeCell ref="W37:W38"/>
    <mergeCell ref="X37:X38"/>
    <mergeCell ref="Y37:Y38"/>
    <mergeCell ref="Z37:Z38"/>
    <mergeCell ref="AA37:AA38"/>
    <mergeCell ref="AB37:AB38"/>
    <mergeCell ref="T35:T36"/>
    <mergeCell ref="U35:U36"/>
    <mergeCell ref="AC37:AC38"/>
    <mergeCell ref="AD37:AD38"/>
    <mergeCell ref="AE37:AE38"/>
    <mergeCell ref="AC35:AC36"/>
    <mergeCell ref="AD35:AD36"/>
    <mergeCell ref="AE35:AE36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S29:S30"/>
    <mergeCell ref="T29:T30"/>
    <mergeCell ref="T37:T38"/>
    <mergeCell ref="U37:U38"/>
    <mergeCell ref="V37:V38"/>
    <mergeCell ref="AE33:AE34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I27:I28"/>
    <mergeCell ref="B25:B26"/>
    <mergeCell ref="E27:E28"/>
    <mergeCell ref="F27:F28"/>
    <mergeCell ref="J33:J34"/>
    <mergeCell ref="K33:K34"/>
    <mergeCell ref="L33:L34"/>
    <mergeCell ref="M33:M34"/>
    <mergeCell ref="N33:N34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J27:J28"/>
    <mergeCell ref="K27:K28"/>
    <mergeCell ref="L27:L28"/>
    <mergeCell ref="M27:M28"/>
    <mergeCell ref="J31:J32"/>
    <mergeCell ref="K31:K32"/>
    <mergeCell ref="W25:W26"/>
    <mergeCell ref="X25:X26"/>
    <mergeCell ref="X22:X24"/>
    <mergeCell ref="AC31:AC32"/>
    <mergeCell ref="AC33:AC34"/>
    <mergeCell ref="C25:C26"/>
    <mergeCell ref="B33:B34"/>
    <mergeCell ref="C33:C34"/>
    <mergeCell ref="D33:D34"/>
    <mergeCell ref="E33:E34"/>
    <mergeCell ref="F33:F34"/>
    <mergeCell ref="G33:G34"/>
    <mergeCell ref="H33:H34"/>
    <mergeCell ref="I33:I34"/>
    <mergeCell ref="B31:B32"/>
    <mergeCell ref="C31:C32"/>
    <mergeCell ref="D31:D32"/>
    <mergeCell ref="E31:E32"/>
    <mergeCell ref="F31:F32"/>
    <mergeCell ref="G31:G32"/>
    <mergeCell ref="H31:H32"/>
    <mergeCell ref="I31:I32"/>
    <mergeCell ref="G27:G28"/>
    <mergeCell ref="H27:H28"/>
    <mergeCell ref="Y25:Y26"/>
    <mergeCell ref="Z25:Z26"/>
    <mergeCell ref="AA25:AA26"/>
    <mergeCell ref="AB25:AB26"/>
    <mergeCell ref="AC25:AC26"/>
    <mergeCell ref="Y22:Y24"/>
    <mergeCell ref="Z22:Z24"/>
    <mergeCell ref="AA22:AA24"/>
    <mergeCell ref="AB22:AB24"/>
    <mergeCell ref="AC22:AC24"/>
    <mergeCell ref="AE31:AE32"/>
    <mergeCell ref="C22:C24"/>
    <mergeCell ref="B22:B24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AE29:AE30"/>
    <mergeCell ref="AD22:AD24"/>
    <mergeCell ref="AE22:AE24"/>
    <mergeCell ref="D25:D26"/>
    <mergeCell ref="E25:E26"/>
    <mergeCell ref="F18:F19"/>
    <mergeCell ref="G18:G19"/>
    <mergeCell ref="U29:U30"/>
    <mergeCell ref="V29:V30"/>
    <mergeCell ref="W29:W30"/>
    <mergeCell ref="X29:X30"/>
    <mergeCell ref="Y29:Y30"/>
    <mergeCell ref="Z29:Z30"/>
    <mergeCell ref="AA29:AA30"/>
    <mergeCell ref="K29:K30"/>
    <mergeCell ref="L29:L30"/>
    <mergeCell ref="M29:M30"/>
    <mergeCell ref="N29:N30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18:Q19"/>
    <mergeCell ref="R18:R19"/>
    <mergeCell ref="AE16:AE17"/>
    <mergeCell ref="AE18:AE19"/>
    <mergeCell ref="B27:B28"/>
    <mergeCell ref="C27:C28"/>
    <mergeCell ref="D27:D28"/>
    <mergeCell ref="V18:V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X16:X17"/>
    <mergeCell ref="Y16:Y17"/>
    <mergeCell ref="Z16:Z17"/>
    <mergeCell ref="AA16:AA17"/>
    <mergeCell ref="AB16:AB17"/>
    <mergeCell ref="AC16:AC17"/>
    <mergeCell ref="AD16:AD17"/>
    <mergeCell ref="E18:E19"/>
    <mergeCell ref="I18:I19"/>
    <mergeCell ref="J18:J19"/>
    <mergeCell ref="K18:K19"/>
    <mergeCell ref="L18:L19"/>
    <mergeCell ref="M18:M19"/>
    <mergeCell ref="N18:N19"/>
    <mergeCell ref="O18:O19"/>
    <mergeCell ref="P18:P19"/>
    <mergeCell ref="J16:J17"/>
    <mergeCell ref="K16:K17"/>
    <mergeCell ref="L16:L17"/>
    <mergeCell ref="M16:M17"/>
    <mergeCell ref="N16:N17"/>
    <mergeCell ref="B16:B17"/>
    <mergeCell ref="B18:B19"/>
    <mergeCell ref="C18:C19"/>
    <mergeCell ref="D18:D19"/>
    <mergeCell ref="B20:B21"/>
    <mergeCell ref="E16:E17"/>
    <mergeCell ref="Z1:AD1"/>
    <mergeCell ref="Z2:AD2"/>
    <mergeCell ref="B3:AE3"/>
    <mergeCell ref="B13:B15"/>
    <mergeCell ref="C13:C15"/>
    <mergeCell ref="D13:D15"/>
    <mergeCell ref="E13:AD13"/>
    <mergeCell ref="AE13:AE15"/>
    <mergeCell ref="E14:H14"/>
    <mergeCell ref="I14:M14"/>
    <mergeCell ref="N14:Q14"/>
    <mergeCell ref="AA14:AD14"/>
    <mergeCell ref="R14:V14"/>
    <mergeCell ref="W14:Z14"/>
    <mergeCell ref="J20:J21"/>
    <mergeCell ref="K20:K21"/>
    <mergeCell ref="U18:U19"/>
    <mergeCell ref="O16:O17"/>
    <mergeCell ref="V16:V17"/>
    <mergeCell ref="W16:W17"/>
    <mergeCell ref="E20:E21"/>
    <mergeCell ref="F20:F21"/>
    <mergeCell ref="G20:G21"/>
    <mergeCell ref="D20:D21"/>
    <mergeCell ref="C20:C21"/>
    <mergeCell ref="H20:H21"/>
    <mergeCell ref="I20:I21"/>
    <mergeCell ref="C16:C17"/>
    <mergeCell ref="D16:D17"/>
    <mergeCell ref="F16:F17"/>
    <mergeCell ref="G16:G17"/>
    <mergeCell ref="H16:H17"/>
    <mergeCell ref="I16:I17"/>
    <mergeCell ref="S18:S19"/>
    <mergeCell ref="T18:T19"/>
    <mergeCell ref="P16:P17"/>
    <mergeCell ref="Q16:Q17"/>
    <mergeCell ref="R16:R17"/>
    <mergeCell ref="S16:S17"/>
    <mergeCell ref="T16:T17"/>
    <mergeCell ref="U16:U17"/>
    <mergeCell ref="H18:H19"/>
    <mergeCell ref="U20:U21"/>
    <mergeCell ref="V20:V21"/>
    <mergeCell ref="O20:O21"/>
    <mergeCell ref="P20:P21"/>
    <mergeCell ref="Q20:Q21"/>
    <mergeCell ref="R20:R21"/>
    <mergeCell ref="S20:S21"/>
    <mergeCell ref="L20:L21"/>
    <mergeCell ref="M20:M21"/>
    <mergeCell ref="N20:N21"/>
    <mergeCell ref="T22:T24"/>
    <mergeCell ref="U22:U24"/>
    <mergeCell ref="V22:V24"/>
    <mergeCell ref="N27:N28"/>
    <mergeCell ref="O27:O28"/>
    <mergeCell ref="P27:P28"/>
    <mergeCell ref="Q25:Q26"/>
    <mergeCell ref="R25:R26"/>
    <mergeCell ref="S25:S26"/>
    <mergeCell ref="T25:T26"/>
    <mergeCell ref="U25:U26"/>
    <mergeCell ref="V25:V26"/>
    <mergeCell ref="AD20:AD21"/>
    <mergeCell ref="AE20:AE21"/>
    <mergeCell ref="Y20:Y21"/>
    <mergeCell ref="Z20:Z21"/>
    <mergeCell ref="AA20:AA21"/>
    <mergeCell ref="AB20:AB21"/>
    <mergeCell ref="AC20:AC21"/>
    <mergeCell ref="T20:T21"/>
    <mergeCell ref="Q27:Q28"/>
    <mergeCell ref="AA27:AA28"/>
    <mergeCell ref="AB27:AB28"/>
    <mergeCell ref="AC27:AC28"/>
    <mergeCell ref="AD27:AD28"/>
    <mergeCell ref="AE27:AE28"/>
    <mergeCell ref="AD25:AD26"/>
    <mergeCell ref="AE25:AE26"/>
    <mergeCell ref="R27:R28"/>
    <mergeCell ref="S27:S28"/>
    <mergeCell ref="T27:T28"/>
    <mergeCell ref="U27:U28"/>
    <mergeCell ref="V27:V28"/>
    <mergeCell ref="W20:W21"/>
    <mergeCell ref="X20:X21"/>
    <mergeCell ref="W22:W24"/>
    <mergeCell ref="W35:W36"/>
    <mergeCell ref="AD33:AD34"/>
    <mergeCell ref="Y35:Y36"/>
    <mergeCell ref="Z35:Z36"/>
    <mergeCell ref="AA35:AA36"/>
    <mergeCell ref="AB35:AB36"/>
    <mergeCell ref="W27:W28"/>
    <mergeCell ref="X27:X28"/>
    <mergeCell ref="Y27:Y28"/>
    <mergeCell ref="Z27:Z28"/>
    <mergeCell ref="W33:W34"/>
    <mergeCell ref="X33:X34"/>
    <mergeCell ref="Y33:Y34"/>
    <mergeCell ref="Z33:Z34"/>
    <mergeCell ref="W31:W32"/>
    <mergeCell ref="X31:X32"/>
    <mergeCell ref="Y31:Y32"/>
    <mergeCell ref="Z31:Z32"/>
    <mergeCell ref="V33:V34"/>
    <mergeCell ref="AD31:AD32"/>
    <mergeCell ref="AC29:AC30"/>
    <mergeCell ref="AD29:AD30"/>
    <mergeCell ref="V35:V36"/>
    <mergeCell ref="X35:X36"/>
    <mergeCell ref="O33:O34"/>
    <mergeCell ref="P33:P34"/>
    <mergeCell ref="V31:V32"/>
    <mergeCell ref="U31:U32"/>
    <mergeCell ref="O29:O30"/>
    <mergeCell ref="P29:P30"/>
    <mergeCell ref="Q29:Q30"/>
    <mergeCell ref="R29:R30"/>
    <mergeCell ref="Q33:Q34"/>
    <mergeCell ref="R33:R34"/>
    <mergeCell ref="S33:S34"/>
    <mergeCell ref="T33:T34"/>
    <mergeCell ref="U33:U34"/>
    <mergeCell ref="AA31:AA32"/>
    <mergeCell ref="AB31:AB32"/>
    <mergeCell ref="AA33:AA34"/>
    <mergeCell ref="AB33:AB34"/>
    <mergeCell ref="AB29:AB30"/>
  </mergeCells>
  <pageMargins left="0.55118110236220474" right="1.3779527559055118" top="0.39370078740157483" bottom="0.31496062992125984" header="0.31496062992125984" footer="0.27559055118110237"/>
  <pageSetup paperSize="258" scale="75" orientation="landscape" horizontalDpi="0" verticalDpi="0" r:id="rId1"/>
  <rowBreaks count="1" manualBreakCount="1">
    <brk id="4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36"/>
  <sheetViews>
    <sheetView view="pageBreakPreview" topLeftCell="A16" zoomScaleNormal="100" zoomScaleSheetLayoutView="100" workbookViewId="0">
      <selection activeCell="G24" sqref="G24"/>
    </sheetView>
  </sheetViews>
  <sheetFormatPr defaultRowHeight="14.5" x14ac:dyDescent="0.35"/>
  <cols>
    <col min="1" max="1" width="3.453125" customWidth="1"/>
    <col min="2" max="2" width="5.453125" customWidth="1"/>
    <col min="3" max="3" width="18.7265625" customWidth="1"/>
    <col min="4" max="4" width="11.453125" customWidth="1"/>
    <col min="6" max="6" width="26.54296875" customWidth="1"/>
    <col min="8" max="8" width="9.26953125" customWidth="1"/>
  </cols>
  <sheetData>
    <row r="1" spans="2:8" ht="15.5" x14ac:dyDescent="0.35">
      <c r="B1" s="41"/>
      <c r="C1" s="41"/>
      <c r="D1" s="41"/>
      <c r="E1" s="41"/>
      <c r="F1" s="41"/>
      <c r="G1" s="680" t="s">
        <v>751</v>
      </c>
      <c r="H1" s="680"/>
    </row>
    <row r="2" spans="2:8" ht="15.5" x14ac:dyDescent="0.35">
      <c r="B2" s="41"/>
      <c r="C2" s="41"/>
      <c r="D2" s="41"/>
      <c r="E2" s="41"/>
      <c r="F2" s="41"/>
      <c r="G2" s="681">
        <v>45483</v>
      </c>
      <c r="H2" s="681"/>
    </row>
    <row r="3" spans="2:8" ht="17.5" x14ac:dyDescent="0.35">
      <c r="B3" s="682" t="s">
        <v>694</v>
      </c>
      <c r="C3" s="682"/>
      <c r="D3" s="682"/>
      <c r="E3" s="682"/>
      <c r="F3" s="682"/>
      <c r="G3" s="682"/>
      <c r="H3" s="201"/>
    </row>
    <row r="4" spans="2:8" ht="15.5" x14ac:dyDescent="0.35">
      <c r="B4" s="41"/>
      <c r="C4" s="41"/>
      <c r="D4" s="41"/>
      <c r="E4" s="41"/>
      <c r="F4" s="41"/>
      <c r="G4" s="41"/>
      <c r="H4" s="255"/>
    </row>
    <row r="5" spans="2:8" ht="15.5" x14ac:dyDescent="0.35">
      <c r="B5" s="44" t="s">
        <v>661</v>
      </c>
      <c r="C5" s="52"/>
      <c r="D5" s="44" t="s">
        <v>776</v>
      </c>
      <c r="E5" s="41"/>
      <c r="F5" s="41"/>
      <c r="G5" s="41"/>
      <c r="H5" s="255"/>
    </row>
    <row r="6" spans="2:8" ht="15.5" x14ac:dyDescent="0.35">
      <c r="B6" s="44" t="s">
        <v>663</v>
      </c>
      <c r="C6" s="52"/>
      <c r="D6" s="44" t="s">
        <v>772</v>
      </c>
      <c r="E6" s="41"/>
      <c r="F6" s="42"/>
      <c r="G6" s="42"/>
      <c r="H6" s="41"/>
    </row>
    <row r="7" spans="2:8" ht="15.5" x14ac:dyDescent="0.35">
      <c r="B7" s="44" t="s">
        <v>40</v>
      </c>
      <c r="C7" s="44"/>
      <c r="D7" s="44" t="str">
        <f>'PROSEM(5)  '!E7</f>
        <v>: Pemrograman Sistem Embeded</v>
      </c>
      <c r="E7" s="41"/>
      <c r="F7" s="201"/>
      <c r="G7" s="201"/>
      <c r="H7" s="41"/>
    </row>
    <row r="8" spans="2:8" ht="15.5" x14ac:dyDescent="0.35">
      <c r="B8" s="44" t="s">
        <v>662</v>
      </c>
      <c r="C8" s="52"/>
      <c r="D8" s="43" t="s">
        <v>773</v>
      </c>
      <c r="E8" s="41"/>
      <c r="F8" s="201"/>
      <c r="G8" s="201"/>
      <c r="H8" s="41"/>
    </row>
    <row r="9" spans="2:8" ht="15.5" x14ac:dyDescent="0.35">
      <c r="B9" s="44" t="s">
        <v>41</v>
      </c>
      <c r="C9" s="52"/>
      <c r="D9" s="44" t="s">
        <v>775</v>
      </c>
      <c r="E9" s="41"/>
      <c r="F9" s="46"/>
      <c r="G9" s="46"/>
      <c r="H9" s="41"/>
    </row>
    <row r="10" spans="2:8" ht="15.5" x14ac:dyDescent="0.35">
      <c r="B10" s="44" t="s">
        <v>111</v>
      </c>
      <c r="C10" s="52"/>
      <c r="D10" s="44" t="s">
        <v>777</v>
      </c>
      <c r="E10" s="41"/>
      <c r="F10" s="41"/>
      <c r="G10" s="41"/>
      <c r="H10" s="201"/>
    </row>
    <row r="11" spans="2:8" x14ac:dyDescent="0.35">
      <c r="B11" s="44" t="s">
        <v>42</v>
      </c>
      <c r="C11" s="52"/>
      <c r="D11" s="44" t="s">
        <v>990</v>
      </c>
    </row>
    <row r="12" spans="2:8" ht="15" x14ac:dyDescent="0.35">
      <c r="B12" s="369" t="s">
        <v>1</v>
      </c>
      <c r="C12" s="683" t="s">
        <v>1020</v>
      </c>
      <c r="D12" s="683"/>
      <c r="E12" s="683" t="s">
        <v>694</v>
      </c>
      <c r="F12" s="683"/>
      <c r="G12" s="683"/>
      <c r="H12" s="683"/>
    </row>
    <row r="13" spans="2:8" x14ac:dyDescent="0.35">
      <c r="B13" s="677">
        <v>1</v>
      </c>
      <c r="C13" s="689" t="s">
        <v>1018</v>
      </c>
      <c r="D13" s="690"/>
      <c r="E13" s="697" t="s">
        <v>1028</v>
      </c>
      <c r="F13" s="698"/>
      <c r="G13" s="698"/>
      <c r="H13" s="699"/>
    </row>
    <row r="14" spans="2:8" ht="36.5" customHeight="1" x14ac:dyDescent="0.35">
      <c r="B14" s="678"/>
      <c r="C14" s="691"/>
      <c r="D14" s="692"/>
      <c r="E14" s="684" t="s">
        <v>1029</v>
      </c>
      <c r="F14" s="687"/>
      <c r="G14" s="687"/>
      <c r="H14" s="688"/>
    </row>
    <row r="15" spans="2:8" ht="42" customHeight="1" x14ac:dyDescent="0.35">
      <c r="B15" s="678"/>
      <c r="C15" s="691"/>
      <c r="D15" s="692"/>
      <c r="E15" s="684" t="s">
        <v>1030</v>
      </c>
      <c r="F15" s="695"/>
      <c r="G15" s="695"/>
      <c r="H15" s="696"/>
    </row>
    <row r="16" spans="2:8" ht="34" customHeight="1" x14ac:dyDescent="0.35">
      <c r="B16" s="678"/>
      <c r="C16" s="691"/>
      <c r="D16" s="692"/>
      <c r="E16" s="684" t="s">
        <v>1031</v>
      </c>
      <c r="F16" s="695"/>
      <c r="G16" s="695"/>
      <c r="H16" s="696"/>
    </row>
    <row r="17" spans="2:8" ht="36" customHeight="1" x14ac:dyDescent="0.35">
      <c r="B17" s="678"/>
      <c r="C17" s="691"/>
      <c r="D17" s="692"/>
      <c r="E17" s="684" t="s">
        <v>1032</v>
      </c>
      <c r="F17" s="685"/>
      <c r="G17" s="685"/>
      <c r="H17" s="686"/>
    </row>
    <row r="18" spans="2:8" ht="32.5" customHeight="1" x14ac:dyDescent="0.35">
      <c r="B18" s="678"/>
      <c r="C18" s="691"/>
      <c r="D18" s="692"/>
      <c r="E18" s="684" t="s">
        <v>1033</v>
      </c>
      <c r="F18" s="685"/>
      <c r="G18" s="685"/>
      <c r="H18" s="686"/>
    </row>
    <row r="19" spans="2:8" ht="35" customHeight="1" x14ac:dyDescent="0.35">
      <c r="B19" s="678"/>
      <c r="C19" s="691"/>
      <c r="D19" s="692"/>
      <c r="E19" s="684" t="s">
        <v>1034</v>
      </c>
      <c r="F19" s="685"/>
      <c r="G19" s="685"/>
      <c r="H19" s="686"/>
    </row>
    <row r="20" spans="2:8" ht="35" customHeight="1" x14ac:dyDescent="0.35">
      <c r="B20" s="679"/>
      <c r="C20" s="693"/>
      <c r="D20" s="694"/>
      <c r="E20" s="684" t="s">
        <v>1035</v>
      </c>
      <c r="F20" s="685"/>
      <c r="G20" s="685"/>
      <c r="H20" s="686"/>
    </row>
    <row r="21" spans="2:8" x14ac:dyDescent="0.35">
      <c r="B21" s="1028"/>
      <c r="C21" s="1029"/>
      <c r="D21" s="1029"/>
      <c r="E21" s="1029"/>
      <c r="F21" s="1029"/>
      <c r="G21" s="1029"/>
      <c r="H21" s="1029"/>
    </row>
    <row r="23" spans="2:8" x14ac:dyDescent="0.35">
      <c r="B23" s="44"/>
      <c r="C23" s="44"/>
      <c r="F23" s="205" t="s">
        <v>1038</v>
      </c>
      <c r="H23" s="43"/>
    </row>
    <row r="24" spans="2:8" x14ac:dyDescent="0.35">
      <c r="B24" s="44" t="s">
        <v>1001</v>
      </c>
      <c r="C24" s="44"/>
      <c r="F24" s="205" t="s">
        <v>43</v>
      </c>
      <c r="H24" s="44"/>
    </row>
    <row r="25" spans="2:8" x14ac:dyDescent="0.35">
      <c r="B25" s="44"/>
      <c r="C25" s="44"/>
      <c r="F25" s="205"/>
      <c r="H25" s="44"/>
    </row>
    <row r="26" spans="2:8" x14ac:dyDescent="0.35">
      <c r="B26" s="196"/>
      <c r="C26" s="44"/>
      <c r="F26" s="53"/>
      <c r="H26" s="44"/>
    </row>
    <row r="27" spans="2:8" x14ac:dyDescent="0.35">
      <c r="B27" s="44"/>
      <c r="C27" s="44"/>
      <c r="F27" s="205"/>
      <c r="H27" s="44"/>
    </row>
    <row r="28" spans="2:8" x14ac:dyDescent="0.35">
      <c r="B28" s="44" t="str">
        <f>'PROTA (4)'!B79</f>
        <v>Taufiq Afandi, S.Pd</v>
      </c>
      <c r="C28" s="44"/>
      <c r="F28" s="205" t="str">
        <f>'PROTA (4)'!D79</f>
        <v>Jumari, S.Pd.T., M.Eng</v>
      </c>
      <c r="H28" s="44"/>
    </row>
    <row r="29" spans="2:8" x14ac:dyDescent="0.35">
      <c r="B29" s="44" t="str">
        <f>'PROTA (4)'!B80</f>
        <v>NIP. 197505112006041004</v>
      </c>
      <c r="C29" s="44"/>
      <c r="F29" s="205" t="str">
        <f>'PROTA (4)'!D80</f>
        <v>NIP. 198311152024211006</v>
      </c>
      <c r="H29" s="44"/>
    </row>
    <row r="30" spans="2:8" x14ac:dyDescent="0.35">
      <c r="B30" s="44"/>
      <c r="C30" s="44"/>
      <c r="F30" s="205"/>
      <c r="H30" s="44"/>
    </row>
    <row r="31" spans="2:8" x14ac:dyDescent="0.35">
      <c r="B31" s="44" t="str">
        <f>'PROTA (4)'!B82</f>
        <v>Kepala Sekolah</v>
      </c>
      <c r="C31" s="44"/>
      <c r="F31" s="205" t="str">
        <f>'PROTA (4)'!D82</f>
        <v>WKS Kurikulum</v>
      </c>
      <c r="H31" s="173"/>
    </row>
    <row r="32" spans="2:8" x14ac:dyDescent="0.35">
      <c r="B32" s="44"/>
      <c r="C32" s="44"/>
      <c r="F32" s="205"/>
      <c r="H32" s="173"/>
    </row>
    <row r="33" spans="2:8" x14ac:dyDescent="0.35">
      <c r="B33" s="44"/>
      <c r="C33" s="44"/>
      <c r="F33" s="205"/>
      <c r="H33" s="173"/>
    </row>
    <row r="34" spans="2:8" x14ac:dyDescent="0.35">
      <c r="B34" s="44"/>
      <c r="C34" s="44"/>
      <c r="F34" s="205"/>
      <c r="H34" s="44"/>
    </row>
    <row r="35" spans="2:8" x14ac:dyDescent="0.35">
      <c r="B35" s="44" t="str">
        <f>'PROTA (4)'!B86</f>
        <v>Widada, S.Pd., M.Pd.</v>
      </c>
      <c r="C35" s="44"/>
      <c r="F35" s="205" t="str">
        <f>'PROTA (4)'!D86</f>
        <v>Gunawan S Pd., M Pd</v>
      </c>
      <c r="H35" s="173"/>
    </row>
    <row r="36" spans="2:8" x14ac:dyDescent="0.35">
      <c r="B36" s="44" t="str">
        <f>'PROTA (4)'!B87</f>
        <v>NIP. 196902122000121002</v>
      </c>
      <c r="C36" s="44"/>
      <c r="D36" s="44"/>
      <c r="F36" s="205" t="str">
        <f>'PROTA (4)'!D87</f>
        <v>NIP. 197112132005011004</v>
      </c>
      <c r="H36" s="173"/>
    </row>
  </sheetData>
  <mergeCells count="17">
    <mergeCell ref="C21:D21"/>
    <mergeCell ref="E21:H21"/>
    <mergeCell ref="E17:H17"/>
    <mergeCell ref="E18:H18"/>
    <mergeCell ref="E19:H19"/>
    <mergeCell ref="C13:D20"/>
    <mergeCell ref="E16:H16"/>
    <mergeCell ref="E13:H13"/>
    <mergeCell ref="E15:H15"/>
    <mergeCell ref="B13:B20"/>
    <mergeCell ref="G1:H1"/>
    <mergeCell ref="G2:H2"/>
    <mergeCell ref="B3:G3"/>
    <mergeCell ref="C12:D12"/>
    <mergeCell ref="E12:H12"/>
    <mergeCell ref="E20:H20"/>
    <mergeCell ref="E14:H14"/>
  </mergeCells>
  <pageMargins left="0.7" right="0.7" top="0.75" bottom="0.75" header="0.3" footer="0.3"/>
  <pageSetup paperSize="258" scale="94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3"/>
  <sheetViews>
    <sheetView view="pageBreakPreview" zoomScale="60" zoomScaleNormal="100" workbookViewId="0">
      <selection activeCell="C5" sqref="C5:C6"/>
    </sheetView>
  </sheetViews>
  <sheetFormatPr defaultColWidth="9.1796875" defaultRowHeight="15.5" x14ac:dyDescent="0.35"/>
  <cols>
    <col min="1" max="1" width="4.1796875" style="41" customWidth="1"/>
    <col min="2" max="2" width="51" style="41" customWidth="1"/>
    <col min="3" max="3" width="10.36328125" style="41" customWidth="1"/>
    <col min="4" max="4" width="9.54296875" style="41" customWidth="1"/>
    <col min="5" max="6" width="12.1796875" style="41" customWidth="1"/>
    <col min="7" max="7" width="5.81640625" style="41" customWidth="1"/>
    <col min="8" max="8" width="1.26953125" style="41" customWidth="1"/>
    <col min="9" max="16384" width="9.1796875" style="41"/>
  </cols>
  <sheetData>
    <row r="1" spans="1:14" x14ac:dyDescent="0.35">
      <c r="F1" s="680" t="s">
        <v>752</v>
      </c>
      <c r="G1" s="680"/>
    </row>
    <row r="2" spans="1:14" x14ac:dyDescent="0.35">
      <c r="F2" s="681">
        <v>45483</v>
      </c>
      <c r="G2" s="681"/>
    </row>
    <row r="3" spans="1:14" ht="17.5" x14ac:dyDescent="0.35">
      <c r="A3" s="682" t="s">
        <v>119</v>
      </c>
      <c r="B3" s="682"/>
      <c r="C3" s="682"/>
      <c r="D3" s="682"/>
      <c r="E3" s="682"/>
      <c r="F3" s="682"/>
      <c r="G3" s="201"/>
      <c r="I3" s="710"/>
      <c r="J3" s="710"/>
      <c r="K3" s="710"/>
      <c r="L3" s="710"/>
      <c r="M3" s="710"/>
      <c r="N3" s="710"/>
    </row>
    <row r="4" spans="1:14" ht="12" customHeight="1" x14ac:dyDescent="0.35">
      <c r="G4" s="255"/>
    </row>
    <row r="5" spans="1:14" ht="16.5" customHeight="1" x14ac:dyDescent="0.35">
      <c r="A5" s="44" t="s">
        <v>661</v>
      </c>
      <c r="B5" s="52"/>
      <c r="C5" s="44" t="s">
        <v>1050</v>
      </c>
      <c r="G5" s="255"/>
      <c r="H5" s="42"/>
    </row>
    <row r="6" spans="1:14" x14ac:dyDescent="0.35">
      <c r="A6" s="44" t="s">
        <v>663</v>
      </c>
      <c r="B6" s="52"/>
      <c r="C6" s="44" t="s">
        <v>776</v>
      </c>
      <c r="E6" s="42"/>
      <c r="F6" s="42"/>
      <c r="H6" s="42"/>
      <c r="I6" s="711"/>
      <c r="J6" s="711"/>
      <c r="K6" s="711"/>
      <c r="L6" s="711"/>
      <c r="M6" s="711"/>
      <c r="N6" s="711"/>
    </row>
    <row r="7" spans="1:14" x14ac:dyDescent="0.35">
      <c r="A7" s="44" t="s">
        <v>40</v>
      </c>
      <c r="B7" s="44"/>
      <c r="C7" s="44" t="str">
        <f>'CP (6)'!D7</f>
        <v>: Pemrograman Sistem Embeded</v>
      </c>
      <c r="E7" s="201"/>
      <c r="F7" s="201"/>
      <c r="H7" s="42"/>
      <c r="I7" s="712"/>
      <c r="J7" s="712"/>
      <c r="K7" s="712"/>
      <c r="L7" s="712"/>
      <c r="M7" s="712"/>
      <c r="N7" s="712"/>
    </row>
    <row r="8" spans="1:14" x14ac:dyDescent="0.35">
      <c r="A8" s="44" t="s">
        <v>662</v>
      </c>
      <c r="B8" s="52"/>
      <c r="C8" s="43" t="s">
        <v>773</v>
      </c>
      <c r="E8" s="201"/>
      <c r="F8" s="201"/>
      <c r="H8" s="42"/>
      <c r="I8" s="51"/>
      <c r="J8" s="51"/>
      <c r="K8" s="51"/>
      <c r="L8" s="51"/>
      <c r="M8" s="51"/>
      <c r="N8" s="51"/>
    </row>
    <row r="9" spans="1:14" x14ac:dyDescent="0.35">
      <c r="A9" s="44" t="s">
        <v>41</v>
      </c>
      <c r="B9" s="52"/>
      <c r="C9" s="44" t="s">
        <v>775</v>
      </c>
      <c r="E9" s="46"/>
      <c r="F9" s="46"/>
      <c r="H9" s="42"/>
      <c r="I9" s="711"/>
      <c r="J9" s="711"/>
      <c r="K9" s="711"/>
      <c r="L9" s="711"/>
      <c r="M9" s="711"/>
      <c r="N9" s="711"/>
    </row>
    <row r="10" spans="1:14" ht="12" customHeight="1" x14ac:dyDescent="0.35">
      <c r="A10" s="44" t="s">
        <v>111</v>
      </c>
      <c r="B10" s="52"/>
      <c r="C10" s="44" t="s">
        <v>777</v>
      </c>
      <c r="G10" s="201"/>
      <c r="H10" s="42"/>
    </row>
    <row r="11" spans="1:14" ht="18.75" customHeight="1" x14ac:dyDescent="0.35">
      <c r="A11" s="44" t="s">
        <v>42</v>
      </c>
      <c r="B11" s="52"/>
      <c r="C11" s="44" t="s">
        <v>990</v>
      </c>
      <c r="G11" s="201"/>
      <c r="H11" s="42"/>
    </row>
    <row r="12" spans="1:14" x14ac:dyDescent="0.35">
      <c r="A12" s="715" t="s">
        <v>112</v>
      </c>
      <c r="B12" s="715" t="s">
        <v>688</v>
      </c>
      <c r="C12" s="718" t="s">
        <v>116</v>
      </c>
      <c r="D12" s="718" t="s">
        <v>7</v>
      </c>
      <c r="E12" s="715" t="s">
        <v>117</v>
      </c>
      <c r="F12" s="715"/>
      <c r="G12" s="201"/>
      <c r="I12" s="713"/>
      <c r="J12" s="713"/>
      <c r="K12" s="714"/>
      <c r="L12" s="714"/>
      <c r="M12" s="713"/>
      <c r="N12" s="713"/>
    </row>
    <row r="13" spans="1:14" ht="30.5" thickBot="1" x14ac:dyDescent="0.4">
      <c r="A13" s="716"/>
      <c r="B13" s="717"/>
      <c r="C13" s="719"/>
      <c r="D13" s="719"/>
      <c r="E13" s="497" t="s">
        <v>118</v>
      </c>
      <c r="F13" s="497" t="s">
        <v>52</v>
      </c>
      <c r="G13" s="42"/>
      <c r="I13" s="713"/>
      <c r="J13" s="713"/>
      <c r="K13" s="714"/>
      <c r="L13" s="714"/>
      <c r="M13" s="40"/>
      <c r="N13" s="40"/>
    </row>
    <row r="14" spans="1:14" ht="16" thickTop="1" x14ac:dyDescent="0.35">
      <c r="A14" s="700">
        <v>1</v>
      </c>
      <c r="B14" s="676" t="s">
        <v>1028</v>
      </c>
      <c r="C14" s="680" t="s">
        <v>1039</v>
      </c>
      <c r="D14" s="680">
        <v>8</v>
      </c>
      <c r="E14" s="706" t="s">
        <v>1047</v>
      </c>
      <c r="F14" s="703"/>
    </row>
    <row r="15" spans="1:14" x14ac:dyDescent="0.35">
      <c r="A15" s="701"/>
      <c r="B15" s="676"/>
      <c r="C15" s="680"/>
      <c r="D15" s="680"/>
      <c r="E15" s="680"/>
      <c r="F15" s="703"/>
    </row>
    <row r="16" spans="1:14" ht="16.5" customHeight="1" x14ac:dyDescent="0.35">
      <c r="A16" s="708">
        <v>2</v>
      </c>
      <c r="B16" s="676" t="s">
        <v>1029</v>
      </c>
      <c r="C16" s="680" t="s">
        <v>1040</v>
      </c>
      <c r="D16" s="680">
        <v>8</v>
      </c>
      <c r="E16" s="706" t="s">
        <v>1047</v>
      </c>
      <c r="F16" s="703"/>
    </row>
    <row r="17" spans="1:6" ht="16" thickBot="1" x14ac:dyDescent="0.4">
      <c r="A17" s="709"/>
      <c r="B17" s="676"/>
      <c r="C17" s="680"/>
      <c r="D17" s="680"/>
      <c r="E17" s="680"/>
      <c r="F17" s="703"/>
    </row>
    <row r="18" spans="1:6" ht="16" thickTop="1" x14ac:dyDescent="0.35">
      <c r="A18" s="700">
        <v>3</v>
      </c>
      <c r="B18" s="676" t="s">
        <v>1030</v>
      </c>
      <c r="C18" s="680" t="s">
        <v>1041</v>
      </c>
      <c r="D18" s="680">
        <v>8</v>
      </c>
      <c r="E18" s="706" t="s">
        <v>1047</v>
      </c>
      <c r="F18" s="703"/>
    </row>
    <row r="19" spans="1:6" x14ac:dyDescent="0.35">
      <c r="A19" s="704"/>
      <c r="B19" s="676"/>
      <c r="C19" s="680"/>
      <c r="D19" s="680"/>
      <c r="E19" s="680"/>
      <c r="F19" s="703"/>
    </row>
    <row r="20" spans="1:6" x14ac:dyDescent="0.35">
      <c r="A20" s="707">
        <v>4</v>
      </c>
      <c r="B20" s="676" t="s">
        <v>1031</v>
      </c>
      <c r="C20" s="680" t="s">
        <v>1042</v>
      </c>
      <c r="D20" s="680">
        <v>8</v>
      </c>
      <c r="E20" s="680" t="s">
        <v>1047</v>
      </c>
      <c r="F20" s="703"/>
    </row>
    <row r="21" spans="1:6" x14ac:dyDescent="0.35">
      <c r="A21" s="704"/>
      <c r="B21" s="676"/>
      <c r="C21" s="680"/>
      <c r="D21" s="680"/>
      <c r="E21" s="680"/>
      <c r="F21" s="703"/>
    </row>
    <row r="22" spans="1:6" ht="6" customHeight="1" thickBot="1" x14ac:dyDescent="0.4">
      <c r="A22" s="701"/>
      <c r="B22" s="676"/>
      <c r="C22" s="680"/>
      <c r="D22" s="680"/>
      <c r="E22" s="680"/>
      <c r="F22" s="703"/>
    </row>
    <row r="23" spans="1:6" ht="16" thickTop="1" x14ac:dyDescent="0.35">
      <c r="A23" s="700">
        <v>5</v>
      </c>
      <c r="B23" s="676" t="s">
        <v>1032</v>
      </c>
      <c r="C23" s="680" t="s">
        <v>1043</v>
      </c>
      <c r="D23" s="680">
        <v>8</v>
      </c>
      <c r="E23" s="706" t="s">
        <v>1047</v>
      </c>
      <c r="F23" s="703"/>
    </row>
    <row r="24" spans="1:6" ht="16" thickBot="1" x14ac:dyDescent="0.4">
      <c r="A24" s="704"/>
      <c r="B24" s="676"/>
      <c r="C24" s="680"/>
      <c r="D24" s="680"/>
      <c r="E24" s="680"/>
      <c r="F24" s="703"/>
    </row>
    <row r="25" spans="1:6" ht="16" thickTop="1" x14ac:dyDescent="0.35">
      <c r="A25" s="700">
        <v>6</v>
      </c>
      <c r="B25" s="676" t="s">
        <v>1033</v>
      </c>
      <c r="C25" s="680" t="s">
        <v>1044</v>
      </c>
      <c r="D25" s="680">
        <v>8</v>
      </c>
      <c r="E25" s="706" t="s">
        <v>1047</v>
      </c>
      <c r="F25" s="703"/>
    </row>
    <row r="26" spans="1:6" ht="16" thickBot="1" x14ac:dyDescent="0.4">
      <c r="A26" s="704"/>
      <c r="B26" s="676"/>
      <c r="C26" s="680"/>
      <c r="D26" s="680"/>
      <c r="E26" s="680"/>
      <c r="F26" s="703"/>
    </row>
    <row r="27" spans="1:6" ht="16" thickTop="1" x14ac:dyDescent="0.35">
      <c r="A27" s="700">
        <v>7</v>
      </c>
      <c r="B27" s="676" t="s">
        <v>1034</v>
      </c>
      <c r="C27" s="680" t="s">
        <v>1045</v>
      </c>
      <c r="D27" s="680">
        <v>10</v>
      </c>
      <c r="E27" s="706" t="s">
        <v>1047</v>
      </c>
      <c r="F27" s="703"/>
    </row>
    <row r="28" spans="1:6" ht="16" thickBot="1" x14ac:dyDescent="0.4">
      <c r="A28" s="704"/>
      <c r="B28" s="676"/>
      <c r="C28" s="680"/>
      <c r="D28" s="680"/>
      <c r="E28" s="680"/>
      <c r="F28" s="703"/>
    </row>
    <row r="29" spans="1:6" ht="16" thickTop="1" x14ac:dyDescent="0.35">
      <c r="A29" s="700">
        <v>8</v>
      </c>
      <c r="B29" s="676" t="s">
        <v>1034</v>
      </c>
      <c r="C29" s="680" t="s">
        <v>1046</v>
      </c>
      <c r="D29" s="680">
        <v>10</v>
      </c>
      <c r="E29" s="706" t="s">
        <v>1047</v>
      </c>
      <c r="F29" s="703"/>
    </row>
    <row r="30" spans="1:6" ht="16" thickBot="1" x14ac:dyDescent="0.4">
      <c r="A30" s="704"/>
      <c r="B30" s="676"/>
      <c r="C30" s="680"/>
      <c r="D30" s="680"/>
      <c r="E30" s="680"/>
      <c r="F30" s="703"/>
    </row>
    <row r="31" spans="1:6" ht="16" thickTop="1" x14ac:dyDescent="0.35">
      <c r="A31" s="700">
        <v>9</v>
      </c>
      <c r="B31" s="705"/>
      <c r="C31" s="702"/>
      <c r="D31" s="702"/>
      <c r="E31" s="702"/>
      <c r="F31" s="703"/>
    </row>
    <row r="32" spans="1:6" ht="16" thickBot="1" x14ac:dyDescent="0.4">
      <c r="A32" s="704"/>
      <c r="B32" s="705"/>
      <c r="C32" s="702"/>
      <c r="D32" s="702"/>
      <c r="E32" s="702"/>
      <c r="F32" s="703"/>
    </row>
    <row r="33" spans="1:8" ht="16" thickTop="1" x14ac:dyDescent="0.35">
      <c r="A33" s="700">
        <v>10</v>
      </c>
      <c r="B33" s="705"/>
      <c r="C33" s="702"/>
      <c r="D33" s="702"/>
      <c r="E33" s="702"/>
      <c r="F33" s="703"/>
    </row>
    <row r="34" spans="1:8" ht="16" thickBot="1" x14ac:dyDescent="0.4">
      <c r="A34" s="704"/>
      <c r="B34" s="705"/>
      <c r="C34" s="702"/>
      <c r="D34" s="702"/>
      <c r="E34" s="702"/>
      <c r="F34" s="703"/>
    </row>
    <row r="35" spans="1:8" ht="16" thickTop="1" x14ac:dyDescent="0.35">
      <c r="A35" s="700">
        <v>11</v>
      </c>
      <c r="B35" s="676"/>
      <c r="C35" s="702"/>
      <c r="D35" s="702"/>
      <c r="E35" s="702"/>
      <c r="F35" s="680"/>
    </row>
    <row r="36" spans="1:8" x14ac:dyDescent="0.35">
      <c r="A36" s="701"/>
      <c r="B36" s="676"/>
      <c r="C36" s="702"/>
      <c r="D36" s="702"/>
      <c r="E36" s="702"/>
      <c r="F36" s="680"/>
    </row>
    <row r="37" spans="1:8" x14ac:dyDescent="0.35">
      <c r="A37" s="402"/>
      <c r="B37" s="51"/>
      <c r="C37" s="402"/>
      <c r="D37" s="402"/>
      <c r="E37" s="402"/>
      <c r="F37" s="402"/>
    </row>
    <row r="38" spans="1:8" x14ac:dyDescent="0.35">
      <c r="B38" s="44"/>
      <c r="C38" s="44"/>
      <c r="D38" s="44" t="s">
        <v>1002</v>
      </c>
      <c r="E38" s="44"/>
    </row>
    <row r="39" spans="1:8" x14ac:dyDescent="0.35">
      <c r="B39" s="44"/>
      <c r="C39" s="44"/>
      <c r="D39" s="44"/>
      <c r="E39" s="44"/>
    </row>
    <row r="40" spans="1:8" x14ac:dyDescent="0.35">
      <c r="B40" s="44" t="s">
        <v>925</v>
      </c>
      <c r="C40" s="44"/>
      <c r="D40" s="44" t="s">
        <v>43</v>
      </c>
      <c r="E40" s="44"/>
    </row>
    <row r="41" spans="1:8" x14ac:dyDescent="0.35">
      <c r="B41" s="44"/>
      <c r="C41" s="44"/>
      <c r="D41" s="44"/>
      <c r="E41" s="44"/>
    </row>
    <row r="42" spans="1:8" x14ac:dyDescent="0.35">
      <c r="B42" s="44"/>
      <c r="C42" s="44"/>
      <c r="D42" s="44"/>
      <c r="E42" s="44"/>
    </row>
    <row r="43" spans="1:8" x14ac:dyDescent="0.35">
      <c r="B43" s="44"/>
      <c r="C43" s="44"/>
      <c r="D43" s="44"/>
      <c r="E43" s="44"/>
    </row>
    <row r="44" spans="1:8" x14ac:dyDescent="0.35">
      <c r="B44" s="49" t="str">
        <f>'CP (6)'!B28</f>
        <v>Taufiq Afandi, S.Pd</v>
      </c>
      <c r="C44" s="44"/>
      <c r="D44" s="49" t="str">
        <f>'CP (6)'!F28</f>
        <v>Jumari, S.Pd.T., M.Eng</v>
      </c>
      <c r="E44" s="44"/>
    </row>
    <row r="45" spans="1:8" x14ac:dyDescent="0.35">
      <c r="B45" s="49" t="str">
        <f>'CP (6)'!B29</f>
        <v>NIP. 197505112006041004</v>
      </c>
      <c r="C45" s="44"/>
      <c r="D45" s="49" t="str">
        <f>'CP (6)'!F29</f>
        <v>NIP. 198311152024211006</v>
      </c>
      <c r="E45" s="44"/>
    </row>
    <row r="46" spans="1:8" x14ac:dyDescent="0.35">
      <c r="B46" s="494" t="s">
        <v>190</v>
      </c>
      <c r="C46" s="44"/>
      <c r="D46" s="49"/>
      <c r="E46" s="44"/>
    </row>
    <row r="47" spans="1:8" ht="12" customHeight="1" x14ac:dyDescent="0.35">
      <c r="B47" s="49" t="str">
        <f>'CP (6)'!B31</f>
        <v>Kepala Sekolah</v>
      </c>
      <c r="D47" s="49" t="str">
        <f>'CP (6)'!F31</f>
        <v>WKS Kurikulum</v>
      </c>
      <c r="E47" s="44"/>
    </row>
    <row r="48" spans="1:8" x14ac:dyDescent="0.35">
      <c r="B48" s="49"/>
      <c r="C48" s="44"/>
      <c r="D48" s="49"/>
      <c r="E48" s="44"/>
      <c r="G48" s="44"/>
      <c r="H48" s="44"/>
    </row>
    <row r="49" spans="2:8" x14ac:dyDescent="0.35">
      <c r="B49" s="49"/>
      <c r="C49" s="44"/>
      <c r="D49" s="49"/>
      <c r="E49" s="44"/>
      <c r="G49" s="44"/>
      <c r="H49" s="44"/>
    </row>
    <row r="50" spans="2:8" x14ac:dyDescent="0.35">
      <c r="B50" s="49"/>
      <c r="C50" s="44"/>
      <c r="D50" s="49"/>
      <c r="E50" s="44"/>
      <c r="G50" s="44"/>
      <c r="H50" s="44"/>
    </row>
    <row r="51" spans="2:8" x14ac:dyDescent="0.35">
      <c r="B51" s="49" t="str">
        <f>'CP (6)'!B35</f>
        <v>Widada, S.Pd., M.Pd.</v>
      </c>
      <c r="C51" s="44"/>
      <c r="D51" s="49" t="str">
        <f>'CP (6)'!F35</f>
        <v>Gunawan S Pd., M Pd</v>
      </c>
      <c r="E51" s="44"/>
      <c r="G51" s="44"/>
      <c r="H51" s="44"/>
    </row>
    <row r="52" spans="2:8" x14ac:dyDescent="0.35">
      <c r="B52" s="49" t="str">
        <f>'CP (6)'!B36</f>
        <v>NIP. 196902122000121002</v>
      </c>
      <c r="C52" s="44"/>
      <c r="D52" s="49" t="str">
        <f>'CP (6)'!F36</f>
        <v>NIP. 197112132005011004</v>
      </c>
      <c r="E52" s="44"/>
      <c r="G52" s="44"/>
      <c r="H52" s="44"/>
    </row>
    <row r="53" spans="2:8" x14ac:dyDescent="0.35">
      <c r="B53" s="49"/>
      <c r="C53" s="44"/>
      <c r="D53" s="49"/>
      <c r="E53" s="44"/>
      <c r="G53" s="44"/>
      <c r="H53" s="44"/>
    </row>
    <row r="54" spans="2:8" x14ac:dyDescent="0.35">
      <c r="G54" s="44"/>
      <c r="H54" s="44"/>
    </row>
    <row r="55" spans="2:8" x14ac:dyDescent="0.35">
      <c r="B55" s="44"/>
      <c r="C55" s="44"/>
      <c r="D55" s="44"/>
      <c r="E55" s="44"/>
      <c r="G55" s="44"/>
      <c r="H55" s="44"/>
    </row>
    <row r="56" spans="2:8" x14ac:dyDescent="0.35">
      <c r="B56" s="44"/>
      <c r="C56" s="44"/>
      <c r="D56" s="52"/>
      <c r="E56" s="44"/>
      <c r="G56" s="44"/>
      <c r="H56" s="44"/>
    </row>
    <row r="57" spans="2:8" x14ac:dyDescent="0.35">
      <c r="B57" s="370"/>
      <c r="D57" s="52"/>
      <c r="E57" s="44"/>
      <c r="G57" s="44"/>
      <c r="H57" s="44"/>
    </row>
    <row r="58" spans="2:8" x14ac:dyDescent="0.35">
      <c r="B58" s="44"/>
      <c r="C58" s="44"/>
      <c r="D58" s="44"/>
      <c r="E58" s="44"/>
      <c r="G58" s="44"/>
      <c r="H58" s="44"/>
    </row>
    <row r="59" spans="2:8" x14ac:dyDescent="0.35">
      <c r="B59" s="44"/>
      <c r="C59" s="44"/>
      <c r="D59" s="44"/>
      <c r="E59" s="44"/>
      <c r="G59" s="44"/>
      <c r="H59" s="44"/>
    </row>
    <row r="60" spans="2:8" x14ac:dyDescent="0.35">
      <c r="B60" s="44"/>
      <c r="C60" s="44"/>
      <c r="D60" s="44"/>
      <c r="E60" s="44"/>
      <c r="G60" s="44"/>
      <c r="H60" s="44"/>
    </row>
    <row r="61" spans="2:8" x14ac:dyDescent="0.35">
      <c r="B61" s="44"/>
      <c r="C61" s="44"/>
      <c r="D61" s="44"/>
      <c r="E61" s="44"/>
      <c r="G61" s="44"/>
      <c r="H61" s="44"/>
    </row>
    <row r="62" spans="2:8" x14ac:dyDescent="0.35">
      <c r="B62" s="44"/>
      <c r="C62" s="44"/>
      <c r="D62" s="49"/>
      <c r="E62" s="44"/>
      <c r="G62" s="44"/>
      <c r="H62" s="44"/>
    </row>
    <row r="63" spans="2:8" x14ac:dyDescent="0.35">
      <c r="B63" s="44"/>
      <c r="C63" s="44"/>
      <c r="D63" s="49"/>
      <c r="E63" s="44"/>
      <c r="G63" s="44"/>
      <c r="H63" s="44"/>
    </row>
  </sheetData>
  <mergeCells count="83">
    <mergeCell ref="F1:G1"/>
    <mergeCell ref="F2:G2"/>
    <mergeCell ref="A12:A13"/>
    <mergeCell ref="B12:B13"/>
    <mergeCell ref="C12:C13"/>
    <mergeCell ref="D12:D13"/>
    <mergeCell ref="E12:F12"/>
    <mergeCell ref="A3:F3"/>
    <mergeCell ref="E14:E15"/>
    <mergeCell ref="F14:F15"/>
    <mergeCell ref="I3:N3"/>
    <mergeCell ref="I6:N6"/>
    <mergeCell ref="I7:N7"/>
    <mergeCell ref="I9:N9"/>
    <mergeCell ref="I12:I13"/>
    <mergeCell ref="J12:J13"/>
    <mergeCell ref="K12:K13"/>
    <mergeCell ref="L12:L13"/>
    <mergeCell ref="M12:N12"/>
    <mergeCell ref="A14:A15"/>
    <mergeCell ref="B16:B17"/>
    <mergeCell ref="A16:A17"/>
    <mergeCell ref="C16:C17"/>
    <mergeCell ref="D16:D17"/>
    <mergeCell ref="B14:B15"/>
    <mergeCell ref="C14:C15"/>
    <mergeCell ref="D14:D15"/>
    <mergeCell ref="F20:F22"/>
    <mergeCell ref="A23:A24"/>
    <mergeCell ref="B23:B24"/>
    <mergeCell ref="E16:E17"/>
    <mergeCell ref="F16:F17"/>
    <mergeCell ref="A18:A19"/>
    <mergeCell ref="B18:B19"/>
    <mergeCell ref="C18:C19"/>
    <mergeCell ref="D18:D19"/>
    <mergeCell ref="E18:E19"/>
    <mergeCell ref="F18:F19"/>
    <mergeCell ref="A20:A22"/>
    <mergeCell ref="B20:B22"/>
    <mergeCell ref="C20:C22"/>
    <mergeCell ref="D20:D22"/>
    <mergeCell ref="E20:E22"/>
    <mergeCell ref="C23:C24"/>
    <mergeCell ref="D23:D24"/>
    <mergeCell ref="E23:E24"/>
    <mergeCell ref="F23:F24"/>
    <mergeCell ref="A25:A26"/>
    <mergeCell ref="B25:B26"/>
    <mergeCell ref="C25:C26"/>
    <mergeCell ref="D25:D26"/>
    <mergeCell ref="E25:E26"/>
    <mergeCell ref="F25:F26"/>
    <mergeCell ref="F27:F28"/>
    <mergeCell ref="B29:B30"/>
    <mergeCell ref="A29:A30"/>
    <mergeCell ref="C29:C30"/>
    <mergeCell ref="D29:D30"/>
    <mergeCell ref="E29:E30"/>
    <mergeCell ref="F29:F30"/>
    <mergeCell ref="A27:A28"/>
    <mergeCell ref="B27:B28"/>
    <mergeCell ref="C27:C28"/>
    <mergeCell ref="D27:D28"/>
    <mergeCell ref="E27:E28"/>
    <mergeCell ref="F31:F32"/>
    <mergeCell ref="A33:A34"/>
    <mergeCell ref="B33:B34"/>
    <mergeCell ref="C33:C34"/>
    <mergeCell ref="D33:D34"/>
    <mergeCell ref="E33:E34"/>
    <mergeCell ref="F33:F34"/>
    <mergeCell ref="A31:A32"/>
    <mergeCell ref="B31:B32"/>
    <mergeCell ref="C31:C32"/>
    <mergeCell ref="D31:D32"/>
    <mergeCell ref="E31:E32"/>
    <mergeCell ref="F35:F36"/>
    <mergeCell ref="A35:A36"/>
    <mergeCell ref="B35:B36"/>
    <mergeCell ref="C35:C36"/>
    <mergeCell ref="D35:D36"/>
    <mergeCell ref="E35:E36"/>
  </mergeCells>
  <phoneticPr fontId="104" type="noConversion"/>
  <pageMargins left="0.98425196850393704" right="0.31496062992125984" top="0.39370078740157483" bottom="0.39370078740157483" header="0.31496062992125984" footer="0.31496062992125984"/>
  <pageSetup paperSize="258" scale="80" orientation="portrait" horizontalDpi="300" verticalDpi="300" r:id="rId1"/>
  <colBreaks count="1" manualBreakCount="1">
    <brk id="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G39"/>
  <sheetViews>
    <sheetView view="pageBreakPreview" zoomScale="86" zoomScaleNormal="85" zoomScaleSheetLayoutView="86" workbookViewId="0">
      <selection activeCell="B15" sqref="B15:B22"/>
    </sheetView>
  </sheetViews>
  <sheetFormatPr defaultRowHeight="14.5" x14ac:dyDescent="0.35"/>
  <cols>
    <col min="2" max="2" width="27.36328125" customWidth="1"/>
    <col min="3" max="3" width="44.453125" customWidth="1"/>
    <col min="4" max="4" width="10.1796875" customWidth="1"/>
    <col min="5" max="5" width="7.90625" bestFit="1" customWidth="1"/>
    <col min="6" max="6" width="9" customWidth="1"/>
  </cols>
  <sheetData>
    <row r="2" spans="1:7" ht="15.5" x14ac:dyDescent="0.35">
      <c r="A2" s="41"/>
      <c r="B2" s="41"/>
      <c r="C2" s="41"/>
      <c r="D2" s="41"/>
      <c r="E2" s="721" t="s">
        <v>753</v>
      </c>
      <c r="F2" s="722"/>
    </row>
    <row r="3" spans="1:7" ht="15.5" x14ac:dyDescent="0.35">
      <c r="A3" s="41"/>
      <c r="B3" s="41"/>
      <c r="C3" s="41"/>
      <c r="D3" s="41"/>
      <c r="E3" s="723">
        <v>45483</v>
      </c>
      <c r="F3" s="724"/>
    </row>
    <row r="4" spans="1:7" ht="17.5" x14ac:dyDescent="0.35">
      <c r="A4" s="682" t="s">
        <v>693</v>
      </c>
      <c r="B4" s="682"/>
      <c r="C4" s="682"/>
      <c r="D4" s="682"/>
      <c r="E4" s="682"/>
      <c r="F4" s="682"/>
      <c r="G4" s="201"/>
    </row>
    <row r="5" spans="1:7" ht="15.5" x14ac:dyDescent="0.35">
      <c r="A5" s="41"/>
      <c r="B5" s="41"/>
      <c r="C5" s="41"/>
      <c r="D5" s="41"/>
      <c r="E5" s="41"/>
      <c r="F5" s="41"/>
      <c r="G5" s="255"/>
    </row>
    <row r="6" spans="1:7" ht="15.5" x14ac:dyDescent="0.35">
      <c r="A6" s="44" t="s">
        <v>661</v>
      </c>
      <c r="B6" s="52"/>
      <c r="C6" s="44" t="s">
        <v>1050</v>
      </c>
      <c r="D6" s="41"/>
      <c r="E6" s="41"/>
      <c r="F6" s="41"/>
      <c r="G6" s="255"/>
    </row>
    <row r="7" spans="1:7" ht="15.5" x14ac:dyDescent="0.35">
      <c r="A7" s="44" t="s">
        <v>663</v>
      </c>
      <c r="B7" s="52"/>
      <c r="C7" s="44" t="s">
        <v>776</v>
      </c>
      <c r="D7" s="41"/>
      <c r="E7" s="42"/>
      <c r="F7" s="42"/>
      <c r="G7" s="41"/>
    </row>
    <row r="8" spans="1:7" ht="15.5" x14ac:dyDescent="0.35">
      <c r="A8" s="44" t="s">
        <v>40</v>
      </c>
      <c r="B8" s="44"/>
      <c r="C8" s="44" t="str">
        <f>'Analisis Materi (7)'!C7</f>
        <v>: Pemrograman Sistem Embeded</v>
      </c>
      <c r="D8" s="41"/>
      <c r="E8" s="201"/>
      <c r="F8" s="201"/>
      <c r="G8" s="41"/>
    </row>
    <row r="9" spans="1:7" ht="15.5" x14ac:dyDescent="0.35">
      <c r="A9" s="44" t="s">
        <v>662</v>
      </c>
      <c r="B9" s="52"/>
      <c r="C9" s="43" t="s">
        <v>773</v>
      </c>
      <c r="D9" s="41"/>
      <c r="E9" s="201"/>
      <c r="F9" s="201"/>
      <c r="G9" s="41"/>
    </row>
    <row r="10" spans="1:7" ht="15.5" x14ac:dyDescent="0.35">
      <c r="A10" s="44" t="s">
        <v>41</v>
      </c>
      <c r="B10" s="52"/>
      <c r="C10" s="44" t="s">
        <v>775</v>
      </c>
      <c r="D10" s="41"/>
      <c r="E10" s="46"/>
      <c r="F10" s="46"/>
      <c r="G10" s="41"/>
    </row>
    <row r="11" spans="1:7" ht="15.5" x14ac:dyDescent="0.35">
      <c r="A11" s="44" t="s">
        <v>111</v>
      </c>
      <c r="B11" s="52"/>
      <c r="C11" s="44" t="s">
        <v>777</v>
      </c>
      <c r="D11" s="41"/>
      <c r="E11" s="41"/>
      <c r="F11" s="41"/>
      <c r="G11" s="201"/>
    </row>
    <row r="12" spans="1:7" x14ac:dyDescent="0.35">
      <c r="A12" s="44" t="s">
        <v>42</v>
      </c>
      <c r="B12" s="52"/>
      <c r="C12" s="44" t="s">
        <v>990</v>
      </c>
    </row>
    <row r="14" spans="1:7" ht="30" x14ac:dyDescent="0.35">
      <c r="A14" s="499" t="s">
        <v>689</v>
      </c>
      <c r="B14" s="499" t="s">
        <v>690</v>
      </c>
      <c r="C14" s="499" t="s">
        <v>691</v>
      </c>
      <c r="D14" s="499" t="s">
        <v>692</v>
      </c>
      <c r="E14" s="499" t="s">
        <v>359</v>
      </c>
      <c r="F14" s="499" t="s">
        <v>111</v>
      </c>
    </row>
    <row r="15" spans="1:7" ht="40.5" customHeight="1" x14ac:dyDescent="0.35">
      <c r="A15" s="708">
        <v>1</v>
      </c>
      <c r="B15" s="708" t="s">
        <v>1018</v>
      </c>
      <c r="C15" s="500" t="s">
        <v>1028</v>
      </c>
      <c r="D15" s="501" t="s">
        <v>1039</v>
      </c>
      <c r="E15" s="501">
        <v>8</v>
      </c>
      <c r="F15" s="501">
        <v>3</v>
      </c>
    </row>
    <row r="16" spans="1:7" ht="44" customHeight="1" x14ac:dyDescent="0.35">
      <c r="A16" s="725"/>
      <c r="B16" s="725"/>
      <c r="C16" s="500" t="s">
        <v>1029</v>
      </c>
      <c r="D16" s="501" t="s">
        <v>1040</v>
      </c>
      <c r="E16" s="501">
        <v>8</v>
      </c>
      <c r="F16" s="501">
        <v>3</v>
      </c>
    </row>
    <row r="17" spans="1:6" ht="31" x14ac:dyDescent="0.35">
      <c r="A17" s="725"/>
      <c r="B17" s="725"/>
      <c r="C17" s="500" t="s">
        <v>1030</v>
      </c>
      <c r="D17" s="501" t="s">
        <v>1041</v>
      </c>
      <c r="E17" s="501">
        <v>8</v>
      </c>
      <c r="F17" s="501">
        <v>3</v>
      </c>
    </row>
    <row r="18" spans="1:6" ht="31" x14ac:dyDescent="0.35">
      <c r="A18" s="725"/>
      <c r="B18" s="725"/>
      <c r="C18" s="500" t="s">
        <v>1031</v>
      </c>
      <c r="D18" s="501" t="s">
        <v>1042</v>
      </c>
      <c r="E18" s="501">
        <v>8</v>
      </c>
      <c r="F18" s="501">
        <v>3</v>
      </c>
    </row>
    <row r="19" spans="1:6" ht="31" x14ac:dyDescent="0.35">
      <c r="A19" s="725"/>
      <c r="B19" s="725"/>
      <c r="C19" s="500" t="s">
        <v>1032</v>
      </c>
      <c r="D19" s="501" t="s">
        <v>1043</v>
      </c>
      <c r="E19" s="501">
        <v>8</v>
      </c>
      <c r="F19" s="501">
        <v>3</v>
      </c>
    </row>
    <row r="20" spans="1:6" ht="31" x14ac:dyDescent="0.35">
      <c r="A20" s="725"/>
      <c r="B20" s="725"/>
      <c r="C20" s="500" t="s">
        <v>1033</v>
      </c>
      <c r="D20" s="501" t="s">
        <v>1044</v>
      </c>
      <c r="E20" s="501">
        <v>8</v>
      </c>
      <c r="F20" s="501">
        <v>3</v>
      </c>
    </row>
    <row r="21" spans="1:6" ht="31" x14ac:dyDescent="0.35">
      <c r="A21" s="725"/>
      <c r="B21" s="725"/>
      <c r="C21" s="500" t="s">
        <v>1034</v>
      </c>
      <c r="D21" s="501" t="s">
        <v>1045</v>
      </c>
      <c r="E21" s="501">
        <v>10</v>
      </c>
      <c r="F21" s="501">
        <v>3</v>
      </c>
    </row>
    <row r="22" spans="1:6" ht="31" x14ac:dyDescent="0.35">
      <c r="A22" s="709"/>
      <c r="B22" s="709"/>
      <c r="C22" s="500" t="s">
        <v>1034</v>
      </c>
      <c r="D22" s="501" t="s">
        <v>1046</v>
      </c>
      <c r="E22" s="501">
        <v>10</v>
      </c>
      <c r="F22" s="501">
        <v>3</v>
      </c>
    </row>
    <row r="23" spans="1:6" x14ac:dyDescent="0.35">
      <c r="A23" s="338"/>
      <c r="B23" s="338"/>
      <c r="C23" s="338" t="s">
        <v>337</v>
      </c>
      <c r="D23" s="338"/>
      <c r="E23" s="338">
        <v>76</v>
      </c>
      <c r="F23" s="338"/>
    </row>
    <row r="25" spans="1:6" ht="15.5" x14ac:dyDescent="0.35">
      <c r="A25" s="41"/>
      <c r="B25" s="44"/>
      <c r="C25" s="44"/>
      <c r="D25" s="44" t="s">
        <v>1002</v>
      </c>
      <c r="E25" s="44"/>
      <c r="F25" s="41"/>
    </row>
    <row r="26" spans="1:6" ht="15.5" x14ac:dyDescent="0.35">
      <c r="A26" s="41"/>
      <c r="B26" s="44"/>
      <c r="C26" s="44"/>
      <c r="D26" s="44"/>
      <c r="E26" s="44"/>
      <c r="F26" s="41"/>
    </row>
    <row r="27" spans="1:6" ht="15.5" x14ac:dyDescent="0.35">
      <c r="A27" s="41"/>
      <c r="B27" s="44" t="s">
        <v>925</v>
      </c>
      <c r="C27" s="44"/>
      <c r="D27" s="44" t="s">
        <v>43</v>
      </c>
      <c r="E27" s="44"/>
      <c r="F27" s="41"/>
    </row>
    <row r="28" spans="1:6" ht="15.5" x14ac:dyDescent="0.35">
      <c r="A28" s="41"/>
      <c r="B28" s="44"/>
      <c r="C28" s="44"/>
      <c r="D28" s="44"/>
      <c r="E28" s="44"/>
      <c r="F28" s="41"/>
    </row>
    <row r="29" spans="1:6" ht="15.5" x14ac:dyDescent="0.35">
      <c r="A29" s="41"/>
      <c r="B29" s="44"/>
      <c r="C29" s="44"/>
      <c r="D29" s="44"/>
      <c r="E29" s="44"/>
      <c r="F29" s="41"/>
    </row>
    <row r="30" spans="1:6" ht="15.5" x14ac:dyDescent="0.35">
      <c r="A30" s="41"/>
      <c r="B30" s="44"/>
      <c r="C30" s="44"/>
      <c r="D30" s="44"/>
      <c r="E30" s="44"/>
      <c r="F30" s="41"/>
    </row>
    <row r="31" spans="1:6" ht="15.5" x14ac:dyDescent="0.35">
      <c r="A31" s="41"/>
      <c r="B31" s="49" t="str">
        <f>'Analisis Materi (7)'!B44</f>
        <v>Taufiq Afandi, S.Pd</v>
      </c>
      <c r="C31" s="49"/>
      <c r="D31" s="49" t="str">
        <f>'Analisis Materi (7)'!D44</f>
        <v>Jumari, S.Pd.T., M.Eng</v>
      </c>
      <c r="E31" s="44"/>
      <c r="F31" s="41"/>
    </row>
    <row r="32" spans="1:6" ht="15.5" x14ac:dyDescent="0.35">
      <c r="A32" s="41"/>
      <c r="B32" s="49" t="str">
        <f>'Analisis Materi (7)'!B45</f>
        <v>NIP. 197505112006041004</v>
      </c>
      <c r="C32" s="49"/>
      <c r="D32" s="49" t="str">
        <f>'Analisis Materi (7)'!D45</f>
        <v>NIP. 198311152024211006</v>
      </c>
      <c r="E32" s="44"/>
      <c r="F32" s="41"/>
    </row>
    <row r="33" spans="1:6" ht="15.5" x14ac:dyDescent="0.35">
      <c r="A33" s="41"/>
      <c r="B33" s="720" t="str">
        <f>'Analisis Materi (7)'!B46</f>
        <v>Mengetahui</v>
      </c>
      <c r="C33" s="720"/>
      <c r="D33" s="720"/>
      <c r="E33" s="720"/>
      <c r="F33" s="41"/>
    </row>
    <row r="34" spans="1:6" ht="15.5" x14ac:dyDescent="0.35">
      <c r="A34" s="41"/>
      <c r="B34" s="49" t="str">
        <f>'Analisis Materi (7)'!B47</f>
        <v>Kepala Sekolah</v>
      </c>
      <c r="C34" s="49"/>
      <c r="D34" s="49" t="str">
        <f>'Analisis Materi (7)'!D47</f>
        <v>WKS Kurikulum</v>
      </c>
      <c r="E34" s="44"/>
      <c r="F34" s="41"/>
    </row>
    <row r="35" spans="1:6" ht="15.5" x14ac:dyDescent="0.35">
      <c r="A35" s="41"/>
      <c r="B35" s="49"/>
      <c r="C35" s="49"/>
      <c r="D35" s="49"/>
      <c r="E35" s="44"/>
      <c r="F35" s="41"/>
    </row>
    <row r="36" spans="1:6" ht="15.5" x14ac:dyDescent="0.35">
      <c r="A36" s="41"/>
      <c r="B36" s="49"/>
      <c r="C36" s="49"/>
      <c r="D36" s="49"/>
      <c r="E36" s="44"/>
      <c r="F36" s="41"/>
    </row>
    <row r="37" spans="1:6" ht="15.5" x14ac:dyDescent="0.35">
      <c r="A37" s="41"/>
      <c r="B37" s="49"/>
      <c r="C37" s="49"/>
      <c r="D37" s="49"/>
      <c r="E37" s="44"/>
      <c r="F37" s="41"/>
    </row>
    <row r="38" spans="1:6" ht="15.5" x14ac:dyDescent="0.35">
      <c r="A38" s="41"/>
      <c r="B38" s="49" t="str">
        <f>'Analisis Materi (7)'!B51</f>
        <v>Widada, S.Pd., M.Pd.</v>
      </c>
      <c r="C38" s="49"/>
      <c r="D38" s="49" t="str">
        <f>'Analisis Materi (7)'!D51</f>
        <v>Gunawan S Pd., M Pd</v>
      </c>
      <c r="E38" s="44"/>
      <c r="F38" s="41"/>
    </row>
    <row r="39" spans="1:6" ht="15.5" x14ac:dyDescent="0.35">
      <c r="A39" s="41"/>
      <c r="B39" s="49" t="str">
        <f>'Analisis Materi (7)'!B52</f>
        <v>NIP. 196902122000121002</v>
      </c>
      <c r="C39" s="49"/>
      <c r="D39" s="49" t="str">
        <f>'Analisis Materi (7)'!D52</f>
        <v>NIP. 197112132005011004</v>
      </c>
      <c r="E39" s="44"/>
      <c r="F39" s="41"/>
    </row>
  </sheetData>
  <mergeCells count="6">
    <mergeCell ref="B33:E33"/>
    <mergeCell ref="A4:F4"/>
    <mergeCell ref="E2:F2"/>
    <mergeCell ref="E3:F3"/>
    <mergeCell ref="B15:B22"/>
    <mergeCell ref="A15:A22"/>
  </mergeCells>
  <phoneticPr fontId="104" type="noConversion"/>
  <pageMargins left="0.7" right="0.7" top="0.75" bottom="0.75" header="0.3" footer="0.3"/>
  <pageSetup paperSize="258" scale="80" fitToWidth="0" fitToHeight="0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8"/>
  <sheetViews>
    <sheetView zoomScale="70" zoomScaleNormal="70" workbookViewId="0">
      <selection activeCell="J11" sqref="J11"/>
    </sheetView>
  </sheetViews>
  <sheetFormatPr defaultRowHeight="14.5" x14ac:dyDescent="0.35"/>
  <cols>
    <col min="1" max="1" width="3.453125" customWidth="1"/>
    <col min="2" max="2" width="4.7265625" customWidth="1"/>
    <col min="3" max="3" width="51.453125" customWidth="1"/>
    <col min="4" max="4" width="16.26953125" customWidth="1"/>
    <col min="5" max="5" width="24" customWidth="1"/>
    <col min="6" max="6" width="28.1796875" customWidth="1"/>
    <col min="7" max="7" width="20.81640625" customWidth="1"/>
    <col min="8" max="8" width="12.1796875" customWidth="1"/>
    <col min="9" max="9" width="15.54296875" customWidth="1"/>
    <col min="10" max="10" width="14" customWidth="1"/>
    <col min="12" max="12" width="26.81640625" bestFit="1" customWidth="1"/>
  </cols>
  <sheetData>
    <row r="1" spans="1:11" ht="18" x14ac:dyDescent="0.4">
      <c r="B1" s="515" t="s">
        <v>686</v>
      </c>
      <c r="C1" s="515"/>
      <c r="D1" s="515"/>
      <c r="E1" s="515"/>
      <c r="F1" s="515"/>
      <c r="G1" s="515"/>
      <c r="H1" s="515"/>
      <c r="I1" s="515"/>
      <c r="J1" s="515"/>
      <c r="K1" s="43"/>
    </row>
    <row r="2" spans="1:11" ht="15.5" x14ac:dyDescent="0.35">
      <c r="B2" s="43"/>
      <c r="C2" s="44" t="s">
        <v>661</v>
      </c>
      <c r="D2" s="52"/>
      <c r="E2" s="44" t="s">
        <v>776</v>
      </c>
      <c r="F2" s="43"/>
      <c r="G2" s="43"/>
      <c r="H2" s="43"/>
      <c r="I2" s="43"/>
      <c r="J2" s="680" t="s">
        <v>754</v>
      </c>
      <c r="K2" s="680"/>
    </row>
    <row r="3" spans="1:11" ht="15.5" x14ac:dyDescent="0.35">
      <c r="C3" s="44" t="s">
        <v>663</v>
      </c>
      <c r="D3" s="52"/>
      <c r="E3" s="44" t="s">
        <v>772</v>
      </c>
      <c r="F3" s="43"/>
      <c r="G3" s="43"/>
      <c r="H3" s="43"/>
      <c r="I3" s="43"/>
      <c r="J3" s="681">
        <v>45483</v>
      </c>
      <c r="K3" s="681"/>
    </row>
    <row r="4" spans="1:11" ht="15" customHeight="1" x14ac:dyDescent="0.35">
      <c r="C4" s="44" t="s">
        <v>40</v>
      </c>
      <c r="D4" s="44"/>
      <c r="E4" s="44" t="str">
        <f>'ATP (8)'!C8</f>
        <v>: Pemrograman Sistem Embeded</v>
      </c>
      <c r="F4" s="43"/>
      <c r="G4" s="43"/>
      <c r="H4" s="43"/>
      <c r="I4" s="43"/>
      <c r="J4" s="43"/>
      <c r="K4" s="43"/>
    </row>
    <row r="5" spans="1:11" ht="15" customHeight="1" x14ac:dyDescent="0.35">
      <c r="C5" s="44" t="s">
        <v>662</v>
      </c>
      <c r="D5" s="52"/>
      <c r="E5" s="43" t="s">
        <v>773</v>
      </c>
      <c r="F5" s="43"/>
      <c r="G5" s="43"/>
      <c r="H5" s="43"/>
      <c r="I5" s="43"/>
      <c r="J5" s="43"/>
      <c r="K5" s="43"/>
    </row>
    <row r="6" spans="1:11" ht="15" customHeight="1" x14ac:dyDescent="0.35">
      <c r="C6" s="44" t="s">
        <v>41</v>
      </c>
      <c r="D6" s="52"/>
      <c r="E6" s="44" t="s">
        <v>775</v>
      </c>
      <c r="F6" s="43"/>
      <c r="G6" s="43"/>
      <c r="H6" s="43"/>
      <c r="I6" s="43"/>
      <c r="J6" s="43"/>
      <c r="K6" s="43"/>
    </row>
    <row r="7" spans="1:11" ht="15" customHeight="1" x14ac:dyDescent="0.35">
      <c r="C7" s="44" t="s">
        <v>111</v>
      </c>
      <c r="D7" s="52"/>
      <c r="E7" s="44" t="s">
        <v>777</v>
      </c>
      <c r="F7" s="43"/>
      <c r="G7" s="43"/>
      <c r="H7" s="43"/>
      <c r="I7" s="43"/>
      <c r="J7" s="43"/>
      <c r="K7" s="43"/>
    </row>
    <row r="8" spans="1:11" ht="15.5" x14ac:dyDescent="0.35">
      <c r="B8" s="41"/>
      <c r="C8" s="44" t="s">
        <v>42</v>
      </c>
      <c r="D8" s="52"/>
      <c r="E8" s="44" t="s">
        <v>990</v>
      </c>
      <c r="F8" s="41"/>
      <c r="G8" s="41"/>
      <c r="H8" s="41"/>
      <c r="I8" s="41"/>
      <c r="J8" s="41"/>
      <c r="K8" s="41"/>
    </row>
    <row r="9" spans="1:11" ht="15.5" x14ac:dyDescent="0.35">
      <c r="B9" s="57"/>
      <c r="C9" s="57"/>
      <c r="D9" s="57"/>
      <c r="E9" s="57"/>
      <c r="F9" s="57"/>
      <c r="G9" s="57"/>
      <c r="H9" s="57"/>
    </row>
    <row r="10" spans="1:11" ht="43.5" x14ac:dyDescent="0.35">
      <c r="B10" s="344" t="s">
        <v>689</v>
      </c>
      <c r="C10" s="344" t="s">
        <v>697</v>
      </c>
      <c r="D10" s="344" t="s">
        <v>695</v>
      </c>
      <c r="E10" s="344" t="s">
        <v>691</v>
      </c>
      <c r="F10" s="344" t="s">
        <v>696</v>
      </c>
      <c r="G10" s="344" t="s">
        <v>698</v>
      </c>
      <c r="H10" s="344" t="s">
        <v>699</v>
      </c>
      <c r="I10" s="344" t="s">
        <v>359</v>
      </c>
      <c r="J10" s="344" t="s">
        <v>360</v>
      </c>
      <c r="K10" s="344" t="s">
        <v>335</v>
      </c>
    </row>
    <row r="11" spans="1:11" ht="99" customHeight="1" x14ac:dyDescent="0.35">
      <c r="B11" s="490"/>
      <c r="C11" s="491"/>
      <c r="D11" s="490"/>
      <c r="E11" s="491"/>
      <c r="F11" s="491"/>
      <c r="G11" s="491"/>
      <c r="H11" s="491"/>
      <c r="I11" s="491"/>
      <c r="J11" s="491"/>
      <c r="K11" s="490"/>
    </row>
    <row r="12" spans="1:11" x14ac:dyDescent="0.35">
      <c r="B12" s="490"/>
      <c r="C12" s="492"/>
      <c r="D12" s="490"/>
      <c r="E12" s="492"/>
      <c r="F12" s="491"/>
      <c r="G12" s="491"/>
      <c r="H12" s="491"/>
      <c r="I12" s="491"/>
      <c r="J12" s="491"/>
      <c r="K12" s="490"/>
    </row>
    <row r="13" spans="1:11" ht="91.5" customHeight="1" x14ac:dyDescent="0.35">
      <c r="B13" s="490"/>
      <c r="C13" s="491"/>
      <c r="D13" s="490"/>
      <c r="E13" s="491"/>
      <c r="F13" s="491"/>
      <c r="G13" s="491"/>
      <c r="H13" s="491"/>
      <c r="I13" s="491"/>
      <c r="J13" s="491"/>
      <c r="K13" s="490"/>
    </row>
    <row r="14" spans="1:11" ht="145.5" customHeight="1" x14ac:dyDescent="0.35">
      <c r="B14" s="490"/>
      <c r="C14" s="491"/>
      <c r="D14" s="490"/>
      <c r="E14" s="492"/>
      <c r="F14" s="492"/>
      <c r="G14" s="491"/>
      <c r="H14" s="491"/>
      <c r="I14" s="491"/>
      <c r="J14" s="491"/>
      <c r="K14" s="490"/>
    </row>
    <row r="15" spans="1:11" ht="98.25" customHeight="1" x14ac:dyDescent="0.35">
      <c r="B15" s="490"/>
      <c r="C15" s="491"/>
      <c r="D15" s="490"/>
      <c r="E15" s="491"/>
      <c r="F15" s="491"/>
      <c r="G15" s="491"/>
      <c r="H15" s="491"/>
      <c r="I15" s="491"/>
      <c r="J15" s="491"/>
      <c r="K15" s="490"/>
    </row>
    <row r="16" spans="1:11" ht="84.75" customHeight="1" x14ac:dyDescent="0.35">
      <c r="A16" t="s">
        <v>15</v>
      </c>
      <c r="B16" s="491"/>
      <c r="C16" s="492"/>
      <c r="D16" s="490"/>
      <c r="E16" s="491"/>
      <c r="F16" s="491"/>
      <c r="G16" s="492"/>
      <c r="H16" s="492"/>
      <c r="I16" s="491"/>
      <c r="J16" s="491"/>
      <c r="K16" s="490"/>
    </row>
    <row r="17" spans="2:21" ht="87.75" customHeight="1" x14ac:dyDescent="0.35">
      <c r="B17" s="490"/>
      <c r="C17" s="491"/>
      <c r="D17" s="490"/>
      <c r="E17" s="491"/>
      <c r="F17" s="491"/>
      <c r="G17" s="492"/>
      <c r="H17" s="491"/>
      <c r="I17" s="492"/>
      <c r="J17" s="491"/>
      <c r="K17" s="490"/>
    </row>
    <row r="18" spans="2:21" ht="213.75" customHeight="1" x14ac:dyDescent="0.35">
      <c r="B18" s="490"/>
      <c r="C18" s="491"/>
      <c r="D18" s="490"/>
      <c r="E18" s="492"/>
      <c r="F18" s="491"/>
      <c r="G18" s="491"/>
      <c r="H18" s="491"/>
      <c r="I18" s="491"/>
      <c r="J18" s="491"/>
      <c r="K18" s="490"/>
    </row>
    <row r="19" spans="2:21" ht="213.75" customHeight="1" x14ac:dyDescent="0.35">
      <c r="B19" s="490"/>
      <c r="C19" s="491"/>
      <c r="D19" s="490"/>
      <c r="E19" s="492"/>
      <c r="F19" s="492"/>
      <c r="G19" s="491"/>
      <c r="H19" s="491"/>
      <c r="I19" s="491"/>
      <c r="J19" s="491"/>
      <c r="K19" s="490"/>
      <c r="M19" s="41"/>
      <c r="N19" s="42"/>
      <c r="O19" s="42"/>
      <c r="P19" s="42"/>
      <c r="U19" s="41"/>
    </row>
    <row r="20" spans="2:21" ht="102" customHeight="1" x14ac:dyDescent="0.35">
      <c r="B20" s="490"/>
      <c r="C20" s="491"/>
      <c r="D20" s="490"/>
      <c r="E20" s="491"/>
      <c r="F20" s="491"/>
      <c r="G20" s="491"/>
      <c r="H20" s="491"/>
      <c r="I20" s="491"/>
      <c r="J20" s="491"/>
      <c r="K20" s="490"/>
      <c r="M20" s="42"/>
      <c r="N20" s="41"/>
      <c r="O20" s="42"/>
      <c r="P20" s="42"/>
      <c r="U20" s="41"/>
    </row>
    <row r="21" spans="2:21" ht="15.5" x14ac:dyDescent="0.35">
      <c r="B21" s="490"/>
      <c r="C21" s="491"/>
      <c r="D21" s="490"/>
      <c r="E21" s="491"/>
      <c r="F21" s="491"/>
      <c r="G21" s="491"/>
      <c r="H21" s="491"/>
      <c r="I21" s="491"/>
      <c r="J21" s="491"/>
      <c r="K21" s="490"/>
      <c r="M21" s="42"/>
      <c r="O21" s="352"/>
      <c r="P21" s="352"/>
      <c r="R21" s="42"/>
      <c r="S21" s="42"/>
      <c r="U21" s="41"/>
    </row>
    <row r="22" spans="2:21" ht="15.5" x14ac:dyDescent="0.35">
      <c r="B22" s="392"/>
      <c r="C22" s="392"/>
      <c r="D22" s="392"/>
      <c r="E22" s="392"/>
      <c r="F22" s="392"/>
      <c r="G22" s="393"/>
      <c r="H22" s="392"/>
      <c r="I22" s="392"/>
      <c r="J22" s="392"/>
      <c r="K22" s="392"/>
      <c r="M22" s="42"/>
      <c r="N22" s="249"/>
      <c r="O22" s="42"/>
      <c r="P22" s="42"/>
      <c r="Q22" s="41"/>
      <c r="R22" s="41"/>
      <c r="S22" s="41"/>
    </row>
    <row r="23" spans="2:21" ht="15.5" x14ac:dyDescent="0.35">
      <c r="B23" s="392"/>
      <c r="C23" s="392"/>
      <c r="D23" s="392"/>
      <c r="E23" s="392"/>
      <c r="F23" s="392"/>
      <c r="G23" s="392"/>
      <c r="H23" s="392"/>
      <c r="I23" s="392"/>
      <c r="J23" s="392"/>
      <c r="K23" s="392"/>
      <c r="M23" s="42"/>
      <c r="N23" s="249"/>
      <c r="O23" s="42"/>
      <c r="P23" s="42"/>
      <c r="Q23" s="41"/>
      <c r="R23" s="41"/>
      <c r="S23" s="41"/>
    </row>
    <row r="24" spans="2:21" ht="15.5" x14ac:dyDescent="0.35">
      <c r="B24" s="392"/>
      <c r="C24" s="392"/>
      <c r="D24" s="392"/>
      <c r="E24" s="392"/>
      <c r="F24" s="392"/>
      <c r="G24" s="392"/>
      <c r="H24" s="392"/>
      <c r="I24" s="392"/>
      <c r="J24" s="392"/>
      <c r="K24" s="392"/>
      <c r="M24" s="42"/>
      <c r="N24" s="250"/>
      <c r="O24" s="42"/>
      <c r="P24" s="42"/>
      <c r="Q24" s="41"/>
      <c r="R24" s="41"/>
      <c r="S24" s="41"/>
    </row>
    <row r="25" spans="2:21" ht="15.5" x14ac:dyDescent="0.35">
      <c r="B25" s="392"/>
      <c r="C25" s="41"/>
      <c r="D25" s="42"/>
      <c r="E25" s="42"/>
      <c r="F25" s="42"/>
      <c r="J25" s="41" t="s">
        <v>1003</v>
      </c>
      <c r="O25" s="251"/>
      <c r="P25" s="251"/>
      <c r="Q25" s="35"/>
      <c r="R25" s="35"/>
      <c r="S25" s="35"/>
    </row>
    <row r="26" spans="2:21" ht="15.5" x14ac:dyDescent="0.35">
      <c r="B26" s="392"/>
      <c r="C26" s="42" t="s">
        <v>34</v>
      </c>
      <c r="D26" s="41"/>
      <c r="E26" s="42"/>
      <c r="F26" s="42"/>
      <c r="J26" s="41"/>
      <c r="O26" s="251"/>
      <c r="P26" s="251"/>
      <c r="Q26" s="42"/>
      <c r="R26" s="42"/>
      <c r="S26" s="42"/>
    </row>
    <row r="27" spans="2:21" ht="15.5" x14ac:dyDescent="0.35">
      <c r="B27" s="392"/>
      <c r="C27" s="42" t="s">
        <v>144</v>
      </c>
      <c r="E27" s="352" t="s">
        <v>325</v>
      </c>
      <c r="G27" s="42" t="s">
        <v>995</v>
      </c>
      <c r="I27" s="42"/>
      <c r="J27" s="41" t="s">
        <v>43</v>
      </c>
    </row>
    <row r="28" spans="2:21" ht="15.5" x14ac:dyDescent="0.35">
      <c r="B28" s="392"/>
      <c r="C28" s="42"/>
      <c r="D28" s="249"/>
      <c r="E28" s="42"/>
      <c r="G28" s="41"/>
      <c r="I28" s="41"/>
    </row>
    <row r="29" spans="2:21" ht="15.5" x14ac:dyDescent="0.35">
      <c r="B29" s="392"/>
      <c r="C29" s="42"/>
      <c r="D29" s="249"/>
      <c r="E29" s="42"/>
      <c r="G29" s="41"/>
      <c r="I29" s="41"/>
    </row>
    <row r="30" spans="2:21" ht="15.5" x14ac:dyDescent="0.35">
      <c r="B30" s="392"/>
      <c r="C30" s="42"/>
      <c r="D30" s="250"/>
      <c r="E30" s="42"/>
      <c r="G30" s="41"/>
      <c r="I30" s="41"/>
    </row>
    <row r="31" spans="2:21" ht="15.5" x14ac:dyDescent="0.35">
      <c r="B31" s="392"/>
      <c r="C31" s="42" t="str">
        <f>'PROSEM(5)  '!C89</f>
        <v>Widada, S.Pd., M.Pd.</v>
      </c>
      <c r="E31" s="251" t="str">
        <f>'PROSEM(5)  '!D89</f>
        <v>Gunawan S Pd., M Pd</v>
      </c>
      <c r="G31" s="35" t="str">
        <f>'PROSEM(5)  '!P89</f>
        <v>Taufiq Afandi, S.Pd</v>
      </c>
      <c r="I31" s="35"/>
      <c r="J31" s="41" t="str">
        <f>'PROSEM(5)  '!Z89</f>
        <v>Jumari, S.Pd.T., M.Eng</v>
      </c>
    </row>
    <row r="32" spans="2:21" ht="15.5" x14ac:dyDescent="0.35">
      <c r="B32" s="392"/>
      <c r="C32" s="42" t="str">
        <f>'PROSEM(5)  '!C90</f>
        <v>NIP. 196902122000121002</v>
      </c>
      <c r="E32" s="251" t="str">
        <f>'PROSEM(5)  '!D90</f>
        <v>NIP. 197112132005011004</v>
      </c>
      <c r="G32" s="35" t="str">
        <f>'PROSEM(5)  '!P90</f>
        <v>NIP. 197505112006041004</v>
      </c>
      <c r="I32" s="42"/>
      <c r="J32" s="41" t="str">
        <f>'PROSEM(5)  '!Z90</f>
        <v>NIP. 198311152024211006</v>
      </c>
    </row>
    <row r="33" spans="2:11" x14ac:dyDescent="0.35">
      <c r="B33" s="392"/>
      <c r="C33" s="392"/>
      <c r="D33" s="392"/>
      <c r="E33" s="392"/>
      <c r="F33" s="392"/>
      <c r="G33" s="392"/>
      <c r="H33" s="392"/>
      <c r="I33" s="392"/>
      <c r="J33" s="392"/>
      <c r="K33" s="392"/>
    </row>
    <row r="34" spans="2:11" x14ac:dyDescent="0.35">
      <c r="B34" s="392"/>
      <c r="C34" s="392"/>
      <c r="D34" s="392"/>
      <c r="E34" s="392"/>
      <c r="F34" s="392"/>
      <c r="G34" s="392"/>
      <c r="H34" s="392"/>
      <c r="I34" s="392"/>
      <c r="J34" s="392"/>
      <c r="K34" s="392"/>
    </row>
    <row r="35" spans="2:11" x14ac:dyDescent="0.35">
      <c r="B35" s="392"/>
      <c r="C35" s="392"/>
      <c r="D35" s="392"/>
      <c r="E35" s="392"/>
      <c r="F35" s="392"/>
      <c r="G35" s="392"/>
      <c r="H35" s="392"/>
      <c r="I35" s="392"/>
      <c r="J35" s="392"/>
      <c r="K35" s="392"/>
    </row>
    <row r="36" spans="2:11" x14ac:dyDescent="0.35">
      <c r="B36" s="392"/>
      <c r="C36" s="392"/>
      <c r="D36" s="392"/>
      <c r="E36" s="392"/>
      <c r="F36" s="392"/>
      <c r="G36" s="392"/>
      <c r="H36" s="392"/>
      <c r="I36" s="392"/>
      <c r="J36" s="392"/>
      <c r="K36" s="392"/>
    </row>
    <row r="37" spans="2:11" x14ac:dyDescent="0.35">
      <c r="B37" s="392"/>
      <c r="C37" s="392"/>
      <c r="D37" s="392"/>
      <c r="E37" s="392"/>
      <c r="F37" s="392"/>
      <c r="G37" s="392"/>
      <c r="H37" s="392"/>
      <c r="I37" s="392"/>
      <c r="J37" s="392"/>
      <c r="K37" s="392"/>
    </row>
    <row r="38" spans="2:11" x14ac:dyDescent="0.35">
      <c r="B38" s="392"/>
      <c r="C38" s="392"/>
      <c r="D38" s="392"/>
      <c r="E38" s="392"/>
      <c r="F38" s="392"/>
      <c r="G38" s="392"/>
      <c r="H38" s="392"/>
      <c r="I38" s="392"/>
      <c r="J38" s="392"/>
      <c r="K38" s="392"/>
    </row>
  </sheetData>
  <mergeCells count="3">
    <mergeCell ref="B1:J1"/>
    <mergeCell ref="J2:K2"/>
    <mergeCell ref="J3:K3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72"/>
  <sheetViews>
    <sheetView topLeftCell="A28" zoomScale="70" zoomScaleNormal="70" workbookViewId="0">
      <selection activeCell="G8" sqref="G8:G31"/>
    </sheetView>
  </sheetViews>
  <sheetFormatPr defaultRowHeight="18" customHeight="1" x14ac:dyDescent="0.35"/>
  <cols>
    <col min="2" max="2" width="50.1796875" bestFit="1" customWidth="1"/>
    <col min="3" max="3" width="1.81640625" bestFit="1" customWidth="1"/>
    <col min="4" max="4" width="38.81640625" customWidth="1"/>
    <col min="6" max="6" width="15" bestFit="1" customWidth="1"/>
    <col min="7" max="7" width="4.7265625" bestFit="1" customWidth="1"/>
    <col min="8" max="8" width="34.1796875" customWidth="1"/>
    <col min="9" max="9" width="81.1796875" customWidth="1"/>
    <col min="10" max="10" width="13.1796875" customWidth="1"/>
    <col min="11" max="13" width="12.1796875" customWidth="1"/>
    <col min="14" max="14" width="17.54296875" customWidth="1"/>
  </cols>
  <sheetData>
    <row r="1" spans="2:14" ht="18" customHeight="1" x14ac:dyDescent="0.35">
      <c r="D1" s="24" t="s">
        <v>755</v>
      </c>
      <c r="E1" s="11"/>
      <c r="F1" s="11"/>
      <c r="G1" s="11"/>
    </row>
    <row r="2" spans="2:14" ht="18" customHeight="1" x14ac:dyDescent="0.35">
      <c r="D2" s="22">
        <v>45117</v>
      </c>
      <c r="E2" s="302"/>
      <c r="F2" s="302"/>
      <c r="G2" s="302"/>
    </row>
    <row r="5" spans="2:14" ht="28.5" customHeight="1" x14ac:dyDescent="0.35">
      <c r="B5" s="521" t="s">
        <v>700</v>
      </c>
      <c r="C5" s="521"/>
      <c r="D5" s="521"/>
      <c r="E5" s="177"/>
      <c r="F5" s="177"/>
      <c r="G5" s="738" t="s">
        <v>1</v>
      </c>
      <c r="H5" s="738" t="s">
        <v>715</v>
      </c>
      <c r="I5" s="738" t="s">
        <v>697</v>
      </c>
      <c r="J5" s="743" t="s">
        <v>725</v>
      </c>
      <c r="K5" s="744"/>
      <c r="L5" s="744"/>
      <c r="M5" s="745"/>
      <c r="N5" s="741" t="s">
        <v>716</v>
      </c>
    </row>
    <row r="6" spans="2:14" ht="40.5" customHeight="1" x14ac:dyDescent="0.35">
      <c r="B6" s="521" t="s">
        <v>710</v>
      </c>
      <c r="C6" s="521"/>
      <c r="D6" s="521"/>
      <c r="E6" s="177"/>
      <c r="F6" s="177"/>
      <c r="G6" s="739"/>
      <c r="H6" s="739"/>
      <c r="I6" s="739"/>
      <c r="J6" s="374" t="s">
        <v>717</v>
      </c>
      <c r="K6" s="375" t="s">
        <v>718</v>
      </c>
      <c r="L6" s="375" t="s">
        <v>719</v>
      </c>
      <c r="M6" s="375" t="s">
        <v>720</v>
      </c>
      <c r="N6" s="741"/>
    </row>
    <row r="7" spans="2:14" ht="19.5" customHeight="1" x14ac:dyDescent="0.35">
      <c r="B7" s="521" t="s">
        <v>991</v>
      </c>
      <c r="C7" s="521"/>
      <c r="D7" s="521"/>
      <c r="E7" s="177"/>
      <c r="F7" s="177"/>
      <c r="G7" s="740"/>
      <c r="H7" s="740"/>
      <c r="I7" s="740"/>
      <c r="J7" s="377" t="s">
        <v>721</v>
      </c>
      <c r="K7" s="377" t="s">
        <v>722</v>
      </c>
      <c r="L7" s="377" t="s">
        <v>723</v>
      </c>
      <c r="M7" s="377" t="s">
        <v>724</v>
      </c>
      <c r="N7" s="741"/>
    </row>
    <row r="8" spans="2:14" ht="18" customHeight="1" x14ac:dyDescent="0.35">
      <c r="E8" s="177"/>
      <c r="F8" s="177"/>
      <c r="G8" s="731"/>
      <c r="H8" s="734"/>
      <c r="I8" s="376"/>
      <c r="J8" s="377"/>
      <c r="K8" s="377"/>
      <c r="L8" s="377"/>
      <c r="M8" s="377"/>
      <c r="N8" s="746"/>
    </row>
    <row r="9" spans="2:14" ht="18" customHeight="1" x14ac:dyDescent="0.35">
      <c r="G9" s="732"/>
      <c r="H9" s="736"/>
      <c r="I9" s="734"/>
      <c r="J9" s="734"/>
      <c r="K9" s="734"/>
      <c r="L9" s="734"/>
      <c r="M9" s="734"/>
      <c r="N9" s="746"/>
    </row>
    <row r="10" spans="2:14" ht="18" customHeight="1" x14ac:dyDescent="0.35">
      <c r="B10" s="371" t="s">
        <v>362</v>
      </c>
      <c r="C10" s="371" t="s">
        <v>71</v>
      </c>
      <c r="D10" s="372"/>
      <c r="G10" s="732"/>
      <c r="H10" s="736"/>
      <c r="I10" s="735"/>
      <c r="J10" s="735"/>
      <c r="K10" s="735"/>
      <c r="L10" s="735"/>
      <c r="M10" s="735"/>
      <c r="N10" s="742"/>
    </row>
    <row r="11" spans="2:14" ht="18" customHeight="1" x14ac:dyDescent="0.35">
      <c r="B11" s="737" t="s">
        <v>702</v>
      </c>
      <c r="C11" s="737" t="s">
        <v>71</v>
      </c>
      <c r="D11" s="372"/>
      <c r="G11" s="732"/>
      <c r="H11" s="736"/>
      <c r="I11" s="734"/>
      <c r="J11" s="734"/>
      <c r="K11" s="734"/>
      <c r="L11" s="734"/>
      <c r="M11" s="734"/>
      <c r="N11" s="742"/>
    </row>
    <row r="12" spans="2:14" ht="18" customHeight="1" x14ac:dyDescent="0.35">
      <c r="B12" s="737"/>
      <c r="C12" s="737"/>
      <c r="D12" s="372"/>
      <c r="G12" s="732"/>
      <c r="H12" s="736"/>
      <c r="I12" s="736"/>
      <c r="J12" s="736"/>
      <c r="K12" s="736"/>
      <c r="L12" s="736"/>
      <c r="M12" s="736"/>
      <c r="N12" s="742"/>
    </row>
    <row r="13" spans="2:14" ht="18" customHeight="1" x14ac:dyDescent="0.35">
      <c r="B13" s="737" t="s">
        <v>703</v>
      </c>
      <c r="C13" s="737" t="s">
        <v>71</v>
      </c>
      <c r="D13" s="371"/>
      <c r="G13" s="732"/>
      <c r="H13" s="736"/>
      <c r="I13" s="735"/>
      <c r="J13" s="735"/>
      <c r="K13" s="735"/>
      <c r="L13" s="735"/>
      <c r="M13" s="735"/>
      <c r="N13" s="742"/>
    </row>
    <row r="14" spans="2:14" ht="18" customHeight="1" x14ac:dyDescent="0.35">
      <c r="B14" s="737"/>
      <c r="C14" s="737"/>
      <c r="D14" s="371"/>
      <c r="G14" s="732"/>
      <c r="H14" s="736"/>
      <c r="I14" s="734"/>
      <c r="J14" s="734"/>
      <c r="K14" s="734"/>
      <c r="L14" s="734"/>
      <c r="M14" s="734"/>
      <c r="N14" s="378"/>
    </row>
    <row r="15" spans="2:14" ht="18" customHeight="1" x14ac:dyDescent="0.35">
      <c r="B15" s="737" t="s">
        <v>704</v>
      </c>
      <c r="C15" s="737" t="s">
        <v>71</v>
      </c>
      <c r="D15" s="371"/>
      <c r="G15" s="733"/>
      <c r="H15" s="735"/>
      <c r="I15" s="735"/>
      <c r="J15" s="735"/>
      <c r="K15" s="735"/>
      <c r="L15" s="735"/>
      <c r="M15" s="735"/>
      <c r="N15" s="742"/>
    </row>
    <row r="16" spans="2:14" ht="18" customHeight="1" x14ac:dyDescent="0.35">
      <c r="B16" s="737"/>
      <c r="C16" s="737"/>
      <c r="D16" s="371"/>
      <c r="G16" s="731"/>
      <c r="H16" s="731"/>
      <c r="I16" s="376"/>
      <c r="J16" s="377"/>
      <c r="K16" s="377"/>
      <c r="L16" s="377"/>
      <c r="M16" s="377"/>
      <c r="N16" s="742"/>
    </row>
    <row r="17" spans="2:14" ht="18" customHeight="1" x14ac:dyDescent="0.35">
      <c r="B17" s="371"/>
      <c r="C17" s="371"/>
      <c r="D17" s="371"/>
      <c r="G17" s="732"/>
      <c r="H17" s="732"/>
      <c r="I17" s="734"/>
      <c r="J17" s="734"/>
      <c r="K17" s="734"/>
      <c r="L17" s="734"/>
      <c r="M17" s="734"/>
      <c r="N17" s="742"/>
    </row>
    <row r="18" spans="2:14" ht="18" customHeight="1" x14ac:dyDescent="0.35">
      <c r="B18" s="371" t="s">
        <v>705</v>
      </c>
      <c r="C18" s="371" t="s">
        <v>71</v>
      </c>
      <c r="D18" s="371"/>
      <c r="G18" s="732"/>
      <c r="H18" s="732"/>
      <c r="I18" s="735"/>
      <c r="J18" s="735"/>
      <c r="K18" s="735"/>
      <c r="L18" s="735"/>
      <c r="M18" s="735"/>
      <c r="N18" s="742"/>
    </row>
    <row r="19" spans="2:14" ht="18" customHeight="1" x14ac:dyDescent="0.35">
      <c r="B19" s="371" t="s">
        <v>706</v>
      </c>
      <c r="C19" s="371" t="s">
        <v>35</v>
      </c>
      <c r="D19" s="371"/>
      <c r="G19" s="732"/>
      <c r="H19" s="732"/>
      <c r="I19" s="734"/>
      <c r="J19" s="734"/>
      <c r="K19" s="734"/>
      <c r="L19" s="734"/>
      <c r="M19" s="734"/>
      <c r="N19" s="742"/>
    </row>
    <row r="20" spans="2:14" ht="18" customHeight="1" x14ac:dyDescent="0.35">
      <c r="B20" s="371" t="s">
        <v>707</v>
      </c>
      <c r="C20" s="371" t="s">
        <v>71</v>
      </c>
      <c r="D20" s="371"/>
      <c r="G20" s="732"/>
      <c r="H20" s="732"/>
      <c r="I20" s="735"/>
      <c r="J20" s="735"/>
      <c r="K20" s="735"/>
      <c r="L20" s="735"/>
      <c r="M20" s="735"/>
      <c r="N20" s="378"/>
    </row>
    <row r="21" spans="2:14" ht="18" customHeight="1" x14ac:dyDescent="0.35">
      <c r="B21" s="371" t="s">
        <v>708</v>
      </c>
      <c r="C21" s="371" t="s">
        <v>71</v>
      </c>
      <c r="D21" s="371"/>
      <c r="G21" s="733"/>
      <c r="H21" s="733"/>
      <c r="I21" s="394"/>
      <c r="J21" s="395"/>
      <c r="K21" s="395"/>
      <c r="L21" s="395"/>
      <c r="M21" s="395"/>
      <c r="N21" s="742"/>
    </row>
    <row r="22" spans="2:14" ht="18" customHeight="1" x14ac:dyDescent="0.35">
      <c r="B22" s="371" t="s">
        <v>709</v>
      </c>
      <c r="C22" s="371" t="s">
        <v>71</v>
      </c>
      <c r="D22" s="371"/>
      <c r="G22" s="731"/>
      <c r="H22" s="731"/>
      <c r="I22" s="395"/>
      <c r="J22" s="395"/>
      <c r="K22" s="395"/>
      <c r="L22" s="395"/>
      <c r="M22" s="395"/>
      <c r="N22" s="742"/>
    </row>
    <row r="23" spans="2:14" ht="18" customHeight="1" x14ac:dyDescent="0.35">
      <c r="G23" s="732"/>
      <c r="H23" s="732"/>
      <c r="I23" s="395"/>
      <c r="J23" s="377"/>
      <c r="K23" s="377"/>
      <c r="L23" s="377"/>
      <c r="M23" s="377"/>
      <c r="N23" s="742"/>
    </row>
    <row r="24" spans="2:14" ht="18" customHeight="1" x14ac:dyDescent="0.35">
      <c r="G24" s="732"/>
      <c r="H24" s="732"/>
      <c r="I24" s="376"/>
      <c r="J24" s="377"/>
      <c r="K24" s="377"/>
      <c r="L24" s="377"/>
      <c r="M24" s="377"/>
      <c r="N24" s="742"/>
    </row>
    <row r="25" spans="2:14" ht="18" customHeight="1" x14ac:dyDescent="0.35">
      <c r="B25" s="371" t="s">
        <v>711</v>
      </c>
      <c r="C25" s="371" t="s">
        <v>71</v>
      </c>
      <c r="D25" s="372"/>
      <c r="G25" s="733"/>
      <c r="H25" s="733"/>
      <c r="I25" s="376"/>
      <c r="J25" s="377"/>
      <c r="K25" s="377"/>
      <c r="L25" s="377"/>
      <c r="M25" s="377"/>
      <c r="N25" s="378"/>
    </row>
    <row r="26" spans="2:14" ht="18" customHeight="1" x14ac:dyDescent="0.35">
      <c r="B26" s="371" t="s">
        <v>712</v>
      </c>
      <c r="C26" s="371" t="s">
        <v>71</v>
      </c>
      <c r="D26" s="372"/>
      <c r="G26" s="731"/>
      <c r="H26" s="731"/>
      <c r="I26" s="376"/>
      <c r="J26" s="377"/>
      <c r="K26" s="377"/>
      <c r="L26" s="377"/>
      <c r="M26" s="377"/>
      <c r="N26" s="742"/>
    </row>
    <row r="27" spans="2:14" ht="18" customHeight="1" x14ac:dyDescent="0.35">
      <c r="B27" s="737" t="s">
        <v>713</v>
      </c>
      <c r="C27" s="737" t="s">
        <v>71</v>
      </c>
      <c r="D27" s="373"/>
      <c r="G27" s="732"/>
      <c r="H27" s="732"/>
      <c r="I27" s="376"/>
      <c r="J27" s="377"/>
      <c r="K27" s="377"/>
      <c r="L27" s="377"/>
      <c r="M27" s="377"/>
      <c r="N27" s="742"/>
    </row>
    <row r="28" spans="2:14" ht="18" customHeight="1" x14ac:dyDescent="0.35">
      <c r="B28" s="737"/>
      <c r="C28" s="737"/>
      <c r="D28" s="373"/>
      <c r="G28" s="733"/>
      <c r="H28" s="733"/>
      <c r="I28" s="376"/>
      <c r="J28" s="377"/>
      <c r="K28" s="377"/>
      <c r="L28" s="377"/>
      <c r="M28" s="377"/>
      <c r="N28" s="742"/>
    </row>
    <row r="29" spans="2:14" ht="18" customHeight="1" x14ac:dyDescent="0.35">
      <c r="B29" s="737"/>
      <c r="C29" s="737"/>
      <c r="D29" s="373"/>
      <c r="G29" s="731"/>
      <c r="H29" s="728"/>
      <c r="I29" s="726"/>
      <c r="J29" s="377"/>
      <c r="K29" s="377"/>
      <c r="L29" s="377"/>
      <c r="M29" s="377"/>
      <c r="N29" s="742"/>
    </row>
    <row r="30" spans="2:14" ht="18" customHeight="1" x14ac:dyDescent="0.35">
      <c r="B30" s="737"/>
      <c r="C30" s="737"/>
      <c r="D30" s="373"/>
      <c r="G30" s="732"/>
      <c r="H30" s="729"/>
      <c r="I30" s="727"/>
      <c r="J30" s="377"/>
      <c r="K30" s="377"/>
      <c r="L30" s="377"/>
      <c r="M30" s="377"/>
      <c r="N30" s="742"/>
    </row>
    <row r="31" spans="2:14" ht="18" customHeight="1" x14ac:dyDescent="0.35">
      <c r="B31" s="737"/>
      <c r="C31" s="737"/>
      <c r="D31" s="373"/>
      <c r="G31" s="733"/>
      <c r="H31" s="730"/>
      <c r="I31" s="376"/>
      <c r="J31" s="377"/>
      <c r="K31" s="377"/>
      <c r="L31" s="377"/>
      <c r="M31" s="377"/>
      <c r="N31" s="379"/>
    </row>
    <row r="32" spans="2:14" ht="18" customHeight="1" x14ac:dyDescent="0.35">
      <c r="B32" s="737" t="s">
        <v>714</v>
      </c>
      <c r="C32" s="737" t="s">
        <v>71</v>
      </c>
      <c r="D32" s="373"/>
      <c r="G32" s="377"/>
      <c r="H32" s="371"/>
      <c r="I32" s="376"/>
      <c r="J32" s="377"/>
      <c r="K32" s="377"/>
      <c r="L32" s="377"/>
      <c r="M32" s="377"/>
      <c r="N32" s="742"/>
    </row>
    <row r="33" spans="2:15" ht="18" customHeight="1" x14ac:dyDescent="0.35">
      <c r="B33" s="737"/>
      <c r="C33" s="737"/>
      <c r="D33" s="373"/>
      <c r="G33" s="377"/>
      <c r="H33" s="371"/>
      <c r="I33" s="376"/>
      <c r="J33" s="377"/>
      <c r="K33" s="377"/>
      <c r="L33" s="377"/>
      <c r="M33" s="377"/>
      <c r="N33" s="742"/>
    </row>
    <row r="34" spans="2:15" ht="18" customHeight="1" x14ac:dyDescent="0.35">
      <c r="B34" s="737"/>
      <c r="C34" s="737"/>
      <c r="D34" s="373"/>
      <c r="G34" s="377"/>
      <c r="H34" s="371"/>
      <c r="I34" s="376"/>
      <c r="J34" s="377"/>
      <c r="K34" s="377"/>
      <c r="L34" s="377"/>
      <c r="M34" s="377"/>
      <c r="N34" s="742"/>
    </row>
    <row r="35" spans="2:15" ht="18" customHeight="1" x14ac:dyDescent="0.35">
      <c r="B35" s="737"/>
      <c r="C35" s="737"/>
      <c r="D35" s="373"/>
      <c r="G35" s="377"/>
      <c r="H35" s="371"/>
      <c r="I35" s="376"/>
      <c r="J35" s="377"/>
      <c r="K35" s="377"/>
      <c r="L35" s="377"/>
      <c r="M35" s="377"/>
      <c r="N35" s="742"/>
    </row>
    <row r="36" spans="2:15" ht="18" customHeight="1" x14ac:dyDescent="0.35">
      <c r="B36" s="737"/>
      <c r="C36" s="737"/>
      <c r="D36" s="373"/>
      <c r="G36" s="377"/>
      <c r="H36" s="371"/>
      <c r="I36" s="376"/>
      <c r="J36" s="377"/>
      <c r="K36" s="377"/>
      <c r="L36" s="377"/>
      <c r="M36" s="377"/>
      <c r="N36" s="742"/>
    </row>
    <row r="37" spans="2:15" ht="18" customHeight="1" x14ac:dyDescent="0.35">
      <c r="G37" s="377"/>
      <c r="H37" s="371"/>
      <c r="I37" s="376"/>
      <c r="J37" s="377"/>
      <c r="K37" s="377"/>
      <c r="L37" s="377"/>
      <c r="M37" s="377"/>
      <c r="N37" s="742"/>
    </row>
    <row r="41" spans="2:15" ht="18" customHeight="1" x14ac:dyDescent="0.35">
      <c r="G41" s="392"/>
      <c r="H41" s="392"/>
      <c r="I41" s="392"/>
      <c r="J41" s="392"/>
      <c r="K41" s="392"/>
      <c r="L41" s="392"/>
      <c r="M41" s="392"/>
      <c r="N41" s="392"/>
      <c r="O41" s="392"/>
    </row>
    <row r="42" spans="2:15" ht="18" customHeight="1" x14ac:dyDescent="0.35">
      <c r="G42" s="41"/>
      <c r="H42" s="42"/>
      <c r="I42" s="42"/>
      <c r="J42" s="42"/>
      <c r="N42" s="41" t="s">
        <v>1003</v>
      </c>
    </row>
    <row r="43" spans="2:15" ht="18" customHeight="1" x14ac:dyDescent="0.35">
      <c r="G43" s="42" t="s">
        <v>34</v>
      </c>
      <c r="H43" s="41"/>
      <c r="I43" s="42"/>
      <c r="J43" s="42"/>
      <c r="N43" s="41"/>
    </row>
    <row r="44" spans="2:15" ht="15.75" customHeight="1" x14ac:dyDescent="0.35">
      <c r="G44" s="42" t="s">
        <v>144</v>
      </c>
      <c r="I44" s="352" t="s">
        <v>325</v>
      </c>
      <c r="J44" s="42" t="s">
        <v>995</v>
      </c>
      <c r="M44" s="42"/>
      <c r="N44" s="41" t="s">
        <v>43</v>
      </c>
    </row>
    <row r="45" spans="2:15" ht="15.75" customHeight="1" x14ac:dyDescent="0.35">
      <c r="G45" s="42"/>
      <c r="H45" s="249"/>
      <c r="I45" s="42"/>
      <c r="J45" s="41"/>
      <c r="M45" s="41"/>
    </row>
    <row r="46" spans="2:15" ht="15.75" customHeight="1" x14ac:dyDescent="0.35">
      <c r="G46" s="42"/>
      <c r="H46" s="249"/>
      <c r="I46" s="42"/>
      <c r="J46" s="41"/>
      <c r="M46" s="41"/>
    </row>
    <row r="47" spans="2:15" ht="15.75" customHeight="1" x14ac:dyDescent="0.35">
      <c r="G47" s="42"/>
      <c r="H47" s="250"/>
      <c r="I47" s="42"/>
      <c r="J47" s="41"/>
      <c r="M47" s="41"/>
    </row>
    <row r="48" spans="2:15" ht="15.75" customHeight="1" x14ac:dyDescent="0.35">
      <c r="G48" s="42" t="str">
        <f>'TP (9)'!C31</f>
        <v>Widada, S.Pd., M.Pd.</v>
      </c>
      <c r="H48" s="42"/>
      <c r="I48" s="42" t="str">
        <f>'TP (9)'!E31</f>
        <v>Gunawan S Pd., M Pd</v>
      </c>
      <c r="J48" s="42" t="str">
        <f>'TP (9)'!G31</f>
        <v>Taufiq Afandi, S.Pd</v>
      </c>
      <c r="L48" s="42"/>
      <c r="M48" s="42"/>
      <c r="N48" s="42" t="str">
        <f>'TP (9)'!J31</f>
        <v>Jumari, S.Pd.T., M.Eng</v>
      </c>
    </row>
    <row r="49" spans="7:15" ht="15.75" customHeight="1" x14ac:dyDescent="0.35">
      <c r="G49" s="42" t="str">
        <f>'TP (9)'!C32</f>
        <v>NIP. 196902122000121002</v>
      </c>
      <c r="H49" s="42"/>
      <c r="I49" s="42" t="str">
        <f>'TP (9)'!E32</f>
        <v>NIP. 197112132005011004</v>
      </c>
      <c r="J49" s="42" t="str">
        <f>'TP (9)'!G32</f>
        <v>NIP. 197505112006041004</v>
      </c>
      <c r="L49" s="42"/>
      <c r="M49" s="42"/>
      <c r="N49" s="42" t="str">
        <f>'TP (9)'!J32</f>
        <v>NIP. 198311152024211006</v>
      </c>
    </row>
    <row r="50" spans="7:15" ht="15.75" customHeight="1" x14ac:dyDescent="0.35">
      <c r="G50" s="392"/>
      <c r="H50" s="392"/>
      <c r="I50" s="392"/>
      <c r="J50" s="392"/>
      <c r="K50" s="392"/>
      <c r="L50" s="392"/>
      <c r="M50" s="392"/>
      <c r="N50" s="392"/>
      <c r="O50" s="392"/>
    </row>
    <row r="51" spans="7:15" ht="15.75" customHeight="1" x14ac:dyDescent="0.35"/>
    <row r="52" spans="7:15" ht="15.75" customHeight="1" x14ac:dyDescent="0.35"/>
    <row r="53" spans="7:15" ht="15.75" customHeight="1" x14ac:dyDescent="0.35"/>
    <row r="54" spans="7:15" ht="15.75" customHeight="1" x14ac:dyDescent="0.35"/>
    <row r="55" spans="7:15" ht="15.75" customHeight="1" x14ac:dyDescent="0.35"/>
    <row r="56" spans="7:15" ht="15.75" customHeight="1" x14ac:dyDescent="0.35"/>
    <row r="57" spans="7:15" ht="15.75" customHeight="1" x14ac:dyDescent="0.35"/>
    <row r="58" spans="7:15" ht="15.75" customHeight="1" x14ac:dyDescent="0.35"/>
    <row r="59" spans="7:15" ht="15.75" customHeight="1" x14ac:dyDescent="0.35"/>
    <row r="60" spans="7:15" ht="15.75" customHeight="1" x14ac:dyDescent="0.35"/>
    <row r="61" spans="7:15" ht="15.75" customHeight="1" x14ac:dyDescent="0.35"/>
    <row r="62" spans="7:15" ht="15.75" customHeight="1" x14ac:dyDescent="0.35"/>
    <row r="63" spans="7:15" ht="15.75" customHeight="1" x14ac:dyDescent="0.35"/>
    <row r="64" spans="7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</sheetData>
  <mergeCells count="60">
    <mergeCell ref="N21:N24"/>
    <mergeCell ref="N26:N30"/>
    <mergeCell ref="N32:N37"/>
    <mergeCell ref="N8:N9"/>
    <mergeCell ref="N10:N13"/>
    <mergeCell ref="G5:G7"/>
    <mergeCell ref="H5:H7"/>
    <mergeCell ref="I5:I7"/>
    <mergeCell ref="N5:N7"/>
    <mergeCell ref="N15:N19"/>
    <mergeCell ref="J5:M5"/>
    <mergeCell ref="I9:I10"/>
    <mergeCell ref="I11:I13"/>
    <mergeCell ref="I14:I15"/>
    <mergeCell ref="J9:J10"/>
    <mergeCell ref="K9:K10"/>
    <mergeCell ref="L9:L10"/>
    <mergeCell ref="M9:M10"/>
    <mergeCell ref="J14:J15"/>
    <mergeCell ref="H8:H15"/>
    <mergeCell ref="G8:G15"/>
    <mergeCell ref="B27:B31"/>
    <mergeCell ref="C27:C31"/>
    <mergeCell ref="B32:B36"/>
    <mergeCell ref="C32:C36"/>
    <mergeCell ref="B5:D5"/>
    <mergeCell ref="B7:D7"/>
    <mergeCell ref="B6:D6"/>
    <mergeCell ref="B11:B12"/>
    <mergeCell ref="C11:C12"/>
    <mergeCell ref="B13:B14"/>
    <mergeCell ref="C13:C14"/>
    <mergeCell ref="B15:B16"/>
    <mergeCell ref="C15:C16"/>
    <mergeCell ref="K14:K15"/>
    <mergeCell ref="L14:L15"/>
    <mergeCell ref="M14:M15"/>
    <mergeCell ref="J11:J13"/>
    <mergeCell ref="K11:K13"/>
    <mergeCell ref="L11:L13"/>
    <mergeCell ref="M11:M13"/>
    <mergeCell ref="L17:L18"/>
    <mergeCell ref="M17:M18"/>
    <mergeCell ref="J19:J20"/>
    <mergeCell ref="K19:K20"/>
    <mergeCell ref="L19:L20"/>
    <mergeCell ref="M19:M20"/>
    <mergeCell ref="I29:I30"/>
    <mergeCell ref="H29:H31"/>
    <mergeCell ref="G29:G31"/>
    <mergeCell ref="J17:J18"/>
    <mergeCell ref="K17:K18"/>
    <mergeCell ref="I17:I18"/>
    <mergeCell ref="I19:I20"/>
    <mergeCell ref="H16:H21"/>
    <mergeCell ref="G16:G21"/>
    <mergeCell ref="H22:H25"/>
    <mergeCell ref="G22:G25"/>
    <mergeCell ref="H26:H28"/>
    <mergeCell ref="G26:G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2"/>
  <sheetViews>
    <sheetView topLeftCell="A3" workbookViewId="0">
      <selection activeCell="A3" sqref="A3:I5"/>
    </sheetView>
  </sheetViews>
  <sheetFormatPr defaultRowHeight="14.5" x14ac:dyDescent="0.35"/>
  <cols>
    <col min="1" max="1" width="26.453125" customWidth="1"/>
    <col min="2" max="2" width="22.1796875" customWidth="1"/>
    <col min="3" max="3" width="10.54296875" customWidth="1"/>
    <col min="4" max="4" width="12.54296875" customWidth="1"/>
    <col min="5" max="5" width="11.54296875" customWidth="1"/>
    <col min="6" max="6" width="15.81640625" customWidth="1"/>
    <col min="7" max="7" width="13.7265625" customWidth="1"/>
    <col min="8" max="8" width="22.7265625" customWidth="1"/>
    <col min="9" max="9" width="10.7265625" customWidth="1"/>
  </cols>
  <sheetData>
    <row r="1" spans="1:10" ht="17.5" x14ac:dyDescent="0.35">
      <c r="A1" s="521"/>
      <c r="B1" s="521"/>
      <c r="C1" s="521"/>
      <c r="D1" s="521"/>
      <c r="E1" s="521"/>
      <c r="F1" s="521"/>
      <c r="G1" s="521"/>
      <c r="H1" s="47"/>
      <c r="I1" s="217" t="s">
        <v>457</v>
      </c>
    </row>
    <row r="2" spans="1:10" ht="17.5" x14ac:dyDescent="0.35">
      <c r="A2" s="521"/>
      <c r="B2" s="521"/>
      <c r="C2" s="521"/>
      <c r="D2" s="521"/>
      <c r="E2" s="521"/>
      <c r="F2" s="521"/>
      <c r="G2" s="521"/>
      <c r="H2" s="47"/>
      <c r="I2" s="300">
        <v>41783</v>
      </c>
    </row>
    <row r="3" spans="1:10" ht="17.5" x14ac:dyDescent="0.35">
      <c r="A3" s="521" t="s">
        <v>700</v>
      </c>
      <c r="B3" s="521"/>
      <c r="C3" s="521"/>
      <c r="D3" s="521"/>
      <c r="E3" s="521"/>
      <c r="F3" s="521"/>
      <c r="G3" s="521"/>
      <c r="H3" s="521"/>
      <c r="I3" s="521"/>
    </row>
    <row r="4" spans="1:10" ht="17.5" x14ac:dyDescent="0.35">
      <c r="A4" s="521" t="s">
        <v>361</v>
      </c>
      <c r="B4" s="521"/>
      <c r="C4" s="521"/>
      <c r="D4" s="521"/>
      <c r="E4" s="521"/>
      <c r="F4" s="521"/>
      <c r="G4" s="521"/>
      <c r="H4" s="521"/>
      <c r="I4" s="521"/>
      <c r="J4" s="42"/>
    </row>
    <row r="5" spans="1:10" ht="17.5" x14ac:dyDescent="0.35">
      <c r="A5" s="521" t="s">
        <v>701</v>
      </c>
      <c r="B5" s="521"/>
      <c r="C5" s="521"/>
      <c r="D5" s="521"/>
      <c r="E5" s="521"/>
      <c r="F5" s="521"/>
      <c r="G5" s="521"/>
      <c r="H5" s="521"/>
      <c r="I5" s="521"/>
      <c r="J5" s="306"/>
    </row>
    <row r="6" spans="1:10" x14ac:dyDescent="0.35">
      <c r="A6" s="43" t="s">
        <v>362</v>
      </c>
      <c r="B6" s="48" t="s">
        <v>363</v>
      </c>
      <c r="C6" s="48"/>
      <c r="D6" s="48"/>
      <c r="E6" s="48"/>
      <c r="F6" s="48"/>
      <c r="G6" s="43"/>
      <c r="H6" s="43"/>
    </row>
    <row r="7" spans="1:10" ht="15.5" x14ac:dyDescent="0.35">
      <c r="A7" s="41" t="s">
        <v>321</v>
      </c>
      <c r="B7" s="51" t="s">
        <v>35</v>
      </c>
      <c r="C7" s="51"/>
      <c r="D7" s="51"/>
      <c r="E7" s="51"/>
      <c r="F7" s="51"/>
      <c r="G7" s="41"/>
      <c r="H7" s="41"/>
    </row>
    <row r="8" spans="1:10" ht="17.25" customHeight="1" x14ac:dyDescent="0.35">
      <c r="A8" s="41" t="s">
        <v>364</v>
      </c>
      <c r="B8" s="51" t="s">
        <v>35</v>
      </c>
      <c r="C8" s="51"/>
      <c r="D8" s="51"/>
      <c r="E8" s="51"/>
      <c r="F8" s="51"/>
      <c r="G8" s="41"/>
      <c r="H8" s="41"/>
      <c r="I8" s="41"/>
    </row>
    <row r="9" spans="1:10" ht="19.5" customHeight="1" x14ac:dyDescent="0.35">
      <c r="A9" s="41" t="s">
        <v>682</v>
      </c>
      <c r="B9" s="712" t="s">
        <v>71</v>
      </c>
      <c r="C9" s="712"/>
      <c r="D9" s="712"/>
      <c r="E9" s="712"/>
      <c r="F9" s="51"/>
      <c r="G9" s="51"/>
      <c r="H9" s="51"/>
      <c r="I9" s="41"/>
    </row>
    <row r="10" spans="1:10" ht="15.5" x14ac:dyDescent="0.35">
      <c r="A10" s="41"/>
      <c r="B10" s="758"/>
      <c r="C10" s="759"/>
      <c r="D10" s="759"/>
      <c r="E10" s="759"/>
      <c r="F10" s="759"/>
      <c r="G10" s="759"/>
      <c r="H10" s="759"/>
      <c r="I10" s="759"/>
    </row>
    <row r="11" spans="1:10" ht="15.5" x14ac:dyDescent="0.35">
      <c r="A11" s="41"/>
      <c r="B11" s="759" t="s">
        <v>71</v>
      </c>
      <c r="C11" s="759"/>
      <c r="D11" s="759"/>
      <c r="E11" s="759"/>
      <c r="F11" s="759"/>
      <c r="G11" s="759"/>
      <c r="H11" s="759"/>
      <c r="I11" s="759"/>
    </row>
    <row r="12" spans="1:10" ht="15.5" x14ac:dyDescent="0.35">
      <c r="A12" s="51" t="s">
        <v>365</v>
      </c>
      <c r="B12" s="51"/>
      <c r="C12" s="51"/>
      <c r="D12" s="51"/>
      <c r="E12" s="51"/>
      <c r="F12" s="51"/>
      <c r="G12" s="41"/>
      <c r="H12" s="41"/>
      <c r="I12" s="41"/>
    </row>
    <row r="13" spans="1:10" ht="29.25" customHeight="1" x14ac:dyDescent="0.35">
      <c r="A13" s="297" t="s">
        <v>371</v>
      </c>
      <c r="B13" s="43"/>
      <c r="C13" s="43"/>
      <c r="D13" s="43"/>
      <c r="E13" s="43"/>
      <c r="F13" s="43"/>
      <c r="G13" s="43"/>
      <c r="H13" s="43"/>
      <c r="I13" s="43"/>
    </row>
    <row r="14" spans="1:10" ht="23.25" customHeight="1" x14ac:dyDescent="0.35">
      <c r="A14" s="760" t="s">
        <v>664</v>
      </c>
      <c r="B14" s="760" t="s">
        <v>367</v>
      </c>
      <c r="C14" s="683" t="s">
        <v>368</v>
      </c>
      <c r="D14" s="760" t="s">
        <v>679</v>
      </c>
      <c r="E14" s="760" t="s">
        <v>369</v>
      </c>
      <c r="F14" s="757" t="s">
        <v>473</v>
      </c>
      <c r="G14" s="757"/>
      <c r="H14" s="757"/>
      <c r="I14" s="757"/>
    </row>
    <row r="15" spans="1:10" ht="23.25" customHeight="1" x14ac:dyDescent="0.35">
      <c r="A15" s="761"/>
      <c r="B15" s="761"/>
      <c r="C15" s="683"/>
      <c r="D15" s="761"/>
      <c r="E15" s="761"/>
      <c r="F15" s="50" t="s">
        <v>165</v>
      </c>
      <c r="G15" s="50" t="s">
        <v>680</v>
      </c>
      <c r="H15" s="368" t="s">
        <v>321</v>
      </c>
      <c r="I15" s="367" t="s">
        <v>681</v>
      </c>
    </row>
    <row r="16" spans="1:10" ht="23.25" customHeight="1" x14ac:dyDescent="0.35">
      <c r="A16" s="754"/>
      <c r="B16" s="754"/>
      <c r="C16" s="611">
        <v>1</v>
      </c>
      <c r="D16" s="611">
        <v>2</v>
      </c>
      <c r="E16" s="611">
        <v>3</v>
      </c>
      <c r="F16" s="747">
        <f>SUM(C16:E18)/9*100</f>
        <v>66.666666666666657</v>
      </c>
      <c r="G16" s="747">
        <f>(F16+F19)/2</f>
        <v>72.222222222222229</v>
      </c>
      <c r="H16" s="747"/>
      <c r="I16" s="748"/>
    </row>
    <row r="17" spans="1:10" ht="15" customHeight="1" x14ac:dyDescent="0.35">
      <c r="A17" s="755"/>
      <c r="B17" s="755"/>
      <c r="C17" s="611"/>
      <c r="D17" s="611"/>
      <c r="E17" s="611"/>
      <c r="F17" s="747"/>
      <c r="G17" s="747"/>
      <c r="H17" s="747"/>
      <c r="I17" s="749"/>
    </row>
    <row r="18" spans="1:10" ht="15" customHeight="1" x14ac:dyDescent="0.35">
      <c r="A18" s="756"/>
      <c r="B18" s="756"/>
      <c r="C18" s="611"/>
      <c r="D18" s="611"/>
      <c r="E18" s="611"/>
      <c r="F18" s="747"/>
      <c r="G18" s="747"/>
      <c r="H18" s="747"/>
      <c r="I18" s="749"/>
    </row>
    <row r="19" spans="1:10" ht="23.25" customHeight="1" x14ac:dyDescent="0.35">
      <c r="A19" s="751"/>
      <c r="B19" s="751"/>
      <c r="C19" s="611">
        <v>2</v>
      </c>
      <c r="D19" s="611">
        <v>2</v>
      </c>
      <c r="E19" s="611">
        <v>3</v>
      </c>
      <c r="F19" s="747">
        <f>SUM(C19:E21)/9*100</f>
        <v>77.777777777777786</v>
      </c>
      <c r="G19" s="747"/>
      <c r="H19" s="747"/>
      <c r="I19" s="749"/>
    </row>
    <row r="20" spans="1:10" ht="15" customHeight="1" x14ac:dyDescent="0.35">
      <c r="A20" s="752"/>
      <c r="B20" s="752"/>
      <c r="C20" s="611"/>
      <c r="D20" s="611"/>
      <c r="E20" s="611"/>
      <c r="F20" s="747"/>
      <c r="G20" s="747"/>
      <c r="H20" s="747"/>
      <c r="I20" s="749"/>
    </row>
    <row r="21" spans="1:10" ht="15" customHeight="1" x14ac:dyDescent="0.35">
      <c r="A21" s="753"/>
      <c r="B21" s="753"/>
      <c r="C21" s="611"/>
      <c r="D21" s="611"/>
      <c r="E21" s="611"/>
      <c r="F21" s="747"/>
      <c r="G21" s="747"/>
      <c r="H21" s="747"/>
      <c r="I21" s="750"/>
    </row>
    <row r="22" spans="1:10" x14ac:dyDescent="0.35">
      <c r="A22" s="43" t="s">
        <v>324</v>
      </c>
      <c r="B22" s="43"/>
      <c r="C22" s="43"/>
      <c r="D22" s="43"/>
      <c r="E22" s="43"/>
      <c r="F22" s="43"/>
      <c r="G22" s="43"/>
      <c r="H22" s="43"/>
      <c r="I22" s="43" t="s">
        <v>665</v>
      </c>
    </row>
    <row r="23" spans="1:10" x14ac:dyDescent="0.35">
      <c r="A23" s="43"/>
      <c r="B23" s="43"/>
      <c r="C23" s="43"/>
      <c r="D23" s="43"/>
      <c r="E23" s="43"/>
      <c r="F23" s="43"/>
      <c r="G23" s="43"/>
      <c r="H23" s="43"/>
      <c r="I23" s="43" t="s">
        <v>193</v>
      </c>
    </row>
    <row r="24" spans="1:10" x14ac:dyDescent="0.35">
      <c r="A24" s="43"/>
      <c r="B24" s="43"/>
      <c r="C24" s="43"/>
      <c r="D24" s="43"/>
      <c r="E24" s="43"/>
      <c r="F24" s="43"/>
      <c r="G24" s="43"/>
      <c r="H24" s="43"/>
      <c r="I24" s="43"/>
    </row>
    <row r="25" spans="1:10" x14ac:dyDescent="0.35">
      <c r="A25" s="43"/>
      <c r="B25" s="43"/>
      <c r="C25" s="43"/>
      <c r="D25" s="43"/>
      <c r="E25" s="43"/>
      <c r="F25" s="43"/>
      <c r="G25" s="43"/>
      <c r="H25" s="43"/>
      <c r="I25" s="43"/>
      <c r="J25" s="7"/>
    </row>
    <row r="26" spans="1:10" x14ac:dyDescent="0.35">
      <c r="A26" s="44"/>
      <c r="B26" s="43"/>
      <c r="C26" s="44" t="s">
        <v>34</v>
      </c>
      <c r="D26" s="44"/>
      <c r="E26" s="52"/>
      <c r="F26" s="44"/>
      <c r="G26" s="43"/>
      <c r="H26" s="43"/>
      <c r="I26" s="43"/>
      <c r="J26" s="7"/>
    </row>
    <row r="27" spans="1:10" x14ac:dyDescent="0.35">
      <c r="A27" s="44" t="s">
        <v>144</v>
      </c>
      <c r="B27" s="44"/>
      <c r="C27" s="44"/>
      <c r="D27" s="44"/>
      <c r="E27" s="43"/>
      <c r="F27" s="43"/>
      <c r="G27" s="43"/>
      <c r="H27" s="43"/>
      <c r="I27" s="44" t="s">
        <v>344</v>
      </c>
      <c r="J27" s="7"/>
    </row>
    <row r="28" spans="1:10" x14ac:dyDescent="0.35">
      <c r="A28" s="44"/>
      <c r="B28" s="44"/>
      <c r="C28" s="44"/>
      <c r="D28" s="44"/>
      <c r="E28" s="43"/>
      <c r="F28" s="43"/>
      <c r="G28" s="43"/>
      <c r="H28" s="43"/>
      <c r="I28" s="44"/>
      <c r="J28" s="7"/>
    </row>
    <row r="29" spans="1:10" x14ac:dyDescent="0.35">
      <c r="A29" s="44"/>
      <c r="B29" s="44"/>
      <c r="C29" s="44"/>
      <c r="D29" s="44"/>
      <c r="E29" s="43"/>
      <c r="F29" s="43"/>
      <c r="G29" s="43"/>
      <c r="H29" s="43"/>
      <c r="I29" s="44"/>
      <c r="J29" s="7"/>
    </row>
    <row r="30" spans="1:10" x14ac:dyDescent="0.35">
      <c r="A30" s="44"/>
      <c r="B30" s="44"/>
      <c r="C30" s="44"/>
      <c r="D30" s="44"/>
      <c r="E30" s="43"/>
      <c r="F30" s="43"/>
      <c r="G30" s="43"/>
      <c r="H30" s="43"/>
      <c r="I30" s="44"/>
      <c r="J30" s="7"/>
    </row>
    <row r="31" spans="1:10" x14ac:dyDescent="0.35">
      <c r="A31" s="44" t="s">
        <v>329</v>
      </c>
      <c r="B31" s="44"/>
      <c r="C31" s="44"/>
      <c r="D31" s="44"/>
      <c r="E31" s="43"/>
      <c r="F31" s="43"/>
      <c r="G31" s="43"/>
      <c r="H31" s="43"/>
      <c r="I31" s="53" t="s">
        <v>340</v>
      </c>
    </row>
    <row r="32" spans="1:10" x14ac:dyDescent="0.35">
      <c r="A32" s="44" t="s">
        <v>323</v>
      </c>
      <c r="B32" s="44"/>
      <c r="C32" s="44"/>
      <c r="D32" s="44"/>
      <c r="E32" s="43"/>
      <c r="F32" s="43"/>
      <c r="G32" s="43"/>
      <c r="H32" s="43"/>
      <c r="I32" s="53" t="s">
        <v>343</v>
      </c>
    </row>
  </sheetData>
  <mergeCells count="30">
    <mergeCell ref="A1:G1"/>
    <mergeCell ref="A2:G2"/>
    <mergeCell ref="F14:I14"/>
    <mergeCell ref="B9:E9"/>
    <mergeCell ref="B10:I10"/>
    <mergeCell ref="B11:I11"/>
    <mergeCell ref="A14:A15"/>
    <mergeCell ref="B14:B15"/>
    <mergeCell ref="C14:C15"/>
    <mergeCell ref="D14:D15"/>
    <mergeCell ref="E14:E15"/>
    <mergeCell ref="A3:I3"/>
    <mergeCell ref="A4:I4"/>
    <mergeCell ref="A5:I5"/>
    <mergeCell ref="H16:H21"/>
    <mergeCell ref="I16:I18"/>
    <mergeCell ref="I19:I21"/>
    <mergeCell ref="G16:G21"/>
    <mergeCell ref="A19:A21"/>
    <mergeCell ref="C19:C21"/>
    <mergeCell ref="D19:D21"/>
    <mergeCell ref="E19:E21"/>
    <mergeCell ref="F19:F21"/>
    <mergeCell ref="A16:A18"/>
    <mergeCell ref="C16:C18"/>
    <mergeCell ref="D16:D18"/>
    <mergeCell ref="E16:E18"/>
    <mergeCell ref="F16:F18"/>
    <mergeCell ref="B16:B18"/>
    <mergeCell ref="B19:B21"/>
  </mergeCells>
  <pageMargins left="0.70866141732283472" right="0.31496062992125984" top="0.33" bottom="0.33" header="0.31496062992125984" footer="0.31496062992125984"/>
  <pageSetup paperSize="9" scale="95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"/>
  <sheetViews>
    <sheetView zoomScale="85" zoomScaleNormal="85" workbookViewId="0">
      <selection activeCell="H2" sqref="H2:I2"/>
    </sheetView>
  </sheetViews>
  <sheetFormatPr defaultRowHeight="14.5" x14ac:dyDescent="0.35"/>
  <sheetData>
    <row r="1" spans="1:11" ht="23.25" customHeight="1" x14ac:dyDescent="0.35">
      <c r="H1" s="533" t="s">
        <v>756</v>
      </c>
      <c r="I1" s="533"/>
      <c r="J1" s="11"/>
      <c r="K1" s="11"/>
    </row>
    <row r="2" spans="1:11" ht="21.75" customHeight="1" x14ac:dyDescent="0.35">
      <c r="H2" s="534">
        <v>45483</v>
      </c>
      <c r="I2" s="534"/>
      <c r="J2" s="302"/>
      <c r="K2" s="302"/>
    </row>
    <row r="3" spans="1:11" ht="21.75" customHeight="1" x14ac:dyDescent="0.4">
      <c r="A3" s="515" t="s">
        <v>726</v>
      </c>
      <c r="B3" s="515"/>
      <c r="C3" s="515"/>
      <c r="D3" s="515"/>
      <c r="E3" s="515"/>
      <c r="F3" s="515"/>
      <c r="G3" s="515"/>
      <c r="H3" s="515"/>
      <c r="I3" s="515"/>
    </row>
    <row r="4" spans="1:11" ht="21.75" customHeight="1" x14ac:dyDescent="0.4">
      <c r="A4" s="515"/>
      <c r="B4" s="515"/>
      <c r="C4" s="515"/>
      <c r="D4" s="515"/>
      <c r="E4" s="515"/>
      <c r="F4" s="515"/>
      <c r="G4" s="515"/>
      <c r="H4" s="515"/>
      <c r="I4" s="515"/>
    </row>
    <row r="5" spans="1:11" ht="18" x14ac:dyDescent="0.4">
      <c r="A5" s="762"/>
      <c r="B5" s="762"/>
      <c r="C5" s="762"/>
      <c r="D5" s="762"/>
      <c r="E5" s="285"/>
      <c r="F5" s="285"/>
      <c r="G5" s="285"/>
      <c r="H5" s="285"/>
      <c r="I5" s="285"/>
    </row>
    <row r="6" spans="1:11" ht="18" x14ac:dyDescent="0.4">
      <c r="A6" s="762"/>
      <c r="B6" s="762"/>
      <c r="C6" s="762"/>
      <c r="D6" s="762"/>
      <c r="E6" s="285"/>
      <c r="F6" s="285"/>
      <c r="G6" s="285"/>
      <c r="H6" s="285"/>
      <c r="I6" s="285"/>
    </row>
    <row r="12" spans="1:11" ht="18" x14ac:dyDescent="0.4">
      <c r="B12" s="363"/>
      <c r="C12" s="363"/>
      <c r="D12" s="363"/>
      <c r="E12" s="363"/>
      <c r="F12" s="363"/>
      <c r="G12" s="363"/>
      <c r="H12" s="363"/>
      <c r="I12" s="363"/>
      <c r="J12" s="363"/>
    </row>
  </sheetData>
  <mergeCells count="6">
    <mergeCell ref="A3:I3"/>
    <mergeCell ref="A4:I4"/>
    <mergeCell ref="A5:D5"/>
    <mergeCell ref="A6:D6"/>
    <mergeCell ref="H1:I1"/>
    <mergeCell ref="H2:I2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55"/>
  <sheetViews>
    <sheetView topLeftCell="A7" workbookViewId="0">
      <selection activeCell="T56" sqref="T56"/>
    </sheetView>
  </sheetViews>
  <sheetFormatPr defaultColWidth="9.1796875" defaultRowHeight="15.5" x14ac:dyDescent="0.35"/>
  <cols>
    <col min="1" max="1" width="4.1796875" style="41" customWidth="1"/>
    <col min="2" max="2" width="16.54296875" style="254" customWidth="1"/>
    <col min="3" max="3" width="30.81640625" style="41" customWidth="1"/>
    <col min="4" max="4" width="4.26953125" style="41" customWidth="1"/>
    <col min="5" max="20" width="3.1796875" style="41" customWidth="1"/>
    <col min="21" max="16384" width="9.1796875" style="41"/>
  </cols>
  <sheetData>
    <row r="1" spans="1:23" ht="15" customHeight="1" x14ac:dyDescent="0.35">
      <c r="M1" s="721" t="s">
        <v>757</v>
      </c>
      <c r="N1" s="775"/>
      <c r="O1" s="775"/>
      <c r="P1" s="775"/>
      <c r="Q1" s="775"/>
      <c r="R1" s="722"/>
      <c r="V1" s="773"/>
      <c r="W1" s="773"/>
    </row>
    <row r="2" spans="1:23" ht="15" customHeight="1" x14ac:dyDescent="0.35">
      <c r="M2" s="776">
        <v>45483</v>
      </c>
      <c r="N2" s="777"/>
      <c r="O2" s="777"/>
      <c r="P2" s="777"/>
      <c r="Q2" s="777"/>
      <c r="R2" s="778"/>
      <c r="V2" s="774"/>
      <c r="W2" s="774"/>
    </row>
    <row r="3" spans="1:23" ht="18.75" customHeight="1" x14ac:dyDescent="0.35">
      <c r="A3" s="521" t="s">
        <v>27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255"/>
      <c r="T3" s="255"/>
    </row>
    <row r="4" spans="1:23" ht="9" customHeight="1" x14ac:dyDescent="0.35">
      <c r="A4" s="255"/>
      <c r="B4" s="256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</row>
    <row r="5" spans="1:23" ht="15" customHeight="1" x14ac:dyDescent="0.35">
      <c r="A5" s="41" t="s">
        <v>40</v>
      </c>
      <c r="C5" s="41" t="str">
        <f>'Analisis Materi (7)'!C7</f>
        <v>: Pemrograman Sistem Embeded</v>
      </c>
      <c r="I5" s="41" t="s">
        <v>134</v>
      </c>
      <c r="N5" s="41" t="s">
        <v>1021</v>
      </c>
    </row>
    <row r="6" spans="1:23" ht="15" customHeight="1" x14ac:dyDescent="0.35">
      <c r="A6" s="41" t="s">
        <v>109</v>
      </c>
      <c r="C6" s="41" t="s">
        <v>780</v>
      </c>
      <c r="I6" s="41" t="s">
        <v>111</v>
      </c>
      <c r="K6" s="42"/>
      <c r="N6" s="41" t="s">
        <v>777</v>
      </c>
      <c r="P6" s="201"/>
      <c r="Q6" s="201"/>
      <c r="R6" s="201"/>
      <c r="S6" s="201"/>
      <c r="T6" s="201"/>
    </row>
    <row r="7" spans="1:23" ht="15" customHeight="1" x14ac:dyDescent="0.35">
      <c r="A7" s="41" t="s">
        <v>666</v>
      </c>
      <c r="C7" s="41" t="s">
        <v>924</v>
      </c>
      <c r="I7" s="41" t="s">
        <v>42</v>
      </c>
      <c r="K7" s="42"/>
      <c r="N7" s="41" t="s">
        <v>1022</v>
      </c>
      <c r="P7" s="201"/>
      <c r="Q7" s="201"/>
      <c r="R7" s="201"/>
      <c r="S7" s="201"/>
      <c r="T7" s="201"/>
    </row>
    <row r="8" spans="1:23" ht="9" customHeight="1" x14ac:dyDescent="0.35">
      <c r="A8" s="201"/>
      <c r="B8" s="257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O8" s="201"/>
      <c r="P8" s="201"/>
      <c r="Q8" s="201"/>
      <c r="R8" s="201"/>
      <c r="S8" s="201"/>
      <c r="T8" s="201"/>
    </row>
    <row r="9" spans="1:23" ht="13.5" customHeight="1" x14ac:dyDescent="0.35">
      <c r="A9" s="763" t="s">
        <v>112</v>
      </c>
      <c r="B9" s="769" t="s">
        <v>443</v>
      </c>
      <c r="C9" s="763" t="s">
        <v>28</v>
      </c>
      <c r="D9" s="763" t="s">
        <v>108</v>
      </c>
      <c r="E9" s="767" t="s">
        <v>44</v>
      </c>
      <c r="F9" s="768"/>
      <c r="G9" s="768"/>
      <c r="H9" s="768"/>
      <c r="I9" s="768"/>
      <c r="J9" s="768"/>
      <c r="K9" s="768"/>
      <c r="L9" s="768"/>
      <c r="M9" s="768"/>
      <c r="N9" s="768"/>
      <c r="O9" s="768"/>
      <c r="P9" s="768"/>
      <c r="Q9" s="768"/>
      <c r="R9" s="768"/>
      <c r="S9" s="768"/>
      <c r="T9" s="768"/>
    </row>
    <row r="10" spans="1:23" ht="32.25" customHeight="1" x14ac:dyDescent="0.35">
      <c r="A10" s="764"/>
      <c r="B10" s="770"/>
      <c r="C10" s="764"/>
      <c r="D10" s="764"/>
      <c r="E10" s="397" t="s">
        <v>849</v>
      </c>
      <c r="F10" s="397" t="s">
        <v>850</v>
      </c>
      <c r="G10" s="397" t="s">
        <v>851</v>
      </c>
      <c r="H10" s="397" t="s">
        <v>852</v>
      </c>
      <c r="I10" s="397" t="s">
        <v>853</v>
      </c>
      <c r="J10" s="397" t="s">
        <v>854</v>
      </c>
      <c r="K10" s="397" t="s">
        <v>855</v>
      </c>
      <c r="L10" s="397" t="s">
        <v>856</v>
      </c>
      <c r="M10" s="397"/>
      <c r="N10" s="397"/>
      <c r="O10" s="397"/>
      <c r="P10" s="397"/>
      <c r="Q10" s="397"/>
      <c r="R10" s="397"/>
      <c r="S10" s="398"/>
      <c r="T10" s="398"/>
    </row>
    <row r="11" spans="1:23" ht="13.5" customHeight="1" thickBot="1" x14ac:dyDescent="0.4">
      <c r="A11" s="765"/>
      <c r="B11" s="771"/>
      <c r="C11" s="772"/>
      <c r="D11" s="766"/>
      <c r="E11" s="258">
        <v>1</v>
      </c>
      <c r="F11" s="258">
        <v>2</v>
      </c>
      <c r="G11" s="258">
        <v>3</v>
      </c>
      <c r="H11" s="258">
        <v>4</v>
      </c>
      <c r="I11" s="258">
        <v>5</v>
      </c>
      <c r="J11" s="258">
        <v>6</v>
      </c>
      <c r="K11" s="258">
        <v>7</v>
      </c>
      <c r="L11" s="258">
        <v>8</v>
      </c>
      <c r="M11" s="258">
        <v>9</v>
      </c>
      <c r="N11" s="258">
        <v>10</v>
      </c>
      <c r="O11" s="258">
        <v>11</v>
      </c>
      <c r="P11" s="258">
        <v>12</v>
      </c>
      <c r="Q11" s="258">
        <v>14</v>
      </c>
      <c r="R11" s="258">
        <v>15</v>
      </c>
      <c r="S11" s="259">
        <v>16</v>
      </c>
      <c r="T11" s="259">
        <v>17</v>
      </c>
    </row>
    <row r="12" spans="1:23" ht="17.899999999999999" customHeight="1" thickTop="1" x14ac:dyDescent="0.35">
      <c r="A12" s="217">
        <v>1</v>
      </c>
      <c r="B12" s="396" t="s">
        <v>842</v>
      </c>
      <c r="C12" s="290" t="s">
        <v>840</v>
      </c>
      <c r="D12" s="262" t="s">
        <v>74</v>
      </c>
      <c r="E12" s="399" t="s">
        <v>857</v>
      </c>
      <c r="F12" s="399" t="s">
        <v>857</v>
      </c>
      <c r="G12" s="399" t="s">
        <v>857</v>
      </c>
      <c r="H12" s="399" t="s">
        <v>857</v>
      </c>
      <c r="I12" s="399" t="s">
        <v>857</v>
      </c>
      <c r="J12" s="399" t="s">
        <v>857</v>
      </c>
      <c r="K12" s="399" t="s">
        <v>857</v>
      </c>
      <c r="L12" s="399" t="s">
        <v>857</v>
      </c>
      <c r="M12" s="400"/>
      <c r="N12" s="400"/>
      <c r="O12" s="400"/>
      <c r="P12" s="400"/>
      <c r="Q12" s="400"/>
      <c r="R12" s="400"/>
      <c r="S12" s="401"/>
      <c r="T12" s="401"/>
    </row>
    <row r="13" spans="1:23" ht="17.899999999999999" customHeight="1" x14ac:dyDescent="0.35">
      <c r="A13" s="217">
        <v>2</v>
      </c>
      <c r="B13" s="396" t="s">
        <v>843</v>
      </c>
      <c r="C13" s="261" t="s">
        <v>846</v>
      </c>
      <c r="D13" s="262" t="s">
        <v>74</v>
      </c>
      <c r="E13" s="399" t="s">
        <v>857</v>
      </c>
      <c r="F13" s="399" t="s">
        <v>857</v>
      </c>
      <c r="G13" s="399" t="s">
        <v>857</v>
      </c>
      <c r="H13" s="399" t="s">
        <v>857</v>
      </c>
      <c r="I13" s="399" t="s">
        <v>857</v>
      </c>
      <c r="J13" s="399" t="s">
        <v>857</v>
      </c>
      <c r="K13" s="399" t="s">
        <v>857</v>
      </c>
      <c r="L13" s="399" t="s">
        <v>857</v>
      </c>
      <c r="M13" s="400"/>
      <c r="N13" s="400"/>
      <c r="O13" s="400"/>
      <c r="P13" s="400"/>
      <c r="Q13" s="400"/>
      <c r="R13" s="400"/>
      <c r="S13" s="400"/>
      <c r="T13" s="400"/>
    </row>
    <row r="14" spans="1:23" ht="17.899999999999999" customHeight="1" x14ac:dyDescent="0.35">
      <c r="A14" s="217">
        <v>3</v>
      </c>
      <c r="B14" s="396" t="s">
        <v>844</v>
      </c>
      <c r="C14" s="260" t="s">
        <v>847</v>
      </c>
      <c r="D14" s="262" t="s">
        <v>74</v>
      </c>
      <c r="E14" s="399" t="s">
        <v>857</v>
      </c>
      <c r="F14" s="399" t="s">
        <v>857</v>
      </c>
      <c r="G14" s="399" t="s">
        <v>857</v>
      </c>
      <c r="H14" s="399" t="s">
        <v>857</v>
      </c>
      <c r="I14" s="399" t="s">
        <v>857</v>
      </c>
      <c r="J14" s="399" t="s">
        <v>857</v>
      </c>
      <c r="K14" s="399" t="s">
        <v>857</v>
      </c>
      <c r="L14" s="399" t="s">
        <v>857</v>
      </c>
      <c r="M14" s="400"/>
      <c r="N14" s="400"/>
      <c r="O14" s="400"/>
      <c r="P14" s="400"/>
      <c r="Q14" s="400"/>
      <c r="R14" s="400"/>
      <c r="S14" s="400"/>
      <c r="T14" s="400"/>
    </row>
    <row r="15" spans="1:23" ht="17.899999999999999" customHeight="1" x14ac:dyDescent="0.35">
      <c r="A15" s="217">
        <v>4</v>
      </c>
      <c r="B15" s="396" t="s">
        <v>845</v>
      </c>
      <c r="C15" s="261" t="s">
        <v>848</v>
      </c>
      <c r="D15" s="262" t="s">
        <v>74</v>
      </c>
      <c r="E15" s="399" t="s">
        <v>857</v>
      </c>
      <c r="F15" s="399" t="s">
        <v>857</v>
      </c>
      <c r="G15" s="399" t="s">
        <v>857</v>
      </c>
      <c r="H15" s="399" t="s">
        <v>857</v>
      </c>
      <c r="I15" s="399" t="s">
        <v>857</v>
      </c>
      <c r="J15" s="399" t="s">
        <v>857</v>
      </c>
      <c r="K15" s="399" t="s">
        <v>857</v>
      </c>
      <c r="L15" s="399" t="s">
        <v>857</v>
      </c>
      <c r="M15" s="400"/>
      <c r="N15" s="400"/>
      <c r="O15" s="400"/>
      <c r="P15" s="400"/>
      <c r="Q15" s="400"/>
      <c r="R15" s="400"/>
      <c r="S15" s="400"/>
      <c r="T15" s="400"/>
    </row>
    <row r="16" spans="1:23" ht="17.899999999999999" customHeight="1" x14ac:dyDescent="0.35">
      <c r="A16" s="217">
        <v>5</v>
      </c>
      <c r="B16" s="396" t="s">
        <v>858</v>
      </c>
      <c r="C16" s="260" t="s">
        <v>859</v>
      </c>
      <c r="D16" s="262" t="s">
        <v>74</v>
      </c>
      <c r="E16" s="399" t="s">
        <v>857</v>
      </c>
      <c r="F16" s="400" t="s">
        <v>857</v>
      </c>
      <c r="G16" s="400" t="s">
        <v>857</v>
      </c>
      <c r="H16" s="400" t="s">
        <v>857</v>
      </c>
      <c r="I16" s="400" t="s">
        <v>857</v>
      </c>
      <c r="J16" s="400" t="s">
        <v>857</v>
      </c>
      <c r="K16" s="400" t="s">
        <v>857</v>
      </c>
      <c r="L16" s="400" t="s">
        <v>857</v>
      </c>
      <c r="M16" s="400"/>
      <c r="N16" s="400"/>
      <c r="O16" s="400"/>
      <c r="P16" s="400"/>
      <c r="Q16" s="400"/>
      <c r="R16" s="400"/>
      <c r="S16" s="400"/>
      <c r="T16" s="400"/>
    </row>
    <row r="17" spans="1:21" ht="17.899999999999999" customHeight="1" x14ac:dyDescent="0.35">
      <c r="A17" s="217">
        <v>6</v>
      </c>
      <c r="B17" s="396" t="s">
        <v>860</v>
      </c>
      <c r="C17" s="260" t="s">
        <v>861</v>
      </c>
      <c r="D17" s="262" t="s">
        <v>74</v>
      </c>
      <c r="E17" s="399" t="s">
        <v>857</v>
      </c>
      <c r="F17" s="400" t="s">
        <v>857</v>
      </c>
      <c r="G17" s="400" t="s">
        <v>857</v>
      </c>
      <c r="H17" s="400" t="s">
        <v>862</v>
      </c>
      <c r="I17" s="400" t="s">
        <v>857</v>
      </c>
      <c r="J17" s="400" t="s">
        <v>857</v>
      </c>
      <c r="K17" s="400" t="s">
        <v>857</v>
      </c>
      <c r="L17" s="400" t="s">
        <v>857</v>
      </c>
      <c r="M17" s="400"/>
      <c r="N17" s="400"/>
      <c r="O17" s="400"/>
      <c r="P17" s="400"/>
      <c r="Q17" s="400"/>
      <c r="R17" s="400"/>
      <c r="S17" s="400"/>
      <c r="T17" s="400"/>
    </row>
    <row r="18" spans="1:21" ht="17.899999999999999" customHeight="1" x14ac:dyDescent="0.35">
      <c r="A18" s="217">
        <v>7</v>
      </c>
      <c r="B18" s="396" t="s">
        <v>863</v>
      </c>
      <c r="C18" s="260" t="s">
        <v>864</v>
      </c>
      <c r="D18" s="262" t="s">
        <v>74</v>
      </c>
      <c r="E18" s="399" t="s">
        <v>857</v>
      </c>
      <c r="F18" s="400" t="s">
        <v>2</v>
      </c>
      <c r="G18" s="400" t="s">
        <v>857</v>
      </c>
      <c r="H18" s="400" t="s">
        <v>857</v>
      </c>
      <c r="I18" s="400" t="s">
        <v>857</v>
      </c>
      <c r="J18" s="400" t="s">
        <v>857</v>
      </c>
      <c r="K18" s="400" t="s">
        <v>857</v>
      </c>
      <c r="L18" s="400" t="s">
        <v>857</v>
      </c>
      <c r="M18" s="400"/>
      <c r="N18" s="400"/>
      <c r="O18" s="400"/>
      <c r="P18" s="400"/>
      <c r="Q18" s="400"/>
      <c r="R18" s="400"/>
      <c r="S18" s="400"/>
      <c r="T18" s="400"/>
    </row>
    <row r="19" spans="1:21" ht="17.899999999999999" customHeight="1" x14ac:dyDescent="0.35">
      <c r="A19" s="217">
        <v>8</v>
      </c>
      <c r="B19" s="396" t="s">
        <v>865</v>
      </c>
      <c r="C19" s="260" t="s">
        <v>866</v>
      </c>
      <c r="D19" s="262" t="s">
        <v>74</v>
      </c>
      <c r="E19" s="399" t="s">
        <v>81</v>
      </c>
      <c r="F19" s="400" t="s">
        <v>857</v>
      </c>
      <c r="G19" s="400" t="s">
        <v>857</v>
      </c>
      <c r="H19" s="400" t="s">
        <v>857</v>
      </c>
      <c r="I19" s="400" t="s">
        <v>857</v>
      </c>
      <c r="J19" s="400" t="s">
        <v>81</v>
      </c>
      <c r="K19" s="400" t="s">
        <v>857</v>
      </c>
      <c r="L19" s="400" t="s">
        <v>857</v>
      </c>
      <c r="M19" s="400"/>
      <c r="N19" s="400"/>
      <c r="O19" s="400"/>
      <c r="P19" s="400"/>
      <c r="Q19" s="400"/>
      <c r="R19" s="400"/>
      <c r="S19" s="400"/>
      <c r="T19" s="400"/>
    </row>
    <row r="20" spans="1:21" ht="17.899999999999999" customHeight="1" x14ac:dyDescent="0.35">
      <c r="A20" s="217">
        <v>9</v>
      </c>
      <c r="B20" s="396" t="s">
        <v>867</v>
      </c>
      <c r="C20" s="260" t="s">
        <v>868</v>
      </c>
      <c r="D20" s="262" t="s">
        <v>74</v>
      </c>
      <c r="E20" s="399" t="s">
        <v>857</v>
      </c>
      <c r="F20" s="400" t="s">
        <v>857</v>
      </c>
      <c r="G20" s="400" t="s">
        <v>857</v>
      </c>
      <c r="H20" s="400" t="s">
        <v>857</v>
      </c>
      <c r="I20" s="400" t="s">
        <v>857</v>
      </c>
      <c r="J20" s="400" t="s">
        <v>857</v>
      </c>
      <c r="K20" s="400" t="s">
        <v>857</v>
      </c>
      <c r="L20" s="400" t="s">
        <v>857</v>
      </c>
      <c r="M20" s="400"/>
      <c r="N20" s="400"/>
      <c r="O20" s="400"/>
      <c r="P20" s="400"/>
      <c r="Q20" s="400"/>
      <c r="R20" s="400"/>
      <c r="S20" s="400"/>
      <c r="T20" s="400"/>
    </row>
    <row r="21" spans="1:21" ht="17.899999999999999" customHeight="1" x14ac:dyDescent="0.35">
      <c r="A21" s="217">
        <v>10</v>
      </c>
      <c r="B21" s="396" t="s">
        <v>869</v>
      </c>
      <c r="C21" s="260" t="s">
        <v>870</v>
      </c>
      <c r="D21" s="262" t="s">
        <v>74</v>
      </c>
      <c r="E21" s="399" t="s">
        <v>857</v>
      </c>
      <c r="F21" s="400" t="s">
        <v>857</v>
      </c>
      <c r="G21" s="400" t="s">
        <v>857</v>
      </c>
      <c r="H21" s="400" t="s">
        <v>857</v>
      </c>
      <c r="I21" s="400" t="s">
        <v>857</v>
      </c>
      <c r="J21" s="400" t="s">
        <v>857</v>
      </c>
      <c r="K21" s="400" t="s">
        <v>857</v>
      </c>
      <c r="L21" s="400" t="s">
        <v>857</v>
      </c>
      <c r="M21" s="400"/>
      <c r="N21" s="400"/>
      <c r="O21" s="400"/>
      <c r="P21" s="400"/>
      <c r="Q21" s="400"/>
      <c r="R21" s="400"/>
      <c r="S21" s="400"/>
      <c r="T21" s="400"/>
    </row>
    <row r="22" spans="1:21" ht="17.899999999999999" customHeight="1" x14ac:dyDescent="0.35">
      <c r="A22" s="217">
        <v>11</v>
      </c>
      <c r="B22" s="396" t="s">
        <v>871</v>
      </c>
      <c r="C22" s="260" t="s">
        <v>872</v>
      </c>
      <c r="D22" s="262" t="s">
        <v>74</v>
      </c>
      <c r="E22" s="399" t="s">
        <v>81</v>
      </c>
      <c r="F22" s="400" t="s">
        <v>857</v>
      </c>
      <c r="G22" s="400" t="s">
        <v>81</v>
      </c>
      <c r="H22" s="400" t="s">
        <v>857</v>
      </c>
      <c r="I22" s="400" t="s">
        <v>857</v>
      </c>
      <c r="J22" s="400" t="s">
        <v>81</v>
      </c>
      <c r="K22" s="400" t="s">
        <v>857</v>
      </c>
      <c r="L22" s="400" t="s">
        <v>857</v>
      </c>
      <c r="M22" s="400"/>
      <c r="N22" s="400"/>
      <c r="O22" s="400"/>
      <c r="P22" s="400"/>
      <c r="Q22" s="400"/>
      <c r="R22" s="400"/>
      <c r="S22" s="400"/>
      <c r="T22" s="400"/>
    </row>
    <row r="23" spans="1:21" ht="17.899999999999999" customHeight="1" x14ac:dyDescent="0.35">
      <c r="A23" s="217">
        <v>12</v>
      </c>
      <c r="B23" s="396" t="s">
        <v>873</v>
      </c>
      <c r="C23" s="260" t="s">
        <v>874</v>
      </c>
      <c r="D23" s="262" t="s">
        <v>74</v>
      </c>
      <c r="E23" s="399" t="s">
        <v>857</v>
      </c>
      <c r="F23" s="400" t="s">
        <v>857</v>
      </c>
      <c r="G23" s="400" t="s">
        <v>857</v>
      </c>
      <c r="H23" s="400" t="s">
        <v>857</v>
      </c>
      <c r="I23" s="400" t="s">
        <v>857</v>
      </c>
      <c r="J23" s="400" t="s">
        <v>857</v>
      </c>
      <c r="K23" s="400" t="s">
        <v>857</v>
      </c>
      <c r="L23" s="400" t="s">
        <v>857</v>
      </c>
      <c r="M23" s="400"/>
      <c r="N23" s="400"/>
      <c r="O23" s="400"/>
      <c r="P23" s="400"/>
      <c r="Q23" s="400"/>
      <c r="R23" s="400"/>
      <c r="S23" s="400"/>
      <c r="T23" s="400"/>
    </row>
    <row r="24" spans="1:21" ht="17.899999999999999" customHeight="1" x14ac:dyDescent="0.35">
      <c r="A24" s="217">
        <v>13</v>
      </c>
      <c r="B24" s="396" t="s">
        <v>875</v>
      </c>
      <c r="C24" s="260" t="s">
        <v>876</v>
      </c>
      <c r="D24" s="262" t="s">
        <v>74</v>
      </c>
      <c r="E24" s="399" t="s">
        <v>857</v>
      </c>
      <c r="F24" s="400" t="s">
        <v>857</v>
      </c>
      <c r="G24" s="400" t="s">
        <v>857</v>
      </c>
      <c r="H24" s="400" t="s">
        <v>81</v>
      </c>
      <c r="I24" s="400" t="s">
        <v>857</v>
      </c>
      <c r="J24" s="400" t="s">
        <v>857</v>
      </c>
      <c r="K24" s="400" t="s">
        <v>877</v>
      </c>
      <c r="L24" s="400" t="s">
        <v>857</v>
      </c>
      <c r="M24" s="400"/>
      <c r="N24" s="400"/>
      <c r="O24" s="400"/>
      <c r="P24" s="400"/>
      <c r="Q24" s="400"/>
      <c r="R24" s="400"/>
      <c r="S24" s="400"/>
      <c r="T24" s="400"/>
    </row>
    <row r="25" spans="1:21" ht="17.899999999999999" customHeight="1" x14ac:dyDescent="0.35">
      <c r="A25" s="217">
        <v>14</v>
      </c>
      <c r="B25" s="396" t="s">
        <v>878</v>
      </c>
      <c r="C25" s="260" t="s">
        <v>879</v>
      </c>
      <c r="D25" s="262" t="s">
        <v>74</v>
      </c>
      <c r="E25" s="399" t="s">
        <v>857</v>
      </c>
      <c r="F25" s="400" t="s">
        <v>857</v>
      </c>
      <c r="G25" s="400" t="s">
        <v>857</v>
      </c>
      <c r="H25" s="400" t="s">
        <v>857</v>
      </c>
      <c r="I25" s="400" t="s">
        <v>857</v>
      </c>
      <c r="J25" s="400" t="s">
        <v>857</v>
      </c>
      <c r="K25" s="400" t="s">
        <v>857</v>
      </c>
      <c r="L25" s="400" t="s">
        <v>81</v>
      </c>
      <c r="M25" s="400"/>
      <c r="N25" s="400"/>
      <c r="O25" s="400"/>
      <c r="P25" s="400"/>
      <c r="Q25" s="400"/>
      <c r="R25" s="400"/>
      <c r="S25" s="400"/>
      <c r="T25" s="400"/>
    </row>
    <row r="26" spans="1:21" ht="17.899999999999999" customHeight="1" x14ac:dyDescent="0.35">
      <c r="A26" s="217">
        <v>15</v>
      </c>
      <c r="B26" s="396" t="s">
        <v>880</v>
      </c>
      <c r="C26" s="260" t="s">
        <v>881</v>
      </c>
      <c r="D26" s="262" t="s">
        <v>74</v>
      </c>
      <c r="E26" s="399" t="s">
        <v>857</v>
      </c>
      <c r="F26" s="400" t="s">
        <v>857</v>
      </c>
      <c r="G26" s="400" t="s">
        <v>81</v>
      </c>
      <c r="H26" s="400" t="s">
        <v>857</v>
      </c>
      <c r="I26" s="400" t="s">
        <v>857</v>
      </c>
      <c r="J26" s="400" t="s">
        <v>857</v>
      </c>
      <c r="K26" s="400" t="s">
        <v>857</v>
      </c>
      <c r="L26" s="400" t="s">
        <v>857</v>
      </c>
      <c r="M26" s="400"/>
      <c r="N26" s="400"/>
      <c r="O26" s="400"/>
      <c r="P26" s="400"/>
      <c r="Q26" s="400"/>
      <c r="R26" s="400"/>
      <c r="S26" s="400"/>
      <c r="T26" s="400"/>
    </row>
    <row r="27" spans="1:21" ht="17.899999999999999" customHeight="1" x14ac:dyDescent="0.35">
      <c r="A27" s="217">
        <v>16</v>
      </c>
      <c r="B27" s="396" t="s">
        <v>882</v>
      </c>
      <c r="C27" s="260" t="s">
        <v>883</v>
      </c>
      <c r="D27" s="262" t="s">
        <v>841</v>
      </c>
      <c r="E27" s="399" t="s">
        <v>857</v>
      </c>
      <c r="F27" s="400" t="s">
        <v>857</v>
      </c>
      <c r="G27" s="400" t="s">
        <v>857</v>
      </c>
      <c r="H27" s="400" t="s">
        <v>857</v>
      </c>
      <c r="I27" s="400" t="s">
        <v>857</v>
      </c>
      <c r="J27" s="400" t="s">
        <v>857</v>
      </c>
      <c r="K27" s="400" t="s">
        <v>857</v>
      </c>
      <c r="L27" s="400" t="s">
        <v>857</v>
      </c>
      <c r="M27" s="400"/>
      <c r="N27" s="400"/>
      <c r="O27" s="400"/>
      <c r="P27" s="400"/>
      <c r="Q27" s="400"/>
      <c r="R27" s="400"/>
      <c r="S27" s="400"/>
      <c r="T27" s="400"/>
    </row>
    <row r="28" spans="1:21" ht="17.899999999999999" customHeight="1" x14ac:dyDescent="0.35">
      <c r="A28" s="217">
        <v>17</v>
      </c>
      <c r="B28" s="396" t="s">
        <v>884</v>
      </c>
      <c r="C28" s="260" t="s">
        <v>885</v>
      </c>
      <c r="D28" s="262" t="s">
        <v>74</v>
      </c>
      <c r="E28" s="399" t="s">
        <v>857</v>
      </c>
      <c r="F28" s="400" t="s">
        <v>857</v>
      </c>
      <c r="G28" s="400" t="s">
        <v>857</v>
      </c>
      <c r="H28" s="400" t="s">
        <v>857</v>
      </c>
      <c r="I28" s="400" t="s">
        <v>857</v>
      </c>
      <c r="J28" s="400" t="s">
        <v>857</v>
      </c>
      <c r="K28" s="400" t="s">
        <v>857</v>
      </c>
      <c r="L28" s="400" t="s">
        <v>857</v>
      </c>
      <c r="M28" s="400"/>
      <c r="N28" s="400"/>
      <c r="O28" s="400"/>
      <c r="P28" s="400"/>
      <c r="Q28" s="400"/>
      <c r="R28" s="400"/>
      <c r="S28" s="400"/>
      <c r="T28" s="400"/>
      <c r="U28" s="41" t="s">
        <v>37</v>
      </c>
    </row>
    <row r="29" spans="1:21" ht="17.899999999999999" customHeight="1" x14ac:dyDescent="0.35">
      <c r="A29" s="217">
        <v>18</v>
      </c>
      <c r="B29" s="396" t="s">
        <v>886</v>
      </c>
      <c r="C29" s="260" t="s">
        <v>887</v>
      </c>
      <c r="D29" s="262" t="s">
        <v>74</v>
      </c>
      <c r="E29" s="399" t="s">
        <v>857</v>
      </c>
      <c r="F29" s="400" t="s">
        <v>857</v>
      </c>
      <c r="G29" s="400" t="s">
        <v>857</v>
      </c>
      <c r="H29" s="400" t="s">
        <v>857</v>
      </c>
      <c r="I29" s="400" t="s">
        <v>857</v>
      </c>
      <c r="J29" s="400" t="s">
        <v>857</v>
      </c>
      <c r="K29" s="400" t="s">
        <v>857</v>
      </c>
      <c r="L29" s="400" t="s">
        <v>857</v>
      </c>
      <c r="M29" s="400"/>
      <c r="N29" s="400"/>
      <c r="O29" s="400"/>
      <c r="P29" s="400"/>
      <c r="Q29" s="400"/>
      <c r="R29" s="400"/>
      <c r="S29" s="400"/>
      <c r="T29" s="400"/>
    </row>
    <row r="30" spans="1:21" ht="17.899999999999999" customHeight="1" x14ac:dyDescent="0.35">
      <c r="A30" s="217">
        <v>19</v>
      </c>
      <c r="B30" s="396" t="s">
        <v>888</v>
      </c>
      <c r="C30" s="260" t="s">
        <v>889</v>
      </c>
      <c r="D30" s="262" t="s">
        <v>74</v>
      </c>
      <c r="E30" s="399" t="s">
        <v>857</v>
      </c>
      <c r="F30" s="400" t="s">
        <v>857</v>
      </c>
      <c r="G30" s="400" t="s">
        <v>857</v>
      </c>
      <c r="H30" s="400" t="s">
        <v>81</v>
      </c>
      <c r="I30" s="400" t="s">
        <v>857</v>
      </c>
      <c r="J30" s="400" t="s">
        <v>857</v>
      </c>
      <c r="K30" s="400" t="s">
        <v>857</v>
      </c>
      <c r="L30" s="400" t="s">
        <v>857</v>
      </c>
      <c r="M30" s="400"/>
      <c r="N30" s="400"/>
      <c r="O30" s="400"/>
      <c r="P30" s="400"/>
      <c r="Q30" s="400"/>
      <c r="R30" s="400"/>
      <c r="S30" s="400"/>
      <c r="T30" s="400"/>
    </row>
    <row r="31" spans="1:21" ht="17.899999999999999" customHeight="1" x14ac:dyDescent="0.35">
      <c r="A31" s="217">
        <v>20</v>
      </c>
      <c r="B31" s="396" t="s">
        <v>890</v>
      </c>
      <c r="C31" s="260" t="s">
        <v>891</v>
      </c>
      <c r="D31" s="262" t="s">
        <v>74</v>
      </c>
      <c r="E31" s="399" t="s">
        <v>82</v>
      </c>
      <c r="F31" s="400" t="s">
        <v>857</v>
      </c>
      <c r="G31" s="400" t="s">
        <v>857</v>
      </c>
      <c r="H31" s="400" t="s">
        <v>857</v>
      </c>
      <c r="I31" s="400" t="s">
        <v>857</v>
      </c>
      <c r="J31" s="400" t="s">
        <v>857</v>
      </c>
      <c r="K31" s="400" t="s">
        <v>857</v>
      </c>
      <c r="L31" s="400" t="s">
        <v>857</v>
      </c>
      <c r="M31" s="400"/>
      <c r="N31" s="400"/>
      <c r="O31" s="400"/>
      <c r="P31" s="400"/>
      <c r="Q31" s="400"/>
      <c r="R31" s="400"/>
      <c r="S31" s="400"/>
      <c r="T31" s="400"/>
    </row>
    <row r="32" spans="1:21" ht="17.899999999999999" customHeight="1" x14ac:dyDescent="0.35">
      <c r="A32" s="217">
        <v>21</v>
      </c>
      <c r="B32" s="396" t="s">
        <v>892</v>
      </c>
      <c r="C32" s="260" t="s">
        <v>893</v>
      </c>
      <c r="D32" s="262" t="s">
        <v>74</v>
      </c>
      <c r="E32" s="399" t="s">
        <v>857</v>
      </c>
      <c r="F32" s="400" t="s">
        <v>857</v>
      </c>
      <c r="G32" s="400" t="s">
        <v>857</v>
      </c>
      <c r="H32" s="400" t="s">
        <v>857</v>
      </c>
      <c r="I32" s="400" t="s">
        <v>857</v>
      </c>
      <c r="J32" s="400" t="s">
        <v>857</v>
      </c>
      <c r="K32" s="400" t="s">
        <v>857</v>
      </c>
      <c r="L32" s="400" t="s">
        <v>857</v>
      </c>
      <c r="M32" s="400"/>
      <c r="N32" s="400"/>
      <c r="O32" s="400"/>
      <c r="P32" s="400"/>
      <c r="Q32" s="400"/>
      <c r="R32" s="400"/>
      <c r="S32" s="400"/>
      <c r="T32" s="400"/>
    </row>
    <row r="33" spans="1:25" ht="17.899999999999999" customHeight="1" x14ac:dyDescent="0.35">
      <c r="A33" s="217">
        <v>22</v>
      </c>
      <c r="B33" s="396" t="s">
        <v>894</v>
      </c>
      <c r="C33" s="260" t="s">
        <v>895</v>
      </c>
      <c r="D33" s="262" t="s">
        <v>841</v>
      </c>
      <c r="E33" s="399" t="s">
        <v>857</v>
      </c>
      <c r="F33" s="400" t="s">
        <v>857</v>
      </c>
      <c r="G33" s="400" t="s">
        <v>857</v>
      </c>
      <c r="H33" s="400" t="s">
        <v>857</v>
      </c>
      <c r="I33" s="400" t="s">
        <v>857</v>
      </c>
      <c r="J33" s="400" t="s">
        <v>857</v>
      </c>
      <c r="K33" s="400" t="s">
        <v>857</v>
      </c>
      <c r="L33" s="400" t="s">
        <v>857</v>
      </c>
      <c r="M33" s="400"/>
      <c r="N33" s="400"/>
      <c r="O33" s="400"/>
      <c r="P33" s="400"/>
      <c r="Q33" s="400"/>
      <c r="R33" s="400"/>
      <c r="S33" s="400"/>
      <c r="T33" s="400"/>
    </row>
    <row r="34" spans="1:25" ht="17.899999999999999" customHeight="1" x14ac:dyDescent="0.35">
      <c r="A34" s="217">
        <v>23</v>
      </c>
      <c r="B34" s="396" t="s">
        <v>896</v>
      </c>
      <c r="C34" s="260" t="s">
        <v>897</v>
      </c>
      <c r="D34" s="262" t="s">
        <v>74</v>
      </c>
      <c r="E34" s="399" t="s">
        <v>841</v>
      </c>
      <c r="F34" s="400" t="s">
        <v>857</v>
      </c>
      <c r="G34" s="400" t="s">
        <v>857</v>
      </c>
      <c r="H34" s="400" t="s">
        <v>857</v>
      </c>
      <c r="I34" s="400" t="s">
        <v>857</v>
      </c>
      <c r="J34" s="400" t="s">
        <v>857</v>
      </c>
      <c r="K34" s="400" t="s">
        <v>857</v>
      </c>
      <c r="L34" s="400" t="s">
        <v>857</v>
      </c>
      <c r="M34" s="400"/>
      <c r="N34" s="400"/>
      <c r="O34" s="400"/>
      <c r="P34" s="400"/>
      <c r="Q34" s="400"/>
      <c r="R34" s="400"/>
      <c r="S34" s="400"/>
      <c r="T34" s="400"/>
    </row>
    <row r="35" spans="1:25" ht="17.899999999999999" customHeight="1" x14ac:dyDescent="0.35">
      <c r="A35" s="217">
        <v>24</v>
      </c>
      <c r="B35" s="396" t="s">
        <v>898</v>
      </c>
      <c r="C35" s="260" t="s">
        <v>899</v>
      </c>
      <c r="D35" s="262" t="s">
        <v>74</v>
      </c>
      <c r="E35" s="399" t="s">
        <v>857</v>
      </c>
      <c r="F35" s="400" t="s">
        <v>857</v>
      </c>
      <c r="G35" s="400" t="s">
        <v>857</v>
      </c>
      <c r="H35" s="400" t="s">
        <v>857</v>
      </c>
      <c r="I35" s="400" t="s">
        <v>857</v>
      </c>
      <c r="J35" s="400" t="s">
        <v>857</v>
      </c>
      <c r="K35" s="400" t="s">
        <v>857</v>
      </c>
      <c r="L35" s="400" t="s">
        <v>857</v>
      </c>
      <c r="M35" s="400"/>
      <c r="N35" s="400"/>
      <c r="O35" s="400"/>
      <c r="P35" s="400"/>
      <c r="Q35" s="400"/>
      <c r="R35" s="400"/>
      <c r="S35" s="400"/>
      <c r="T35" s="400"/>
    </row>
    <row r="36" spans="1:25" ht="17.899999999999999" customHeight="1" x14ac:dyDescent="0.35">
      <c r="A36" s="217">
        <v>25</v>
      </c>
      <c r="B36" s="396" t="s">
        <v>900</v>
      </c>
      <c r="C36" s="260" t="s">
        <v>901</v>
      </c>
      <c r="D36" s="262" t="s">
        <v>74</v>
      </c>
      <c r="E36" s="399" t="s">
        <v>857</v>
      </c>
      <c r="F36" s="400" t="s">
        <v>857</v>
      </c>
      <c r="G36" s="400" t="s">
        <v>857</v>
      </c>
      <c r="H36" s="400" t="s">
        <v>857</v>
      </c>
      <c r="I36" s="400" t="s">
        <v>857</v>
      </c>
      <c r="J36" s="400" t="s">
        <v>857</v>
      </c>
      <c r="K36" s="400" t="s">
        <v>857</v>
      </c>
      <c r="L36" s="400" t="s">
        <v>857</v>
      </c>
      <c r="M36" s="400"/>
      <c r="N36" s="400"/>
      <c r="O36" s="400"/>
      <c r="P36" s="400"/>
      <c r="Q36" s="400"/>
      <c r="R36" s="400"/>
      <c r="S36" s="400"/>
      <c r="T36" s="400"/>
    </row>
    <row r="37" spans="1:25" ht="17.899999999999999" customHeight="1" x14ac:dyDescent="0.35">
      <c r="A37" s="217">
        <v>26</v>
      </c>
      <c r="B37" s="396" t="s">
        <v>902</v>
      </c>
      <c r="C37" s="260" t="s">
        <v>903</v>
      </c>
      <c r="D37" s="262" t="s">
        <v>74</v>
      </c>
      <c r="E37" s="399" t="s">
        <v>857</v>
      </c>
      <c r="F37" s="400" t="s">
        <v>857</v>
      </c>
      <c r="G37" s="400" t="s">
        <v>857</v>
      </c>
      <c r="H37" s="400" t="s">
        <v>857</v>
      </c>
      <c r="I37" s="400" t="s">
        <v>857</v>
      </c>
      <c r="J37" s="400" t="s">
        <v>857</v>
      </c>
      <c r="K37" s="400" t="s">
        <v>857</v>
      </c>
      <c r="L37" s="400" t="s">
        <v>81</v>
      </c>
      <c r="M37" s="400"/>
      <c r="N37" s="400"/>
      <c r="O37" s="400"/>
      <c r="P37" s="400"/>
      <c r="Q37" s="400"/>
      <c r="R37" s="400"/>
      <c r="S37" s="400"/>
      <c r="T37" s="400"/>
    </row>
    <row r="38" spans="1:25" ht="17.899999999999999" customHeight="1" x14ac:dyDescent="0.35">
      <c r="A38" s="217">
        <v>27</v>
      </c>
      <c r="B38" s="396" t="s">
        <v>904</v>
      </c>
      <c r="C38" s="260" t="s">
        <v>905</v>
      </c>
      <c r="D38" s="262" t="s">
        <v>74</v>
      </c>
      <c r="E38" s="399" t="s">
        <v>857</v>
      </c>
      <c r="F38" s="400" t="s">
        <v>857</v>
      </c>
      <c r="G38" s="400" t="s">
        <v>857</v>
      </c>
      <c r="H38" s="400" t="s">
        <v>857</v>
      </c>
      <c r="I38" s="400" t="s">
        <v>857</v>
      </c>
      <c r="J38" s="400" t="s">
        <v>857</v>
      </c>
      <c r="K38" s="400" t="s">
        <v>857</v>
      </c>
      <c r="L38" s="400" t="s">
        <v>857</v>
      </c>
      <c r="M38" s="400"/>
      <c r="N38" s="400"/>
      <c r="O38" s="400"/>
      <c r="P38" s="400"/>
      <c r="Q38" s="400"/>
      <c r="R38" s="400"/>
      <c r="S38" s="400"/>
      <c r="T38" s="400"/>
    </row>
    <row r="39" spans="1:25" ht="17.899999999999999" customHeight="1" x14ac:dyDescent="0.35">
      <c r="A39" s="217">
        <v>28</v>
      </c>
      <c r="B39" s="396" t="s">
        <v>906</v>
      </c>
      <c r="C39" s="260" t="s">
        <v>907</v>
      </c>
      <c r="D39" s="262" t="s">
        <v>74</v>
      </c>
      <c r="E39" s="399" t="s">
        <v>857</v>
      </c>
      <c r="F39" s="400" t="s">
        <v>857</v>
      </c>
      <c r="G39" s="400" t="s">
        <v>857</v>
      </c>
      <c r="H39" s="400" t="s">
        <v>857</v>
      </c>
      <c r="I39" s="400" t="s">
        <v>857</v>
      </c>
      <c r="J39" s="400" t="s">
        <v>857</v>
      </c>
      <c r="K39" s="400" t="s">
        <v>857</v>
      </c>
      <c r="L39" s="400" t="s">
        <v>857</v>
      </c>
      <c r="M39" s="400"/>
      <c r="N39" s="400"/>
      <c r="O39" s="400"/>
      <c r="P39" s="400"/>
      <c r="Q39" s="400"/>
      <c r="R39" s="400"/>
      <c r="S39" s="400"/>
      <c r="T39" s="400"/>
    </row>
    <row r="40" spans="1:25" ht="17.899999999999999" customHeight="1" x14ac:dyDescent="0.35">
      <c r="A40" s="217">
        <v>29</v>
      </c>
      <c r="B40" s="396" t="s">
        <v>908</v>
      </c>
      <c r="C40" s="260" t="s">
        <v>909</v>
      </c>
      <c r="D40" s="262" t="s">
        <v>74</v>
      </c>
      <c r="E40" s="399" t="s">
        <v>857</v>
      </c>
      <c r="F40" s="400" t="s">
        <v>857</v>
      </c>
      <c r="G40" s="400" t="s">
        <v>857</v>
      </c>
      <c r="H40" s="400" t="s">
        <v>857</v>
      </c>
      <c r="I40" s="400" t="s">
        <v>857</v>
      </c>
      <c r="J40" s="400" t="s">
        <v>857</v>
      </c>
      <c r="K40" s="400" t="s">
        <v>857</v>
      </c>
      <c r="L40" s="400" t="s">
        <v>857</v>
      </c>
      <c r="M40" s="400"/>
      <c r="N40" s="400"/>
      <c r="O40" s="400"/>
      <c r="P40" s="400"/>
      <c r="Q40" s="400"/>
      <c r="R40" s="400"/>
      <c r="S40" s="400"/>
      <c r="T40" s="400"/>
    </row>
    <row r="41" spans="1:25" ht="17.899999999999999" customHeight="1" x14ac:dyDescent="0.35">
      <c r="A41" s="217">
        <v>30</v>
      </c>
      <c r="B41" s="396" t="s">
        <v>910</v>
      </c>
      <c r="C41" s="260" t="s">
        <v>911</v>
      </c>
      <c r="D41" s="262" t="s">
        <v>74</v>
      </c>
      <c r="E41" s="399" t="s">
        <v>82</v>
      </c>
      <c r="F41" s="400" t="s">
        <v>81</v>
      </c>
      <c r="G41" s="400" t="s">
        <v>2</v>
      </c>
      <c r="H41" s="400" t="s">
        <v>857</v>
      </c>
      <c r="I41" s="400" t="s">
        <v>857</v>
      </c>
      <c r="J41" s="400" t="s">
        <v>857</v>
      </c>
      <c r="K41" s="400" t="s">
        <v>857</v>
      </c>
      <c r="L41" s="400" t="s">
        <v>857</v>
      </c>
      <c r="M41" s="400"/>
      <c r="N41" s="400"/>
      <c r="O41" s="400"/>
      <c r="P41" s="400"/>
      <c r="Q41" s="400"/>
      <c r="R41" s="400"/>
      <c r="S41" s="400"/>
      <c r="T41" s="400"/>
    </row>
    <row r="42" spans="1:25" ht="17.899999999999999" customHeight="1" x14ac:dyDescent="0.35">
      <c r="A42" s="217">
        <v>31</v>
      </c>
      <c r="B42" s="396" t="s">
        <v>912</v>
      </c>
      <c r="C42" s="260" t="s">
        <v>913</v>
      </c>
      <c r="D42" s="262" t="s">
        <v>74</v>
      </c>
      <c r="E42" s="399" t="s">
        <v>857</v>
      </c>
      <c r="F42" s="400" t="s">
        <v>857</v>
      </c>
      <c r="G42" s="400" t="s">
        <v>857</v>
      </c>
      <c r="H42" s="400" t="s">
        <v>857</v>
      </c>
      <c r="I42" s="400" t="s">
        <v>857</v>
      </c>
      <c r="J42" s="400" t="s">
        <v>857</v>
      </c>
      <c r="K42" s="400" t="s">
        <v>857</v>
      </c>
      <c r="L42" s="400" t="s">
        <v>857</v>
      </c>
      <c r="M42" s="400"/>
      <c r="N42" s="400"/>
      <c r="O42" s="400"/>
      <c r="P42" s="400"/>
      <c r="Q42" s="400"/>
      <c r="R42" s="400"/>
      <c r="S42" s="400"/>
      <c r="T42" s="400"/>
    </row>
    <row r="43" spans="1:25" ht="17.899999999999999" customHeight="1" x14ac:dyDescent="0.35">
      <c r="A43" s="217">
        <v>32</v>
      </c>
      <c r="B43" s="396" t="s">
        <v>914</v>
      </c>
      <c r="C43" s="260" t="s">
        <v>915</v>
      </c>
      <c r="D43" s="262" t="s">
        <v>74</v>
      </c>
      <c r="E43" s="399" t="s">
        <v>857</v>
      </c>
      <c r="F43" s="400" t="s">
        <v>857</v>
      </c>
      <c r="G43" s="400" t="s">
        <v>81</v>
      </c>
      <c r="H43" s="400" t="s">
        <v>857</v>
      </c>
      <c r="I43" s="400" t="s">
        <v>857</v>
      </c>
      <c r="J43" s="400" t="s">
        <v>857</v>
      </c>
      <c r="K43" s="400" t="s">
        <v>857</v>
      </c>
      <c r="L43" s="400" t="s">
        <v>857</v>
      </c>
      <c r="M43" s="400"/>
      <c r="N43" s="400"/>
      <c r="O43" s="400"/>
      <c r="P43" s="400"/>
      <c r="Q43" s="400"/>
      <c r="R43" s="400"/>
      <c r="S43" s="400"/>
      <c r="T43" s="400"/>
    </row>
    <row r="44" spans="1:25" ht="14.25" customHeight="1" x14ac:dyDescent="0.35">
      <c r="A44" s="217">
        <v>33</v>
      </c>
      <c r="B44" s="396" t="s">
        <v>916</v>
      </c>
      <c r="C44" s="260" t="s">
        <v>917</v>
      </c>
      <c r="D44" s="262" t="s">
        <v>74</v>
      </c>
      <c r="E44" s="399" t="s">
        <v>857</v>
      </c>
      <c r="F44" s="400" t="s">
        <v>857</v>
      </c>
      <c r="G44" s="400" t="s">
        <v>857</v>
      </c>
      <c r="H44" s="400" t="s">
        <v>857</v>
      </c>
      <c r="I44" s="400" t="s">
        <v>857</v>
      </c>
      <c r="J44" s="400" t="s">
        <v>857</v>
      </c>
      <c r="K44" s="400" t="s">
        <v>857</v>
      </c>
      <c r="L44" s="400" t="s">
        <v>857</v>
      </c>
      <c r="M44" s="400"/>
      <c r="N44" s="400"/>
      <c r="O44" s="400"/>
      <c r="P44" s="400"/>
      <c r="Q44" s="400"/>
      <c r="R44" s="400"/>
      <c r="S44" s="400"/>
      <c r="T44" s="400"/>
    </row>
    <row r="45" spans="1:25" ht="15" customHeight="1" x14ac:dyDescent="0.35">
      <c r="A45" s="217">
        <v>34</v>
      </c>
      <c r="B45" s="396" t="s">
        <v>918</v>
      </c>
      <c r="C45" s="260" t="s">
        <v>919</v>
      </c>
      <c r="D45" s="262" t="s">
        <v>841</v>
      </c>
      <c r="E45" s="399" t="s">
        <v>857</v>
      </c>
      <c r="F45" s="400" t="s">
        <v>857</v>
      </c>
      <c r="G45" s="400" t="s">
        <v>857</v>
      </c>
      <c r="H45" s="400" t="s">
        <v>857</v>
      </c>
      <c r="I45" s="400" t="s">
        <v>857</v>
      </c>
      <c r="J45" s="400" t="s">
        <v>857</v>
      </c>
      <c r="K45" s="400" t="s">
        <v>857</v>
      </c>
      <c r="L45" s="400" t="s">
        <v>857</v>
      </c>
      <c r="M45" s="400"/>
      <c r="N45" s="400"/>
      <c r="O45" s="400"/>
      <c r="P45" s="400"/>
      <c r="Q45" s="400"/>
      <c r="R45" s="400"/>
      <c r="S45" s="400"/>
      <c r="T45" s="400"/>
    </row>
    <row r="46" spans="1:25" ht="15" customHeight="1" x14ac:dyDescent="0.35">
      <c r="A46" s="217">
        <v>35</v>
      </c>
      <c r="B46" s="396" t="s">
        <v>920</v>
      </c>
      <c r="C46" s="260" t="s">
        <v>921</v>
      </c>
      <c r="D46" s="262" t="s">
        <v>841</v>
      </c>
      <c r="E46" s="399" t="s">
        <v>857</v>
      </c>
      <c r="F46" s="400" t="s">
        <v>857</v>
      </c>
      <c r="G46" s="400" t="s">
        <v>857</v>
      </c>
      <c r="H46" s="400" t="s">
        <v>857</v>
      </c>
      <c r="I46" s="400" t="s">
        <v>857</v>
      </c>
      <c r="J46" s="400" t="s">
        <v>857</v>
      </c>
      <c r="K46" s="400" t="s">
        <v>857</v>
      </c>
      <c r="L46" s="400" t="s">
        <v>857</v>
      </c>
      <c r="M46" s="400"/>
      <c r="N46" s="400"/>
      <c r="O46" s="400"/>
      <c r="P46" s="400"/>
      <c r="Q46" s="400"/>
      <c r="R46" s="400"/>
      <c r="S46" s="400"/>
      <c r="T46" s="400"/>
    </row>
    <row r="47" spans="1:25" ht="15" customHeight="1" x14ac:dyDescent="0.35">
      <c r="A47" s="217">
        <v>36</v>
      </c>
      <c r="B47" s="396" t="s">
        <v>922</v>
      </c>
      <c r="C47" s="260" t="s">
        <v>923</v>
      </c>
      <c r="D47" s="262" t="s">
        <v>74</v>
      </c>
      <c r="E47" s="399" t="s">
        <v>2</v>
      </c>
      <c r="F47" s="400" t="s">
        <v>857</v>
      </c>
      <c r="G47" s="400" t="s">
        <v>2</v>
      </c>
      <c r="H47" s="400" t="s">
        <v>2</v>
      </c>
      <c r="I47" s="400" t="s">
        <v>2</v>
      </c>
      <c r="J47" s="400" t="s">
        <v>2</v>
      </c>
      <c r="K47" s="400" t="s">
        <v>2</v>
      </c>
      <c r="L47" s="400" t="s">
        <v>2</v>
      </c>
      <c r="M47" s="400"/>
      <c r="N47" s="400"/>
      <c r="O47" s="400"/>
      <c r="P47" s="400"/>
      <c r="Q47" s="400"/>
      <c r="R47" s="400"/>
      <c r="S47" s="400"/>
      <c r="T47" s="400"/>
    </row>
    <row r="48" spans="1:25" x14ac:dyDescent="0.35">
      <c r="I48" s="201"/>
      <c r="L48" s="201"/>
      <c r="V48" s="201"/>
      <c r="Y48" s="201"/>
    </row>
    <row r="49" spans="9:22" x14ac:dyDescent="0.35">
      <c r="I49" s="41" t="s">
        <v>444</v>
      </c>
    </row>
    <row r="50" spans="9:22" x14ac:dyDescent="0.35">
      <c r="I50" s="41" t="s">
        <v>43</v>
      </c>
      <c r="V50" s="201"/>
    </row>
    <row r="52" spans="9:22" x14ac:dyDescent="0.35">
      <c r="I52" s="201"/>
    </row>
    <row r="54" spans="9:22" x14ac:dyDescent="0.35">
      <c r="I54" s="216" t="s">
        <v>1014</v>
      </c>
    </row>
    <row r="55" spans="9:22" x14ac:dyDescent="0.35">
      <c r="I55" s="41" t="s">
        <v>1023</v>
      </c>
    </row>
  </sheetData>
  <mergeCells count="10">
    <mergeCell ref="V1:W1"/>
    <mergeCell ref="V2:W2"/>
    <mergeCell ref="M1:R1"/>
    <mergeCell ref="M2:R2"/>
    <mergeCell ref="A3:R3"/>
    <mergeCell ref="A9:A11"/>
    <mergeCell ref="D9:D11"/>
    <mergeCell ref="E9:T9"/>
    <mergeCell ref="B9:B11"/>
    <mergeCell ref="C9:C11"/>
  </mergeCells>
  <pageMargins left="0.70866141732283472" right="0.23622047244094491" top="0.78740157480314965" bottom="0.78740157480314965" header="0.35433070866141736" footer="0.31496062992125984"/>
  <pageSetup paperSize="5" scale="90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41"/>
  <sheetViews>
    <sheetView topLeftCell="A13" workbookViewId="0">
      <selection activeCell="F37" sqref="F37"/>
    </sheetView>
  </sheetViews>
  <sheetFormatPr defaultRowHeight="14" x14ac:dyDescent="0.3"/>
  <cols>
    <col min="1" max="1" width="3.81640625" style="32" customWidth="1"/>
    <col min="2" max="2" width="34.7265625" style="32" customWidth="1"/>
    <col min="3" max="3" width="44.1796875" style="32" customWidth="1"/>
    <col min="4" max="4" width="15.1796875" style="32" customWidth="1"/>
    <col min="5" max="5" width="49.1796875" style="32" customWidth="1"/>
    <col min="6" max="6" width="28" style="32" customWidth="1"/>
    <col min="7" max="256" width="9.1796875" style="32"/>
    <col min="257" max="257" width="3.81640625" style="32" customWidth="1"/>
    <col min="258" max="258" width="26.1796875" style="32" customWidth="1"/>
    <col min="259" max="259" width="34.1796875" style="32" customWidth="1"/>
    <col min="260" max="260" width="10.26953125" style="32" customWidth="1"/>
    <col min="261" max="261" width="42.7265625" style="32" customWidth="1"/>
    <col min="262" max="262" width="37.54296875" style="32" customWidth="1"/>
    <col min="263" max="512" width="9.1796875" style="32"/>
    <col min="513" max="513" width="3.81640625" style="32" customWidth="1"/>
    <col min="514" max="514" width="26.1796875" style="32" customWidth="1"/>
    <col min="515" max="515" width="34.1796875" style="32" customWidth="1"/>
    <col min="516" max="516" width="10.26953125" style="32" customWidth="1"/>
    <col min="517" max="517" width="42.7265625" style="32" customWidth="1"/>
    <col min="518" max="518" width="37.54296875" style="32" customWidth="1"/>
    <col min="519" max="768" width="9.1796875" style="32"/>
    <col min="769" max="769" width="3.81640625" style="32" customWidth="1"/>
    <col min="770" max="770" width="26.1796875" style="32" customWidth="1"/>
    <col min="771" max="771" width="34.1796875" style="32" customWidth="1"/>
    <col min="772" max="772" width="10.26953125" style="32" customWidth="1"/>
    <col min="773" max="773" width="42.7265625" style="32" customWidth="1"/>
    <col min="774" max="774" width="37.54296875" style="32" customWidth="1"/>
    <col min="775" max="1024" width="9.1796875" style="32"/>
    <col min="1025" max="1025" width="3.81640625" style="32" customWidth="1"/>
    <col min="1026" max="1026" width="26.1796875" style="32" customWidth="1"/>
    <col min="1027" max="1027" width="34.1796875" style="32" customWidth="1"/>
    <col min="1028" max="1028" width="10.26953125" style="32" customWidth="1"/>
    <col min="1029" max="1029" width="42.7265625" style="32" customWidth="1"/>
    <col min="1030" max="1030" width="37.54296875" style="32" customWidth="1"/>
    <col min="1031" max="1280" width="9.1796875" style="32"/>
    <col min="1281" max="1281" width="3.81640625" style="32" customWidth="1"/>
    <col min="1282" max="1282" width="26.1796875" style="32" customWidth="1"/>
    <col min="1283" max="1283" width="34.1796875" style="32" customWidth="1"/>
    <col min="1284" max="1284" width="10.26953125" style="32" customWidth="1"/>
    <col min="1285" max="1285" width="42.7265625" style="32" customWidth="1"/>
    <col min="1286" max="1286" width="37.54296875" style="32" customWidth="1"/>
    <col min="1287" max="1536" width="9.1796875" style="32"/>
    <col min="1537" max="1537" width="3.81640625" style="32" customWidth="1"/>
    <col min="1538" max="1538" width="26.1796875" style="32" customWidth="1"/>
    <col min="1539" max="1539" width="34.1796875" style="32" customWidth="1"/>
    <col min="1540" max="1540" width="10.26953125" style="32" customWidth="1"/>
    <col min="1541" max="1541" width="42.7265625" style="32" customWidth="1"/>
    <col min="1542" max="1542" width="37.54296875" style="32" customWidth="1"/>
    <col min="1543" max="1792" width="9.1796875" style="32"/>
    <col min="1793" max="1793" width="3.81640625" style="32" customWidth="1"/>
    <col min="1794" max="1794" width="26.1796875" style="32" customWidth="1"/>
    <col min="1795" max="1795" width="34.1796875" style="32" customWidth="1"/>
    <col min="1796" max="1796" width="10.26953125" style="32" customWidth="1"/>
    <col min="1797" max="1797" width="42.7265625" style="32" customWidth="1"/>
    <col min="1798" max="1798" width="37.54296875" style="32" customWidth="1"/>
    <col min="1799" max="2048" width="9.1796875" style="32"/>
    <col min="2049" max="2049" width="3.81640625" style="32" customWidth="1"/>
    <col min="2050" max="2050" width="26.1796875" style="32" customWidth="1"/>
    <col min="2051" max="2051" width="34.1796875" style="32" customWidth="1"/>
    <col min="2052" max="2052" width="10.26953125" style="32" customWidth="1"/>
    <col min="2053" max="2053" width="42.7265625" style="32" customWidth="1"/>
    <col min="2054" max="2054" width="37.54296875" style="32" customWidth="1"/>
    <col min="2055" max="2304" width="9.1796875" style="32"/>
    <col min="2305" max="2305" width="3.81640625" style="32" customWidth="1"/>
    <col min="2306" max="2306" width="26.1796875" style="32" customWidth="1"/>
    <col min="2307" max="2307" width="34.1796875" style="32" customWidth="1"/>
    <col min="2308" max="2308" width="10.26953125" style="32" customWidth="1"/>
    <col min="2309" max="2309" width="42.7265625" style="32" customWidth="1"/>
    <col min="2310" max="2310" width="37.54296875" style="32" customWidth="1"/>
    <col min="2311" max="2560" width="9.1796875" style="32"/>
    <col min="2561" max="2561" width="3.81640625" style="32" customWidth="1"/>
    <col min="2562" max="2562" width="26.1796875" style="32" customWidth="1"/>
    <col min="2563" max="2563" width="34.1796875" style="32" customWidth="1"/>
    <col min="2564" max="2564" width="10.26953125" style="32" customWidth="1"/>
    <col min="2565" max="2565" width="42.7265625" style="32" customWidth="1"/>
    <col min="2566" max="2566" width="37.54296875" style="32" customWidth="1"/>
    <col min="2567" max="2816" width="9.1796875" style="32"/>
    <col min="2817" max="2817" width="3.81640625" style="32" customWidth="1"/>
    <col min="2818" max="2818" width="26.1796875" style="32" customWidth="1"/>
    <col min="2819" max="2819" width="34.1796875" style="32" customWidth="1"/>
    <col min="2820" max="2820" width="10.26953125" style="32" customWidth="1"/>
    <col min="2821" max="2821" width="42.7265625" style="32" customWidth="1"/>
    <col min="2822" max="2822" width="37.54296875" style="32" customWidth="1"/>
    <col min="2823" max="3072" width="9.1796875" style="32"/>
    <col min="3073" max="3073" width="3.81640625" style="32" customWidth="1"/>
    <col min="3074" max="3074" width="26.1796875" style="32" customWidth="1"/>
    <col min="3075" max="3075" width="34.1796875" style="32" customWidth="1"/>
    <col min="3076" max="3076" width="10.26953125" style="32" customWidth="1"/>
    <col min="3077" max="3077" width="42.7265625" style="32" customWidth="1"/>
    <col min="3078" max="3078" width="37.54296875" style="32" customWidth="1"/>
    <col min="3079" max="3328" width="9.1796875" style="32"/>
    <col min="3329" max="3329" width="3.81640625" style="32" customWidth="1"/>
    <col min="3330" max="3330" width="26.1796875" style="32" customWidth="1"/>
    <col min="3331" max="3331" width="34.1796875" style="32" customWidth="1"/>
    <col min="3332" max="3332" width="10.26953125" style="32" customWidth="1"/>
    <col min="3333" max="3333" width="42.7265625" style="32" customWidth="1"/>
    <col min="3334" max="3334" width="37.54296875" style="32" customWidth="1"/>
    <col min="3335" max="3584" width="9.1796875" style="32"/>
    <col min="3585" max="3585" width="3.81640625" style="32" customWidth="1"/>
    <col min="3586" max="3586" width="26.1796875" style="32" customWidth="1"/>
    <col min="3587" max="3587" width="34.1796875" style="32" customWidth="1"/>
    <col min="3588" max="3588" width="10.26953125" style="32" customWidth="1"/>
    <col min="3589" max="3589" width="42.7265625" style="32" customWidth="1"/>
    <col min="3590" max="3590" width="37.54296875" style="32" customWidth="1"/>
    <col min="3591" max="3840" width="9.1796875" style="32"/>
    <col min="3841" max="3841" width="3.81640625" style="32" customWidth="1"/>
    <col min="3842" max="3842" width="26.1796875" style="32" customWidth="1"/>
    <col min="3843" max="3843" width="34.1796875" style="32" customWidth="1"/>
    <col min="3844" max="3844" width="10.26953125" style="32" customWidth="1"/>
    <col min="3845" max="3845" width="42.7265625" style="32" customWidth="1"/>
    <col min="3846" max="3846" width="37.54296875" style="32" customWidth="1"/>
    <col min="3847" max="4096" width="9.1796875" style="32"/>
    <col min="4097" max="4097" width="3.81640625" style="32" customWidth="1"/>
    <col min="4098" max="4098" width="26.1796875" style="32" customWidth="1"/>
    <col min="4099" max="4099" width="34.1796875" style="32" customWidth="1"/>
    <col min="4100" max="4100" width="10.26953125" style="32" customWidth="1"/>
    <col min="4101" max="4101" width="42.7265625" style="32" customWidth="1"/>
    <col min="4102" max="4102" width="37.54296875" style="32" customWidth="1"/>
    <col min="4103" max="4352" width="9.1796875" style="32"/>
    <col min="4353" max="4353" width="3.81640625" style="32" customWidth="1"/>
    <col min="4354" max="4354" width="26.1796875" style="32" customWidth="1"/>
    <col min="4355" max="4355" width="34.1796875" style="32" customWidth="1"/>
    <col min="4356" max="4356" width="10.26953125" style="32" customWidth="1"/>
    <col min="4357" max="4357" width="42.7265625" style="32" customWidth="1"/>
    <col min="4358" max="4358" width="37.54296875" style="32" customWidth="1"/>
    <col min="4359" max="4608" width="9.1796875" style="32"/>
    <col min="4609" max="4609" width="3.81640625" style="32" customWidth="1"/>
    <col min="4610" max="4610" width="26.1796875" style="32" customWidth="1"/>
    <col min="4611" max="4611" width="34.1796875" style="32" customWidth="1"/>
    <col min="4612" max="4612" width="10.26953125" style="32" customWidth="1"/>
    <col min="4613" max="4613" width="42.7265625" style="32" customWidth="1"/>
    <col min="4614" max="4614" width="37.54296875" style="32" customWidth="1"/>
    <col min="4615" max="4864" width="9.1796875" style="32"/>
    <col min="4865" max="4865" width="3.81640625" style="32" customWidth="1"/>
    <col min="4866" max="4866" width="26.1796875" style="32" customWidth="1"/>
    <col min="4867" max="4867" width="34.1796875" style="32" customWidth="1"/>
    <col min="4868" max="4868" width="10.26953125" style="32" customWidth="1"/>
    <col min="4869" max="4869" width="42.7265625" style="32" customWidth="1"/>
    <col min="4870" max="4870" width="37.54296875" style="32" customWidth="1"/>
    <col min="4871" max="5120" width="9.1796875" style="32"/>
    <col min="5121" max="5121" width="3.81640625" style="32" customWidth="1"/>
    <col min="5122" max="5122" width="26.1796875" style="32" customWidth="1"/>
    <col min="5123" max="5123" width="34.1796875" style="32" customWidth="1"/>
    <col min="5124" max="5124" width="10.26953125" style="32" customWidth="1"/>
    <col min="5125" max="5125" width="42.7265625" style="32" customWidth="1"/>
    <col min="5126" max="5126" width="37.54296875" style="32" customWidth="1"/>
    <col min="5127" max="5376" width="9.1796875" style="32"/>
    <col min="5377" max="5377" width="3.81640625" style="32" customWidth="1"/>
    <col min="5378" max="5378" width="26.1796875" style="32" customWidth="1"/>
    <col min="5379" max="5379" width="34.1796875" style="32" customWidth="1"/>
    <col min="5380" max="5380" width="10.26953125" style="32" customWidth="1"/>
    <col min="5381" max="5381" width="42.7265625" style="32" customWidth="1"/>
    <col min="5382" max="5382" width="37.54296875" style="32" customWidth="1"/>
    <col min="5383" max="5632" width="9.1796875" style="32"/>
    <col min="5633" max="5633" width="3.81640625" style="32" customWidth="1"/>
    <col min="5634" max="5634" width="26.1796875" style="32" customWidth="1"/>
    <col min="5635" max="5635" width="34.1796875" style="32" customWidth="1"/>
    <col min="5636" max="5636" width="10.26953125" style="32" customWidth="1"/>
    <col min="5637" max="5637" width="42.7265625" style="32" customWidth="1"/>
    <col min="5638" max="5638" width="37.54296875" style="32" customWidth="1"/>
    <col min="5639" max="5888" width="9.1796875" style="32"/>
    <col min="5889" max="5889" width="3.81640625" style="32" customWidth="1"/>
    <col min="5890" max="5890" width="26.1796875" style="32" customWidth="1"/>
    <col min="5891" max="5891" width="34.1796875" style="32" customWidth="1"/>
    <col min="5892" max="5892" width="10.26953125" style="32" customWidth="1"/>
    <col min="5893" max="5893" width="42.7265625" style="32" customWidth="1"/>
    <col min="5894" max="5894" width="37.54296875" style="32" customWidth="1"/>
    <col min="5895" max="6144" width="9.1796875" style="32"/>
    <col min="6145" max="6145" width="3.81640625" style="32" customWidth="1"/>
    <col min="6146" max="6146" width="26.1796875" style="32" customWidth="1"/>
    <col min="6147" max="6147" width="34.1796875" style="32" customWidth="1"/>
    <col min="6148" max="6148" width="10.26953125" style="32" customWidth="1"/>
    <col min="6149" max="6149" width="42.7265625" style="32" customWidth="1"/>
    <col min="6150" max="6150" width="37.54296875" style="32" customWidth="1"/>
    <col min="6151" max="6400" width="9.1796875" style="32"/>
    <col min="6401" max="6401" width="3.81640625" style="32" customWidth="1"/>
    <col min="6402" max="6402" width="26.1796875" style="32" customWidth="1"/>
    <col min="6403" max="6403" width="34.1796875" style="32" customWidth="1"/>
    <col min="6404" max="6404" width="10.26953125" style="32" customWidth="1"/>
    <col min="6405" max="6405" width="42.7265625" style="32" customWidth="1"/>
    <col min="6406" max="6406" width="37.54296875" style="32" customWidth="1"/>
    <col min="6407" max="6656" width="9.1796875" style="32"/>
    <col min="6657" max="6657" width="3.81640625" style="32" customWidth="1"/>
    <col min="6658" max="6658" width="26.1796875" style="32" customWidth="1"/>
    <col min="6659" max="6659" width="34.1796875" style="32" customWidth="1"/>
    <col min="6660" max="6660" width="10.26953125" style="32" customWidth="1"/>
    <col min="6661" max="6661" width="42.7265625" style="32" customWidth="1"/>
    <col min="6662" max="6662" width="37.54296875" style="32" customWidth="1"/>
    <col min="6663" max="6912" width="9.1796875" style="32"/>
    <col min="6913" max="6913" width="3.81640625" style="32" customWidth="1"/>
    <col min="6914" max="6914" width="26.1796875" style="32" customWidth="1"/>
    <col min="6915" max="6915" width="34.1796875" style="32" customWidth="1"/>
    <col min="6916" max="6916" width="10.26953125" style="32" customWidth="1"/>
    <col min="6917" max="6917" width="42.7265625" style="32" customWidth="1"/>
    <col min="6918" max="6918" width="37.54296875" style="32" customWidth="1"/>
    <col min="6919" max="7168" width="9.1796875" style="32"/>
    <col min="7169" max="7169" width="3.81640625" style="32" customWidth="1"/>
    <col min="7170" max="7170" width="26.1796875" style="32" customWidth="1"/>
    <col min="7171" max="7171" width="34.1796875" style="32" customWidth="1"/>
    <col min="7172" max="7172" width="10.26953125" style="32" customWidth="1"/>
    <col min="7173" max="7173" width="42.7265625" style="32" customWidth="1"/>
    <col min="7174" max="7174" width="37.54296875" style="32" customWidth="1"/>
    <col min="7175" max="7424" width="9.1796875" style="32"/>
    <col min="7425" max="7425" width="3.81640625" style="32" customWidth="1"/>
    <col min="7426" max="7426" width="26.1796875" style="32" customWidth="1"/>
    <col min="7427" max="7427" width="34.1796875" style="32" customWidth="1"/>
    <col min="7428" max="7428" width="10.26953125" style="32" customWidth="1"/>
    <col min="7429" max="7429" width="42.7265625" style="32" customWidth="1"/>
    <col min="7430" max="7430" width="37.54296875" style="32" customWidth="1"/>
    <col min="7431" max="7680" width="9.1796875" style="32"/>
    <col min="7681" max="7681" width="3.81640625" style="32" customWidth="1"/>
    <col min="7682" max="7682" width="26.1796875" style="32" customWidth="1"/>
    <col min="7683" max="7683" width="34.1796875" style="32" customWidth="1"/>
    <col min="7684" max="7684" width="10.26953125" style="32" customWidth="1"/>
    <col min="7685" max="7685" width="42.7265625" style="32" customWidth="1"/>
    <col min="7686" max="7686" width="37.54296875" style="32" customWidth="1"/>
    <col min="7687" max="7936" width="9.1796875" style="32"/>
    <col min="7937" max="7937" width="3.81640625" style="32" customWidth="1"/>
    <col min="7938" max="7938" width="26.1796875" style="32" customWidth="1"/>
    <col min="7939" max="7939" width="34.1796875" style="32" customWidth="1"/>
    <col min="7940" max="7940" width="10.26953125" style="32" customWidth="1"/>
    <col min="7941" max="7941" width="42.7265625" style="32" customWidth="1"/>
    <col min="7942" max="7942" width="37.54296875" style="32" customWidth="1"/>
    <col min="7943" max="8192" width="9.1796875" style="32"/>
    <col min="8193" max="8193" width="3.81640625" style="32" customWidth="1"/>
    <col min="8194" max="8194" width="26.1796875" style="32" customWidth="1"/>
    <col min="8195" max="8195" width="34.1796875" style="32" customWidth="1"/>
    <col min="8196" max="8196" width="10.26953125" style="32" customWidth="1"/>
    <col min="8197" max="8197" width="42.7265625" style="32" customWidth="1"/>
    <col min="8198" max="8198" width="37.54296875" style="32" customWidth="1"/>
    <col min="8199" max="8448" width="9.1796875" style="32"/>
    <col min="8449" max="8449" width="3.81640625" style="32" customWidth="1"/>
    <col min="8450" max="8450" width="26.1796875" style="32" customWidth="1"/>
    <col min="8451" max="8451" width="34.1796875" style="32" customWidth="1"/>
    <col min="8452" max="8452" width="10.26953125" style="32" customWidth="1"/>
    <col min="8453" max="8453" width="42.7265625" style="32" customWidth="1"/>
    <col min="8454" max="8454" width="37.54296875" style="32" customWidth="1"/>
    <col min="8455" max="8704" width="9.1796875" style="32"/>
    <col min="8705" max="8705" width="3.81640625" style="32" customWidth="1"/>
    <col min="8706" max="8706" width="26.1796875" style="32" customWidth="1"/>
    <col min="8707" max="8707" width="34.1796875" style="32" customWidth="1"/>
    <col min="8708" max="8708" width="10.26953125" style="32" customWidth="1"/>
    <col min="8709" max="8709" width="42.7265625" style="32" customWidth="1"/>
    <col min="8710" max="8710" width="37.54296875" style="32" customWidth="1"/>
    <col min="8711" max="8960" width="9.1796875" style="32"/>
    <col min="8961" max="8961" width="3.81640625" style="32" customWidth="1"/>
    <col min="8962" max="8962" width="26.1796875" style="32" customWidth="1"/>
    <col min="8963" max="8963" width="34.1796875" style="32" customWidth="1"/>
    <col min="8964" max="8964" width="10.26953125" style="32" customWidth="1"/>
    <col min="8965" max="8965" width="42.7265625" style="32" customWidth="1"/>
    <col min="8966" max="8966" width="37.54296875" style="32" customWidth="1"/>
    <col min="8967" max="9216" width="9.1796875" style="32"/>
    <col min="9217" max="9217" width="3.81640625" style="32" customWidth="1"/>
    <col min="9218" max="9218" width="26.1796875" style="32" customWidth="1"/>
    <col min="9219" max="9219" width="34.1796875" style="32" customWidth="1"/>
    <col min="9220" max="9220" width="10.26953125" style="32" customWidth="1"/>
    <col min="9221" max="9221" width="42.7265625" style="32" customWidth="1"/>
    <col min="9222" max="9222" width="37.54296875" style="32" customWidth="1"/>
    <col min="9223" max="9472" width="9.1796875" style="32"/>
    <col min="9473" max="9473" width="3.81640625" style="32" customWidth="1"/>
    <col min="9474" max="9474" width="26.1796875" style="32" customWidth="1"/>
    <col min="9475" max="9475" width="34.1796875" style="32" customWidth="1"/>
    <col min="9476" max="9476" width="10.26953125" style="32" customWidth="1"/>
    <col min="9477" max="9477" width="42.7265625" style="32" customWidth="1"/>
    <col min="9478" max="9478" width="37.54296875" style="32" customWidth="1"/>
    <col min="9479" max="9728" width="9.1796875" style="32"/>
    <col min="9729" max="9729" width="3.81640625" style="32" customWidth="1"/>
    <col min="9730" max="9730" width="26.1796875" style="32" customWidth="1"/>
    <col min="9731" max="9731" width="34.1796875" style="32" customWidth="1"/>
    <col min="9732" max="9732" width="10.26953125" style="32" customWidth="1"/>
    <col min="9733" max="9733" width="42.7265625" style="32" customWidth="1"/>
    <col min="9734" max="9734" width="37.54296875" style="32" customWidth="1"/>
    <col min="9735" max="9984" width="9.1796875" style="32"/>
    <col min="9985" max="9985" width="3.81640625" style="32" customWidth="1"/>
    <col min="9986" max="9986" width="26.1796875" style="32" customWidth="1"/>
    <col min="9987" max="9987" width="34.1796875" style="32" customWidth="1"/>
    <col min="9988" max="9988" width="10.26953125" style="32" customWidth="1"/>
    <col min="9989" max="9989" width="42.7265625" style="32" customWidth="1"/>
    <col min="9990" max="9990" width="37.54296875" style="32" customWidth="1"/>
    <col min="9991" max="10240" width="9.1796875" style="32"/>
    <col min="10241" max="10241" width="3.81640625" style="32" customWidth="1"/>
    <col min="10242" max="10242" width="26.1796875" style="32" customWidth="1"/>
    <col min="10243" max="10243" width="34.1796875" style="32" customWidth="1"/>
    <col min="10244" max="10244" width="10.26953125" style="32" customWidth="1"/>
    <col min="10245" max="10245" width="42.7265625" style="32" customWidth="1"/>
    <col min="10246" max="10246" width="37.54296875" style="32" customWidth="1"/>
    <col min="10247" max="10496" width="9.1796875" style="32"/>
    <col min="10497" max="10497" width="3.81640625" style="32" customWidth="1"/>
    <col min="10498" max="10498" width="26.1796875" style="32" customWidth="1"/>
    <col min="10499" max="10499" width="34.1796875" style="32" customWidth="1"/>
    <col min="10500" max="10500" width="10.26953125" style="32" customWidth="1"/>
    <col min="10501" max="10501" width="42.7265625" style="32" customWidth="1"/>
    <col min="10502" max="10502" width="37.54296875" style="32" customWidth="1"/>
    <col min="10503" max="10752" width="9.1796875" style="32"/>
    <col min="10753" max="10753" width="3.81640625" style="32" customWidth="1"/>
    <col min="10754" max="10754" width="26.1796875" style="32" customWidth="1"/>
    <col min="10755" max="10755" width="34.1796875" style="32" customWidth="1"/>
    <col min="10756" max="10756" width="10.26953125" style="32" customWidth="1"/>
    <col min="10757" max="10757" width="42.7265625" style="32" customWidth="1"/>
    <col min="10758" max="10758" width="37.54296875" style="32" customWidth="1"/>
    <col min="10759" max="11008" width="9.1796875" style="32"/>
    <col min="11009" max="11009" width="3.81640625" style="32" customWidth="1"/>
    <col min="11010" max="11010" width="26.1796875" style="32" customWidth="1"/>
    <col min="11011" max="11011" width="34.1796875" style="32" customWidth="1"/>
    <col min="11012" max="11012" width="10.26953125" style="32" customWidth="1"/>
    <col min="11013" max="11013" width="42.7265625" style="32" customWidth="1"/>
    <col min="11014" max="11014" width="37.54296875" style="32" customWidth="1"/>
    <col min="11015" max="11264" width="9.1796875" style="32"/>
    <col min="11265" max="11265" width="3.81640625" style="32" customWidth="1"/>
    <col min="11266" max="11266" width="26.1796875" style="32" customWidth="1"/>
    <col min="11267" max="11267" width="34.1796875" style="32" customWidth="1"/>
    <col min="11268" max="11268" width="10.26953125" style="32" customWidth="1"/>
    <col min="11269" max="11269" width="42.7265625" style="32" customWidth="1"/>
    <col min="11270" max="11270" width="37.54296875" style="32" customWidth="1"/>
    <col min="11271" max="11520" width="9.1796875" style="32"/>
    <col min="11521" max="11521" width="3.81640625" style="32" customWidth="1"/>
    <col min="11522" max="11522" width="26.1796875" style="32" customWidth="1"/>
    <col min="11523" max="11523" width="34.1796875" style="32" customWidth="1"/>
    <col min="11524" max="11524" width="10.26953125" style="32" customWidth="1"/>
    <col min="11525" max="11525" width="42.7265625" style="32" customWidth="1"/>
    <col min="11526" max="11526" width="37.54296875" style="32" customWidth="1"/>
    <col min="11527" max="11776" width="9.1796875" style="32"/>
    <col min="11777" max="11777" width="3.81640625" style="32" customWidth="1"/>
    <col min="11778" max="11778" width="26.1796875" style="32" customWidth="1"/>
    <col min="11779" max="11779" width="34.1796875" style="32" customWidth="1"/>
    <col min="11780" max="11780" width="10.26953125" style="32" customWidth="1"/>
    <col min="11781" max="11781" width="42.7265625" style="32" customWidth="1"/>
    <col min="11782" max="11782" width="37.54296875" style="32" customWidth="1"/>
    <col min="11783" max="12032" width="9.1796875" style="32"/>
    <col min="12033" max="12033" width="3.81640625" style="32" customWidth="1"/>
    <col min="12034" max="12034" width="26.1796875" style="32" customWidth="1"/>
    <col min="12035" max="12035" width="34.1796875" style="32" customWidth="1"/>
    <col min="12036" max="12036" width="10.26953125" style="32" customWidth="1"/>
    <col min="12037" max="12037" width="42.7265625" style="32" customWidth="1"/>
    <col min="12038" max="12038" width="37.54296875" style="32" customWidth="1"/>
    <col min="12039" max="12288" width="9.1796875" style="32"/>
    <col min="12289" max="12289" width="3.81640625" style="32" customWidth="1"/>
    <col min="12290" max="12290" width="26.1796875" style="32" customWidth="1"/>
    <col min="12291" max="12291" width="34.1796875" style="32" customWidth="1"/>
    <col min="12292" max="12292" width="10.26953125" style="32" customWidth="1"/>
    <col min="12293" max="12293" width="42.7265625" style="32" customWidth="1"/>
    <col min="12294" max="12294" width="37.54296875" style="32" customWidth="1"/>
    <col min="12295" max="12544" width="9.1796875" style="32"/>
    <col min="12545" max="12545" width="3.81640625" style="32" customWidth="1"/>
    <col min="12546" max="12546" width="26.1796875" style="32" customWidth="1"/>
    <col min="12547" max="12547" width="34.1796875" style="32" customWidth="1"/>
    <col min="12548" max="12548" width="10.26953125" style="32" customWidth="1"/>
    <col min="12549" max="12549" width="42.7265625" style="32" customWidth="1"/>
    <col min="12550" max="12550" width="37.54296875" style="32" customWidth="1"/>
    <col min="12551" max="12800" width="9.1796875" style="32"/>
    <col min="12801" max="12801" width="3.81640625" style="32" customWidth="1"/>
    <col min="12802" max="12802" width="26.1796875" style="32" customWidth="1"/>
    <col min="12803" max="12803" width="34.1796875" style="32" customWidth="1"/>
    <col min="12804" max="12804" width="10.26953125" style="32" customWidth="1"/>
    <col min="12805" max="12805" width="42.7265625" style="32" customWidth="1"/>
    <col min="12806" max="12806" width="37.54296875" style="32" customWidth="1"/>
    <col min="12807" max="13056" width="9.1796875" style="32"/>
    <col min="13057" max="13057" width="3.81640625" style="32" customWidth="1"/>
    <col min="13058" max="13058" width="26.1796875" style="32" customWidth="1"/>
    <col min="13059" max="13059" width="34.1796875" style="32" customWidth="1"/>
    <col min="13060" max="13060" width="10.26953125" style="32" customWidth="1"/>
    <col min="13061" max="13061" width="42.7265625" style="32" customWidth="1"/>
    <col min="13062" max="13062" width="37.54296875" style="32" customWidth="1"/>
    <col min="13063" max="13312" width="9.1796875" style="32"/>
    <col min="13313" max="13313" width="3.81640625" style="32" customWidth="1"/>
    <col min="13314" max="13314" width="26.1796875" style="32" customWidth="1"/>
    <col min="13315" max="13315" width="34.1796875" style="32" customWidth="1"/>
    <col min="13316" max="13316" width="10.26953125" style="32" customWidth="1"/>
    <col min="13317" max="13317" width="42.7265625" style="32" customWidth="1"/>
    <col min="13318" max="13318" width="37.54296875" style="32" customWidth="1"/>
    <col min="13319" max="13568" width="9.1796875" style="32"/>
    <col min="13569" max="13569" width="3.81640625" style="32" customWidth="1"/>
    <col min="13570" max="13570" width="26.1796875" style="32" customWidth="1"/>
    <col min="13571" max="13571" width="34.1796875" style="32" customWidth="1"/>
    <col min="13572" max="13572" width="10.26953125" style="32" customWidth="1"/>
    <col min="13573" max="13573" width="42.7265625" style="32" customWidth="1"/>
    <col min="13574" max="13574" width="37.54296875" style="32" customWidth="1"/>
    <col min="13575" max="13824" width="9.1796875" style="32"/>
    <col min="13825" max="13825" width="3.81640625" style="32" customWidth="1"/>
    <col min="13826" max="13826" width="26.1796875" style="32" customWidth="1"/>
    <col min="13827" max="13827" width="34.1796875" style="32" customWidth="1"/>
    <col min="13828" max="13828" width="10.26953125" style="32" customWidth="1"/>
    <col min="13829" max="13829" width="42.7265625" style="32" customWidth="1"/>
    <col min="13830" max="13830" width="37.54296875" style="32" customWidth="1"/>
    <col min="13831" max="14080" width="9.1796875" style="32"/>
    <col min="14081" max="14081" width="3.81640625" style="32" customWidth="1"/>
    <col min="14082" max="14082" width="26.1796875" style="32" customWidth="1"/>
    <col min="14083" max="14083" width="34.1796875" style="32" customWidth="1"/>
    <col min="14084" max="14084" width="10.26953125" style="32" customWidth="1"/>
    <col min="14085" max="14085" width="42.7265625" style="32" customWidth="1"/>
    <col min="14086" max="14086" width="37.54296875" style="32" customWidth="1"/>
    <col min="14087" max="14336" width="9.1796875" style="32"/>
    <col min="14337" max="14337" width="3.81640625" style="32" customWidth="1"/>
    <col min="14338" max="14338" width="26.1796875" style="32" customWidth="1"/>
    <col min="14339" max="14339" width="34.1796875" style="32" customWidth="1"/>
    <col min="14340" max="14340" width="10.26953125" style="32" customWidth="1"/>
    <col min="14341" max="14341" width="42.7265625" style="32" customWidth="1"/>
    <col min="14342" max="14342" width="37.54296875" style="32" customWidth="1"/>
    <col min="14343" max="14592" width="9.1796875" style="32"/>
    <col min="14593" max="14593" width="3.81640625" style="32" customWidth="1"/>
    <col min="14594" max="14594" width="26.1796875" style="32" customWidth="1"/>
    <col min="14595" max="14595" width="34.1796875" style="32" customWidth="1"/>
    <col min="14596" max="14596" width="10.26953125" style="32" customWidth="1"/>
    <col min="14597" max="14597" width="42.7265625" style="32" customWidth="1"/>
    <col min="14598" max="14598" width="37.54296875" style="32" customWidth="1"/>
    <col min="14599" max="14848" width="9.1796875" style="32"/>
    <col min="14849" max="14849" width="3.81640625" style="32" customWidth="1"/>
    <col min="14850" max="14850" width="26.1796875" style="32" customWidth="1"/>
    <col min="14851" max="14851" width="34.1796875" style="32" customWidth="1"/>
    <col min="14852" max="14852" width="10.26953125" style="32" customWidth="1"/>
    <col min="14853" max="14853" width="42.7265625" style="32" customWidth="1"/>
    <col min="14854" max="14854" width="37.54296875" style="32" customWidth="1"/>
    <col min="14855" max="15104" width="9.1796875" style="32"/>
    <col min="15105" max="15105" width="3.81640625" style="32" customWidth="1"/>
    <col min="15106" max="15106" width="26.1796875" style="32" customWidth="1"/>
    <col min="15107" max="15107" width="34.1796875" style="32" customWidth="1"/>
    <col min="15108" max="15108" width="10.26953125" style="32" customWidth="1"/>
    <col min="15109" max="15109" width="42.7265625" style="32" customWidth="1"/>
    <col min="15110" max="15110" width="37.54296875" style="32" customWidth="1"/>
    <col min="15111" max="15360" width="9.1796875" style="32"/>
    <col min="15361" max="15361" width="3.81640625" style="32" customWidth="1"/>
    <col min="15362" max="15362" width="26.1796875" style="32" customWidth="1"/>
    <col min="15363" max="15363" width="34.1796875" style="32" customWidth="1"/>
    <col min="15364" max="15364" width="10.26953125" style="32" customWidth="1"/>
    <col min="15365" max="15365" width="42.7265625" style="32" customWidth="1"/>
    <col min="15366" max="15366" width="37.54296875" style="32" customWidth="1"/>
    <col min="15367" max="15616" width="9.1796875" style="32"/>
    <col min="15617" max="15617" width="3.81640625" style="32" customWidth="1"/>
    <col min="15618" max="15618" width="26.1796875" style="32" customWidth="1"/>
    <col min="15619" max="15619" width="34.1796875" style="32" customWidth="1"/>
    <col min="15620" max="15620" width="10.26953125" style="32" customWidth="1"/>
    <col min="15621" max="15621" width="42.7265625" style="32" customWidth="1"/>
    <col min="15622" max="15622" width="37.54296875" style="32" customWidth="1"/>
    <col min="15623" max="15872" width="9.1796875" style="32"/>
    <col min="15873" max="15873" width="3.81640625" style="32" customWidth="1"/>
    <col min="15874" max="15874" width="26.1796875" style="32" customWidth="1"/>
    <col min="15875" max="15875" width="34.1796875" style="32" customWidth="1"/>
    <col min="15876" max="15876" width="10.26953125" style="32" customWidth="1"/>
    <col min="15877" max="15877" width="42.7265625" style="32" customWidth="1"/>
    <col min="15878" max="15878" width="37.54296875" style="32" customWidth="1"/>
    <col min="15879" max="16128" width="9.1796875" style="32"/>
    <col min="16129" max="16129" width="3.81640625" style="32" customWidth="1"/>
    <col min="16130" max="16130" width="26.1796875" style="32" customWidth="1"/>
    <col min="16131" max="16131" width="34.1796875" style="32" customWidth="1"/>
    <col min="16132" max="16132" width="10.26953125" style="32" customWidth="1"/>
    <col min="16133" max="16133" width="42.7265625" style="32" customWidth="1"/>
    <col min="16134" max="16134" width="37.54296875" style="32" customWidth="1"/>
    <col min="16135" max="16384" width="9.1796875" style="32"/>
  </cols>
  <sheetData>
    <row r="1" spans="1:8" ht="12" customHeight="1" x14ac:dyDescent="0.3">
      <c r="A1" s="54"/>
      <c r="B1" s="54"/>
      <c r="C1" s="54"/>
      <c r="D1" s="54"/>
      <c r="E1" s="54"/>
      <c r="F1" s="55" t="s">
        <v>758</v>
      </c>
      <c r="G1" s="54"/>
    </row>
    <row r="2" spans="1:8" ht="12" customHeight="1" x14ac:dyDescent="0.3">
      <c r="A2" s="54"/>
      <c r="B2" s="54"/>
      <c r="C2" s="54"/>
      <c r="D2" s="54"/>
      <c r="E2" s="54"/>
      <c r="F2" s="22">
        <v>45483</v>
      </c>
      <c r="G2" s="301"/>
      <c r="H2" s="302"/>
    </row>
    <row r="3" spans="1:8" ht="15.5" x14ac:dyDescent="0.35">
      <c r="A3" s="779" t="s">
        <v>314</v>
      </c>
      <c r="B3" s="779"/>
      <c r="C3" s="779"/>
      <c r="D3" s="779"/>
      <c r="E3" s="779"/>
      <c r="F3" s="779"/>
      <c r="G3" s="57"/>
    </row>
    <row r="4" spans="1:8" ht="12" customHeight="1" x14ac:dyDescent="0.35">
      <c r="A4" s="57"/>
      <c r="B4" s="57"/>
      <c r="C4" s="57"/>
      <c r="D4" s="57"/>
      <c r="E4" s="57"/>
      <c r="F4" s="57"/>
      <c r="G4" s="57"/>
    </row>
    <row r="5" spans="1:8" ht="15.5" x14ac:dyDescent="0.35">
      <c r="A5" s="56" t="s">
        <v>372</v>
      </c>
      <c r="B5" s="57"/>
      <c r="C5" s="252"/>
      <c r="D5" s="57" t="s">
        <v>1005</v>
      </c>
      <c r="E5" s="57"/>
      <c r="F5" s="57" t="s">
        <v>1004</v>
      </c>
      <c r="G5" s="57"/>
      <c r="H5" s="33"/>
    </row>
    <row r="6" spans="1:8" ht="12" customHeight="1" x14ac:dyDescent="0.35">
      <c r="A6" s="57"/>
      <c r="B6" s="57"/>
      <c r="C6" s="57"/>
      <c r="D6" s="57"/>
      <c r="E6" s="57"/>
      <c r="F6" s="57"/>
      <c r="G6" s="57"/>
    </row>
    <row r="7" spans="1:8" s="34" customFormat="1" ht="28.5" customHeight="1" thickBot="1" x14ac:dyDescent="0.4">
      <c r="A7" s="253" t="s">
        <v>1</v>
      </c>
      <c r="B7" s="253" t="s">
        <v>315</v>
      </c>
      <c r="C7" s="253" t="s">
        <v>316</v>
      </c>
      <c r="D7" s="253" t="s">
        <v>317</v>
      </c>
      <c r="E7" s="253" t="s">
        <v>318</v>
      </c>
      <c r="F7" s="253" t="s">
        <v>352</v>
      </c>
      <c r="G7" s="252"/>
    </row>
    <row r="8" spans="1:8" ht="20.149999999999999" customHeight="1" thickTop="1" x14ac:dyDescent="0.3">
      <c r="A8" s="58"/>
      <c r="B8" s="58"/>
      <c r="C8" s="58"/>
      <c r="D8" s="58"/>
      <c r="E8" s="58"/>
      <c r="F8" s="58"/>
      <c r="G8" s="54"/>
    </row>
    <row r="9" spans="1:8" ht="20.149999999999999" customHeight="1" x14ac:dyDescent="0.3">
      <c r="A9" s="59"/>
      <c r="B9" s="59"/>
      <c r="C9" s="59"/>
      <c r="D9" s="59"/>
      <c r="E9" s="59"/>
      <c r="F9" s="59"/>
      <c r="G9" s="54"/>
    </row>
    <row r="10" spans="1:8" ht="20.149999999999999" customHeight="1" x14ac:dyDescent="0.3">
      <c r="A10" s="59"/>
      <c r="B10" s="59"/>
      <c r="C10" s="59"/>
      <c r="D10" s="59"/>
      <c r="E10" s="59"/>
      <c r="F10" s="59"/>
      <c r="G10" s="54"/>
    </row>
    <row r="11" spans="1:8" ht="20.149999999999999" customHeight="1" x14ac:dyDescent="0.3">
      <c r="A11" s="59"/>
      <c r="B11" s="59"/>
      <c r="C11" s="59"/>
      <c r="D11" s="59"/>
      <c r="E11" s="59"/>
      <c r="F11" s="59"/>
      <c r="G11" s="54"/>
    </row>
    <row r="12" spans="1:8" ht="20.149999999999999" customHeight="1" x14ac:dyDescent="0.3">
      <c r="A12" s="59"/>
      <c r="B12" s="59"/>
      <c r="C12" s="59"/>
      <c r="D12" s="59"/>
      <c r="E12" s="59"/>
      <c r="F12" s="59"/>
      <c r="G12" s="54"/>
    </row>
    <row r="13" spans="1:8" ht="20.149999999999999" customHeight="1" x14ac:dyDescent="0.3">
      <c r="A13" s="59"/>
      <c r="B13" s="59"/>
      <c r="C13" s="59"/>
      <c r="D13" s="59"/>
      <c r="E13" s="59"/>
      <c r="F13" s="59"/>
      <c r="G13" s="54"/>
    </row>
    <row r="14" spans="1:8" ht="20.149999999999999" customHeight="1" x14ac:dyDescent="0.3">
      <c r="A14" s="59"/>
      <c r="B14" s="59"/>
      <c r="C14" s="59"/>
      <c r="D14" s="59"/>
      <c r="E14" s="59"/>
      <c r="F14" s="59"/>
      <c r="G14" s="54"/>
    </row>
    <row r="15" spans="1:8" ht="20.149999999999999" customHeight="1" x14ac:dyDescent="0.3">
      <c r="A15" s="59"/>
      <c r="B15" s="59"/>
      <c r="C15" s="59"/>
      <c r="D15" s="59"/>
      <c r="E15" s="59"/>
      <c r="F15" s="59"/>
      <c r="G15" s="54"/>
    </row>
    <row r="16" spans="1:8" ht="20.149999999999999" customHeight="1" x14ac:dyDescent="0.3">
      <c r="A16" s="59"/>
      <c r="B16" s="59"/>
      <c r="C16" s="59"/>
      <c r="D16" s="59"/>
      <c r="E16" s="59"/>
      <c r="F16" s="59"/>
      <c r="G16" s="54"/>
    </row>
    <row r="17" spans="1:31" ht="20.149999999999999" customHeight="1" x14ac:dyDescent="0.3">
      <c r="A17" s="59"/>
      <c r="B17" s="59"/>
      <c r="C17" s="59"/>
      <c r="D17" s="59"/>
      <c r="E17" s="59"/>
      <c r="F17" s="59"/>
      <c r="G17" s="54"/>
    </row>
    <row r="18" spans="1:31" ht="20.149999999999999" customHeight="1" x14ac:dyDescent="0.3">
      <c r="A18" s="59"/>
      <c r="B18" s="59"/>
      <c r="C18" s="59"/>
      <c r="D18" s="59"/>
      <c r="E18" s="59"/>
      <c r="F18" s="59"/>
      <c r="G18" s="54"/>
    </row>
    <row r="19" spans="1:31" ht="20.149999999999999" customHeight="1" x14ac:dyDescent="0.3">
      <c r="A19" s="59"/>
      <c r="B19" s="59"/>
      <c r="C19" s="59"/>
      <c r="D19" s="59"/>
      <c r="E19" s="59"/>
      <c r="F19" s="59"/>
      <c r="G19" s="54"/>
    </row>
    <row r="20" spans="1:31" ht="20.149999999999999" customHeight="1" x14ac:dyDescent="0.3">
      <c r="A20" s="59"/>
      <c r="B20" s="59"/>
      <c r="C20" s="59"/>
      <c r="D20" s="59"/>
      <c r="E20" s="59"/>
      <c r="F20" s="59"/>
      <c r="G20" s="54"/>
    </row>
    <row r="21" spans="1:31" ht="20.149999999999999" customHeight="1" x14ac:dyDescent="0.3">
      <c r="A21" s="59"/>
      <c r="B21" s="59"/>
      <c r="C21" s="59"/>
      <c r="D21" s="59"/>
      <c r="E21" s="59"/>
      <c r="F21" s="59"/>
      <c r="G21" s="54"/>
    </row>
    <row r="22" spans="1:31" ht="20.149999999999999" customHeight="1" x14ac:dyDescent="0.3">
      <c r="A22" s="59"/>
      <c r="B22" s="59"/>
      <c r="C22" s="59"/>
      <c r="D22" s="59"/>
      <c r="E22" s="59"/>
      <c r="F22" s="59"/>
      <c r="G22" s="54"/>
    </row>
    <row r="23" spans="1:31" ht="20.149999999999999" customHeight="1" x14ac:dyDescent="0.3">
      <c r="A23" s="59"/>
      <c r="B23" s="59"/>
      <c r="C23" s="59"/>
      <c r="D23" s="59"/>
      <c r="E23" s="59"/>
      <c r="F23" s="59"/>
      <c r="G23" s="54"/>
    </row>
    <row r="24" spans="1:31" ht="20.149999999999999" customHeight="1" x14ac:dyDescent="0.3">
      <c r="A24" s="59"/>
      <c r="B24" s="59"/>
      <c r="C24" s="59"/>
      <c r="D24" s="59"/>
      <c r="E24" s="59"/>
      <c r="F24" s="59"/>
      <c r="G24" s="54"/>
    </row>
    <row r="25" spans="1:31" ht="20.149999999999999" customHeight="1" x14ac:dyDescent="0.3">
      <c r="A25" s="59"/>
      <c r="B25" s="59"/>
      <c r="C25" s="59"/>
      <c r="D25" s="59"/>
      <c r="E25" s="59"/>
      <c r="F25" s="59"/>
      <c r="G25" s="54"/>
    </row>
    <row r="26" spans="1:31" ht="20.149999999999999" customHeight="1" x14ac:dyDescent="0.3">
      <c r="A26" s="59"/>
      <c r="B26" s="59"/>
      <c r="C26" s="59"/>
      <c r="D26" s="59"/>
      <c r="E26" s="59"/>
      <c r="F26" s="59"/>
      <c r="G26" s="54"/>
    </row>
    <row r="27" spans="1:31" ht="20.149999999999999" customHeight="1" x14ac:dyDescent="0.3">
      <c r="A27" s="59"/>
      <c r="B27" s="59"/>
      <c r="C27" s="59"/>
      <c r="D27" s="59"/>
      <c r="E27" s="59"/>
      <c r="F27" s="59"/>
      <c r="G27" s="54"/>
    </row>
    <row r="28" spans="1:31" ht="20.149999999999999" customHeight="1" x14ac:dyDescent="0.3">
      <c r="A28" s="59"/>
      <c r="B28" s="59"/>
      <c r="C28" s="59"/>
      <c r="D28" s="59"/>
      <c r="E28" s="59"/>
      <c r="F28" s="59"/>
      <c r="G28" s="54"/>
    </row>
    <row r="29" spans="1:31" ht="12" customHeight="1" x14ac:dyDescent="0.3">
      <c r="A29" s="54"/>
      <c r="B29" s="54"/>
      <c r="C29" s="54"/>
      <c r="D29" s="54"/>
      <c r="E29" s="54"/>
      <c r="F29" s="54"/>
      <c r="G29" s="54"/>
    </row>
    <row r="30" spans="1:31" ht="15" customHeight="1" x14ac:dyDescent="0.35">
      <c r="A30" s="54"/>
      <c r="B30" s="41"/>
      <c r="C30" s="42"/>
      <c r="D30" s="42"/>
      <c r="E30" s="42"/>
      <c r="F30" s="41"/>
      <c r="G30" s="6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Z30" s="3"/>
      <c r="AA30" s="9"/>
      <c r="AB30" s="9"/>
      <c r="AC30" s="9"/>
      <c r="AD30" s="9"/>
      <c r="AE30" s="9"/>
    </row>
    <row r="31" spans="1:31" ht="15" customHeight="1" x14ac:dyDescent="0.35">
      <c r="A31" s="54"/>
      <c r="B31" s="41"/>
      <c r="C31" s="42"/>
      <c r="D31" s="42"/>
      <c r="E31" s="42"/>
      <c r="F31" s="41" t="s">
        <v>1003</v>
      </c>
      <c r="G31"/>
      <c r="H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Z31" s="3"/>
      <c r="AA31" s="9"/>
      <c r="AB31" s="9"/>
      <c r="AC31" s="9"/>
      <c r="AD31" s="9"/>
      <c r="AE31" s="9"/>
    </row>
    <row r="32" spans="1:31" ht="15" customHeight="1" x14ac:dyDescent="0.35">
      <c r="A32" s="54"/>
      <c r="B32" s="42" t="s">
        <v>34</v>
      </c>
      <c r="C32" s="41"/>
      <c r="D32" s="42"/>
      <c r="E32" s="42"/>
      <c r="F32" s="41"/>
      <c r="G32"/>
      <c r="H32"/>
      <c r="J32" s="9"/>
      <c r="K32" s="9"/>
      <c r="L32" s="9"/>
      <c r="M32" s="9"/>
      <c r="N32" s="9"/>
      <c r="P32" s="11"/>
      <c r="Q32" s="9"/>
      <c r="R32" s="9"/>
      <c r="S32" s="9"/>
      <c r="T32" s="9"/>
      <c r="U32" s="9"/>
      <c r="V32" s="9"/>
      <c r="W32" s="9"/>
      <c r="X32" s="9"/>
      <c r="Z32" s="3"/>
      <c r="AA32" s="9"/>
      <c r="AB32" s="9"/>
      <c r="AC32" s="9"/>
      <c r="AD32" s="9"/>
      <c r="AE32" s="9"/>
    </row>
    <row r="33" spans="1:31" ht="15" customHeight="1" x14ac:dyDescent="0.35">
      <c r="A33" s="54"/>
      <c r="B33" s="42" t="s">
        <v>144</v>
      </c>
      <c r="C33" s="352" t="s">
        <v>325</v>
      </c>
      <c r="E33" s="42" t="s">
        <v>995</v>
      </c>
      <c r="F33" s="41" t="s">
        <v>43</v>
      </c>
      <c r="G33"/>
      <c r="H33" s="42"/>
      <c r="J33" s="9"/>
      <c r="K33" s="9"/>
      <c r="L33" s="9"/>
      <c r="M33" s="9"/>
      <c r="N33" s="9"/>
      <c r="P33" s="11"/>
      <c r="Q33" s="9"/>
      <c r="R33" s="9"/>
      <c r="S33" s="9"/>
      <c r="T33" s="9"/>
      <c r="U33" s="9"/>
      <c r="V33" s="9"/>
      <c r="W33" s="9"/>
      <c r="X33" s="9"/>
      <c r="Z33" s="3"/>
      <c r="AA33" s="9"/>
      <c r="AB33" s="9"/>
      <c r="AC33" s="9"/>
      <c r="AD33" s="9"/>
      <c r="AE33" s="9"/>
    </row>
    <row r="34" spans="1:31" ht="15" customHeight="1" x14ac:dyDescent="0.35">
      <c r="A34" s="54"/>
      <c r="B34" s="42"/>
      <c r="C34" s="42"/>
      <c r="E34" s="41"/>
      <c r="F34"/>
      <c r="G34"/>
      <c r="H34" s="41"/>
      <c r="J34" s="9"/>
      <c r="K34" s="9"/>
      <c r="L34" s="9"/>
      <c r="M34" s="9"/>
      <c r="N34" s="9"/>
      <c r="P34" s="11"/>
      <c r="Q34" s="9"/>
      <c r="R34" s="9"/>
      <c r="S34" s="9"/>
      <c r="T34" s="9"/>
      <c r="U34" s="9"/>
      <c r="V34" s="9"/>
      <c r="W34" s="9"/>
      <c r="X34" s="9"/>
      <c r="Z34" s="3"/>
      <c r="AA34" s="9"/>
      <c r="AB34" s="9"/>
      <c r="AC34" s="9"/>
      <c r="AD34" s="9"/>
      <c r="AE34" s="9"/>
    </row>
    <row r="35" spans="1:31" ht="15.5" x14ac:dyDescent="0.35">
      <c r="A35" s="54"/>
      <c r="B35" s="42"/>
      <c r="C35" s="42"/>
      <c r="E35" s="41"/>
      <c r="F35"/>
      <c r="G35"/>
      <c r="H35" s="41"/>
      <c r="J35" s="9"/>
      <c r="K35" s="9"/>
      <c r="L35" s="9"/>
      <c r="M35" s="9"/>
      <c r="N35" s="9"/>
      <c r="P35" s="11"/>
      <c r="Q35" s="9"/>
      <c r="R35" s="9"/>
      <c r="S35" s="9"/>
      <c r="T35" s="9"/>
      <c r="U35" s="9"/>
      <c r="V35" s="9"/>
      <c r="W35" s="9"/>
      <c r="X35" s="9"/>
      <c r="Z35" s="3"/>
      <c r="AA35" s="9"/>
      <c r="AB35" s="9"/>
      <c r="AC35" s="9"/>
      <c r="AD35" s="9"/>
      <c r="AE35" s="9"/>
    </row>
    <row r="36" spans="1:31" ht="15.5" x14ac:dyDescent="0.35">
      <c r="A36" s="54"/>
      <c r="B36" s="42"/>
      <c r="C36" s="42"/>
      <c r="E36" s="41"/>
      <c r="F36"/>
      <c r="G36"/>
      <c r="H36" s="41"/>
      <c r="J36" s="9"/>
      <c r="K36" s="9"/>
      <c r="L36" s="9"/>
      <c r="M36" s="9"/>
      <c r="N36" s="9"/>
      <c r="P36" s="11"/>
      <c r="Q36" s="9"/>
      <c r="R36" s="9"/>
      <c r="S36" s="9"/>
      <c r="T36" s="9"/>
      <c r="U36" s="9"/>
      <c r="V36" s="9"/>
      <c r="W36" s="9"/>
      <c r="X36" s="9"/>
      <c r="Z36" s="3"/>
      <c r="AA36" s="9"/>
      <c r="AB36" s="9"/>
      <c r="AC36" s="9"/>
      <c r="AD36" s="9"/>
      <c r="AE36" s="9"/>
    </row>
    <row r="37" spans="1:31" ht="15.5" x14ac:dyDescent="0.3">
      <c r="A37" s="54"/>
      <c r="B37" s="42" t="str">
        <f>'KKTP (10)'!G48</f>
        <v>Widada, S.Pd., M.Pd.</v>
      </c>
      <c r="C37" s="42" t="str">
        <f>'KKTP (10)'!I48</f>
        <v>Gunawan S Pd., M Pd</v>
      </c>
      <c r="E37" s="42" t="str">
        <f>'KKTP (10)'!J48</f>
        <v>Taufiq Afandi, S.Pd</v>
      </c>
      <c r="F37" s="42" t="str">
        <f>'KKTP (10)'!N48</f>
        <v>Jumari, S.Pd.T., M.Eng</v>
      </c>
      <c r="G37" s="42"/>
      <c r="H37" s="42"/>
    </row>
    <row r="38" spans="1:31" ht="15.5" x14ac:dyDescent="0.3">
      <c r="A38" s="54"/>
      <c r="B38" s="42" t="str">
        <f>'KKTP (10)'!G49</f>
        <v>NIP. 196902122000121002</v>
      </c>
      <c r="C38" s="42" t="str">
        <f>'KKTP (10)'!I49</f>
        <v>NIP. 197112132005011004</v>
      </c>
      <c r="E38" s="42" t="str">
        <f>'KKTP (10)'!J49</f>
        <v>NIP. 197505112006041004</v>
      </c>
      <c r="F38" s="42" t="str">
        <f>'KKTP (10)'!N49</f>
        <v>NIP. 198311152024211006</v>
      </c>
      <c r="G38" s="42"/>
      <c r="H38" s="42"/>
    </row>
    <row r="39" spans="1:31" x14ac:dyDescent="0.3">
      <c r="A39" s="54"/>
      <c r="B39" s="54"/>
      <c r="C39" s="54"/>
      <c r="D39" s="54"/>
      <c r="E39" s="54"/>
      <c r="F39" s="54"/>
      <c r="G39" s="54"/>
    </row>
    <row r="40" spans="1:31" x14ac:dyDescent="0.3">
      <c r="A40" s="54"/>
      <c r="B40" s="54"/>
      <c r="C40" s="54"/>
      <c r="D40" s="54"/>
      <c r="E40" s="54"/>
      <c r="F40" s="54"/>
      <c r="G40" s="54"/>
    </row>
    <row r="41" spans="1:31" x14ac:dyDescent="0.3">
      <c r="A41" s="54"/>
      <c r="B41" s="54"/>
      <c r="C41" s="54"/>
      <c r="D41" s="54"/>
      <c r="E41" s="54"/>
      <c r="F41" s="54"/>
      <c r="G41" s="54"/>
    </row>
  </sheetData>
  <mergeCells count="1">
    <mergeCell ref="A3:F3"/>
  </mergeCells>
  <pageMargins left="0.98425196850393704" right="1.3385826771653544" top="0.59055118110236227" bottom="0.23622047244094491" header="0.31496062992125984" footer="0.31496062992125984"/>
  <pageSetup paperSize="5" scale="85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R50"/>
  <sheetViews>
    <sheetView zoomScale="75" zoomScaleNormal="75" workbookViewId="0">
      <selection activeCell="A10" sqref="A10"/>
    </sheetView>
  </sheetViews>
  <sheetFormatPr defaultColWidth="9.1796875" defaultRowHeight="14" x14ac:dyDescent="0.35"/>
  <cols>
    <col min="1" max="1" width="3.7265625" style="26" customWidth="1"/>
    <col min="2" max="2" width="23.26953125" style="26" customWidth="1"/>
    <col min="3" max="3" width="9.1796875" style="26" customWidth="1"/>
    <col min="4" max="4" width="4.26953125" style="26" customWidth="1"/>
    <col min="5" max="5" width="4.54296875" style="26" customWidth="1"/>
    <col min="6" max="7" width="4.453125" style="26" customWidth="1"/>
    <col min="8" max="8" width="4.1796875" style="26" customWidth="1"/>
    <col min="9" max="9" width="4.26953125" style="26" customWidth="1"/>
    <col min="10" max="10" width="4.54296875" style="26" customWidth="1"/>
    <col min="11" max="13" width="4.26953125" style="26" customWidth="1"/>
    <col min="14" max="14" width="4.54296875" style="26" customWidth="1"/>
    <col min="15" max="15" width="4.453125" style="26" customWidth="1"/>
    <col min="16" max="16" width="4.1796875" style="26" customWidth="1"/>
    <col min="17" max="17" width="4.453125" style="26" customWidth="1"/>
    <col min="18" max="18" width="4.26953125" style="26" customWidth="1"/>
    <col min="19" max="19" width="4.54296875" style="26" customWidth="1"/>
    <col min="20" max="20" width="4.453125" style="26" customWidth="1"/>
    <col min="21" max="22" width="4.54296875" style="26" customWidth="1"/>
    <col min="23" max="24" width="4.453125" style="26" customWidth="1"/>
    <col min="25" max="25" width="3.81640625" style="26" customWidth="1"/>
    <col min="26" max="27" width="4.26953125" style="26" customWidth="1"/>
    <col min="28" max="29" width="4.453125" style="26" customWidth="1"/>
    <col min="30" max="30" width="4.54296875" style="26" customWidth="1"/>
    <col min="31" max="31" width="4.26953125" style="26" customWidth="1"/>
    <col min="32" max="32" width="4" style="26" customWidth="1"/>
    <col min="33" max="33" width="4.1796875" style="26" customWidth="1"/>
    <col min="34" max="36" width="4.26953125" style="26" customWidth="1"/>
    <col min="37" max="37" width="2.81640625" style="26" customWidth="1"/>
    <col min="38" max="38" width="3.1796875" style="26" customWidth="1"/>
    <col min="39" max="39" width="2.81640625" style="26" customWidth="1"/>
    <col min="40" max="40" width="11.1796875" style="26" customWidth="1"/>
    <col min="41" max="41" width="10.453125" style="26" customWidth="1"/>
    <col min="42" max="16384" width="9.1796875" style="26"/>
  </cols>
  <sheetData>
    <row r="1" spans="1:44" ht="15.5" x14ac:dyDescent="0.35">
      <c r="AL1" s="31"/>
      <c r="AM1" s="797" t="s">
        <v>759</v>
      </c>
      <c r="AN1" s="797"/>
      <c r="AO1" s="797"/>
      <c r="AP1" s="798"/>
      <c r="AQ1" s="798"/>
      <c r="AR1" s="798"/>
    </row>
    <row r="2" spans="1:44" ht="15.5" x14ac:dyDescent="0.35">
      <c r="A2" s="799" t="s">
        <v>727</v>
      </c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  <c r="N2" s="799"/>
      <c r="O2" s="799"/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799"/>
      <c r="AA2" s="799"/>
      <c r="AB2" s="799"/>
      <c r="AC2" s="799"/>
      <c r="AD2" s="799"/>
      <c r="AE2" s="799"/>
      <c r="AF2" s="799"/>
      <c r="AG2" s="799"/>
      <c r="AH2" s="799"/>
      <c r="AI2" s="799"/>
      <c r="AJ2" s="799"/>
      <c r="AK2" s="799"/>
      <c r="AL2" s="800"/>
      <c r="AM2" s="801">
        <v>45117</v>
      </c>
      <c r="AN2" s="801"/>
      <c r="AO2" s="801"/>
      <c r="AP2" s="774"/>
      <c r="AQ2" s="774"/>
      <c r="AR2" s="774"/>
    </row>
    <row r="3" spans="1:44" ht="8.25" customHeight="1" x14ac:dyDescent="0.3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4" ht="15.5" x14ac:dyDescent="0.35">
      <c r="A4" s="64" t="s">
        <v>234</v>
      </c>
      <c r="B4" s="65"/>
      <c r="C4" s="66"/>
      <c r="D4" s="66"/>
      <c r="E4" s="66"/>
      <c r="F4" s="64" t="s">
        <v>235</v>
      </c>
      <c r="G4" s="67"/>
      <c r="H4" s="64"/>
      <c r="I4" s="64"/>
      <c r="J4" s="64"/>
      <c r="K4" s="64"/>
      <c r="L4" s="64" t="s">
        <v>668</v>
      </c>
      <c r="M4" s="67"/>
      <c r="N4" s="67"/>
      <c r="O4" s="64"/>
      <c r="P4" s="64"/>
      <c r="Q4" s="64"/>
      <c r="R4" s="64"/>
      <c r="S4" s="64"/>
      <c r="T4" s="64"/>
      <c r="U4" s="67"/>
      <c r="V4" s="66"/>
      <c r="W4" s="66"/>
      <c r="X4" s="64" t="s">
        <v>243</v>
      </c>
      <c r="Y4" s="67"/>
      <c r="Z4" s="67"/>
      <c r="AA4" s="64"/>
      <c r="AB4" s="64"/>
      <c r="AC4" s="64"/>
      <c r="AD4" s="67"/>
      <c r="AE4" s="64"/>
      <c r="AF4" s="64" t="s">
        <v>667</v>
      </c>
      <c r="AG4" s="64"/>
      <c r="AH4" s="64"/>
      <c r="AI4" s="67"/>
      <c r="AJ4" s="64"/>
      <c r="AK4" s="64"/>
      <c r="AL4" s="64"/>
      <c r="AM4" s="64"/>
      <c r="AN4" s="64"/>
      <c r="AO4" s="68"/>
    </row>
    <row r="5" spans="1:44" ht="9" customHeight="1" thickBot="1" x14ac:dyDescent="0.4">
      <c r="A5" s="67"/>
      <c r="B5" s="64"/>
      <c r="C5" s="64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</row>
    <row r="6" spans="1:44" ht="15" customHeight="1" thickBot="1" x14ac:dyDescent="0.4">
      <c r="A6" s="780" t="s">
        <v>1</v>
      </c>
      <c r="B6" s="783" t="s">
        <v>293</v>
      </c>
      <c r="C6" s="786" t="s">
        <v>728</v>
      </c>
      <c r="D6" s="787"/>
      <c r="E6" s="787"/>
      <c r="F6" s="787"/>
      <c r="G6" s="787"/>
      <c r="H6" s="787"/>
      <c r="I6" s="787"/>
      <c r="J6" s="787"/>
      <c r="K6" s="787"/>
      <c r="L6" s="787"/>
      <c r="M6" s="787"/>
      <c r="N6" s="787"/>
      <c r="O6" s="787"/>
      <c r="P6" s="787"/>
      <c r="Q6" s="787"/>
      <c r="R6" s="787"/>
      <c r="S6" s="787"/>
      <c r="T6" s="787"/>
      <c r="U6" s="787"/>
      <c r="V6" s="787"/>
      <c r="W6" s="787"/>
      <c r="X6" s="787"/>
      <c r="Y6" s="787"/>
      <c r="Z6" s="787"/>
      <c r="AA6" s="787"/>
      <c r="AB6" s="787"/>
      <c r="AC6" s="787"/>
      <c r="AD6" s="787"/>
      <c r="AE6" s="787"/>
      <c r="AF6" s="787"/>
      <c r="AG6" s="787"/>
      <c r="AH6" s="787"/>
      <c r="AI6" s="787"/>
      <c r="AJ6" s="787"/>
      <c r="AK6" s="787"/>
      <c r="AL6" s="787"/>
      <c r="AM6" s="787"/>
      <c r="AN6" s="787"/>
      <c r="AO6" s="788"/>
    </row>
    <row r="7" spans="1:44" ht="25.5" customHeight="1" thickBot="1" x14ac:dyDescent="0.4">
      <c r="A7" s="781"/>
      <c r="B7" s="784"/>
      <c r="C7" s="69" t="s">
        <v>729</v>
      </c>
      <c r="D7" s="786">
        <v>1</v>
      </c>
      <c r="E7" s="789"/>
      <c r="F7" s="790"/>
      <c r="G7" s="786">
        <v>2</v>
      </c>
      <c r="H7" s="789"/>
      <c r="I7" s="790"/>
      <c r="J7" s="786">
        <v>3</v>
      </c>
      <c r="K7" s="789"/>
      <c r="L7" s="790"/>
      <c r="M7" s="786">
        <v>4</v>
      </c>
      <c r="N7" s="789"/>
      <c r="O7" s="790"/>
      <c r="P7" s="786">
        <v>5</v>
      </c>
      <c r="Q7" s="789"/>
      <c r="R7" s="790"/>
      <c r="S7" s="786">
        <v>6</v>
      </c>
      <c r="T7" s="789"/>
      <c r="U7" s="790"/>
      <c r="V7" s="786">
        <v>7</v>
      </c>
      <c r="W7" s="789"/>
      <c r="X7" s="790"/>
      <c r="Y7" s="786">
        <v>8</v>
      </c>
      <c r="Z7" s="789"/>
      <c r="AA7" s="790"/>
      <c r="AB7" s="786">
        <v>9</v>
      </c>
      <c r="AC7" s="789"/>
      <c r="AD7" s="790"/>
      <c r="AE7" s="786" t="s">
        <v>378</v>
      </c>
      <c r="AF7" s="787"/>
      <c r="AG7" s="788"/>
      <c r="AH7" s="786" t="s">
        <v>379</v>
      </c>
      <c r="AI7" s="802"/>
      <c r="AJ7" s="802"/>
      <c r="AK7" s="803" t="s">
        <v>245</v>
      </c>
      <c r="AL7" s="804"/>
      <c r="AM7" s="805"/>
      <c r="AN7" s="791" t="s">
        <v>208</v>
      </c>
      <c r="AO7" s="791" t="s">
        <v>242</v>
      </c>
    </row>
    <row r="8" spans="1:44" ht="15" customHeight="1" thickBot="1" x14ac:dyDescent="0.4">
      <c r="A8" s="781"/>
      <c r="B8" s="784"/>
      <c r="C8" s="69" t="s">
        <v>206</v>
      </c>
      <c r="D8" s="794"/>
      <c r="E8" s="795"/>
      <c r="F8" s="796"/>
      <c r="G8" s="794"/>
      <c r="H8" s="795"/>
      <c r="I8" s="796"/>
      <c r="J8" s="794"/>
      <c r="K8" s="795"/>
      <c r="L8" s="796"/>
      <c r="M8" s="794"/>
      <c r="N8" s="795"/>
      <c r="O8" s="796"/>
      <c r="P8" s="794"/>
      <c r="Q8" s="795"/>
      <c r="R8" s="796"/>
      <c r="S8" s="794"/>
      <c r="T8" s="795"/>
      <c r="U8" s="796"/>
      <c r="V8" s="794"/>
      <c r="W8" s="795"/>
      <c r="X8" s="796"/>
      <c r="Y8" s="794"/>
      <c r="Z8" s="795"/>
      <c r="AA8" s="796"/>
      <c r="AB8" s="794"/>
      <c r="AC8" s="795"/>
      <c r="AD8" s="796"/>
      <c r="AE8" s="794"/>
      <c r="AF8" s="795"/>
      <c r="AG8" s="796"/>
      <c r="AH8" s="794"/>
      <c r="AI8" s="795"/>
      <c r="AJ8" s="795"/>
      <c r="AK8" s="806"/>
      <c r="AL8" s="799"/>
      <c r="AM8" s="807"/>
      <c r="AN8" s="792"/>
      <c r="AO8" s="792"/>
    </row>
    <row r="9" spans="1:44" ht="14.5" thickBot="1" x14ac:dyDescent="0.4">
      <c r="A9" s="782"/>
      <c r="B9" s="785"/>
      <c r="C9" s="69" t="s">
        <v>32</v>
      </c>
      <c r="D9" s="70" t="s">
        <v>246</v>
      </c>
      <c r="E9" s="71" t="s">
        <v>207</v>
      </c>
      <c r="F9" s="72" t="s">
        <v>208</v>
      </c>
      <c r="G9" s="70" t="s">
        <v>246</v>
      </c>
      <c r="H9" s="71" t="s">
        <v>207</v>
      </c>
      <c r="I9" s="72" t="s">
        <v>208</v>
      </c>
      <c r="J9" s="70" t="s">
        <v>246</v>
      </c>
      <c r="K9" s="71" t="s">
        <v>207</v>
      </c>
      <c r="L9" s="72" t="s">
        <v>208</v>
      </c>
      <c r="M9" s="70" t="s">
        <v>246</v>
      </c>
      <c r="N9" s="71" t="s">
        <v>207</v>
      </c>
      <c r="O9" s="72" t="s">
        <v>208</v>
      </c>
      <c r="P9" s="70" t="s">
        <v>246</v>
      </c>
      <c r="Q9" s="71" t="s">
        <v>207</v>
      </c>
      <c r="R9" s="72" t="s">
        <v>208</v>
      </c>
      <c r="S9" s="70" t="s">
        <v>246</v>
      </c>
      <c r="T9" s="71" t="s">
        <v>207</v>
      </c>
      <c r="U9" s="72" t="s">
        <v>208</v>
      </c>
      <c r="V9" s="70" t="s">
        <v>246</v>
      </c>
      <c r="W9" s="71" t="s">
        <v>207</v>
      </c>
      <c r="X9" s="72" t="s">
        <v>208</v>
      </c>
      <c r="Y9" s="70" t="s">
        <v>246</v>
      </c>
      <c r="Z9" s="71" t="s">
        <v>207</v>
      </c>
      <c r="AA9" s="72" t="s">
        <v>208</v>
      </c>
      <c r="AB9" s="70" t="s">
        <v>246</v>
      </c>
      <c r="AC9" s="71" t="s">
        <v>207</v>
      </c>
      <c r="AD9" s="72" t="s">
        <v>208</v>
      </c>
      <c r="AE9" s="70" t="s">
        <v>246</v>
      </c>
      <c r="AF9" s="71" t="s">
        <v>207</v>
      </c>
      <c r="AG9" s="72" t="s">
        <v>208</v>
      </c>
      <c r="AH9" s="70" t="s">
        <v>246</v>
      </c>
      <c r="AI9" s="71" t="s">
        <v>207</v>
      </c>
      <c r="AJ9" s="73" t="s">
        <v>208</v>
      </c>
      <c r="AK9" s="808"/>
      <c r="AL9" s="809"/>
      <c r="AM9" s="810"/>
      <c r="AN9" s="793"/>
      <c r="AO9" s="793"/>
    </row>
    <row r="10" spans="1:44" x14ac:dyDescent="0.35">
      <c r="A10" s="74">
        <v>1</v>
      </c>
      <c r="B10" s="75"/>
      <c r="C10" s="76"/>
      <c r="D10" s="77"/>
      <c r="E10" s="78"/>
      <c r="F10" s="79"/>
      <c r="G10" s="77"/>
      <c r="H10" s="78"/>
      <c r="I10" s="79"/>
      <c r="J10" s="77"/>
      <c r="K10" s="78"/>
      <c r="L10" s="79"/>
      <c r="M10" s="77"/>
      <c r="N10" s="78"/>
      <c r="O10" s="79"/>
      <c r="P10" s="77"/>
      <c r="Q10" s="78"/>
      <c r="R10" s="79"/>
      <c r="S10" s="77"/>
      <c r="T10" s="78"/>
      <c r="U10" s="79"/>
      <c r="V10" s="77"/>
      <c r="W10" s="78"/>
      <c r="X10" s="79"/>
      <c r="Y10" s="77"/>
      <c r="Z10" s="78"/>
      <c r="AA10" s="79"/>
      <c r="AB10" s="77"/>
      <c r="AC10" s="78"/>
      <c r="AD10" s="79"/>
      <c r="AE10" s="77"/>
      <c r="AF10" s="78"/>
      <c r="AG10" s="79"/>
      <c r="AH10" s="77"/>
      <c r="AI10" s="78"/>
      <c r="AJ10" s="80"/>
      <c r="AK10" s="81"/>
      <c r="AL10" s="82"/>
      <c r="AM10" s="83"/>
      <c r="AN10" s="84"/>
      <c r="AO10" s="84"/>
    </row>
    <row r="11" spans="1:44" ht="15.5" x14ac:dyDescent="0.35">
      <c r="A11" s="85">
        <v>2</v>
      </c>
      <c r="B11" s="86"/>
      <c r="C11" s="87"/>
      <c r="D11" s="88"/>
      <c r="E11" s="89"/>
      <c r="F11" s="90"/>
      <c r="G11" s="88"/>
      <c r="H11" s="89"/>
      <c r="I11" s="90"/>
      <c r="J11" s="88"/>
      <c r="K11" s="89"/>
      <c r="L11" s="90"/>
      <c r="M11" s="88"/>
      <c r="N11" s="89"/>
      <c r="O11" s="90"/>
      <c r="P11" s="88"/>
      <c r="Q11" s="89"/>
      <c r="R11" s="90"/>
      <c r="S11" s="88"/>
      <c r="T11" s="89"/>
      <c r="U11" s="90"/>
      <c r="V11" s="88"/>
      <c r="W11" s="89"/>
      <c r="X11" s="90"/>
      <c r="Y11" s="88"/>
      <c r="Z11" s="89"/>
      <c r="AA11" s="90"/>
      <c r="AB11" s="88"/>
      <c r="AC11" s="89"/>
      <c r="AD11" s="90"/>
      <c r="AE11" s="88"/>
      <c r="AF11" s="89"/>
      <c r="AG11" s="90"/>
      <c r="AH11" s="88"/>
      <c r="AI11" s="89"/>
      <c r="AJ11" s="91"/>
      <c r="AK11" s="92"/>
      <c r="AL11" s="93"/>
      <c r="AM11" s="94"/>
      <c r="AN11" s="84"/>
      <c r="AO11" s="84"/>
    </row>
    <row r="12" spans="1:44" ht="15.5" x14ac:dyDescent="0.35">
      <c r="A12" s="85">
        <v>3</v>
      </c>
      <c r="B12" s="86"/>
      <c r="C12" s="87"/>
      <c r="D12" s="88"/>
      <c r="E12" s="89"/>
      <c r="F12" s="90"/>
      <c r="G12" s="88"/>
      <c r="H12" s="89"/>
      <c r="I12" s="90"/>
      <c r="J12" s="88"/>
      <c r="K12" s="89"/>
      <c r="L12" s="90"/>
      <c r="M12" s="88"/>
      <c r="N12" s="89"/>
      <c r="O12" s="90"/>
      <c r="P12" s="88"/>
      <c r="Q12" s="89"/>
      <c r="R12" s="90"/>
      <c r="S12" s="88"/>
      <c r="T12" s="89"/>
      <c r="U12" s="90"/>
      <c r="V12" s="88"/>
      <c r="W12" s="89"/>
      <c r="X12" s="90"/>
      <c r="Y12" s="88"/>
      <c r="Z12" s="89"/>
      <c r="AA12" s="90"/>
      <c r="AB12" s="88"/>
      <c r="AC12" s="89"/>
      <c r="AD12" s="90"/>
      <c r="AE12" s="88"/>
      <c r="AF12" s="89"/>
      <c r="AG12" s="90"/>
      <c r="AH12" s="88"/>
      <c r="AI12" s="89"/>
      <c r="AJ12" s="91"/>
      <c r="AK12" s="95"/>
      <c r="AL12" s="96"/>
      <c r="AM12" s="97"/>
      <c r="AN12" s="84"/>
      <c r="AO12" s="84"/>
    </row>
    <row r="13" spans="1:44" ht="15.5" x14ac:dyDescent="0.35">
      <c r="A13" s="85">
        <v>4</v>
      </c>
      <c r="B13" s="86"/>
      <c r="C13" s="87"/>
      <c r="D13" s="88"/>
      <c r="E13" s="89"/>
      <c r="F13" s="90"/>
      <c r="G13" s="88"/>
      <c r="H13" s="89"/>
      <c r="I13" s="90"/>
      <c r="J13" s="88"/>
      <c r="K13" s="89"/>
      <c r="L13" s="90"/>
      <c r="M13" s="88"/>
      <c r="N13" s="89"/>
      <c r="O13" s="90"/>
      <c r="P13" s="88"/>
      <c r="Q13" s="89"/>
      <c r="R13" s="90"/>
      <c r="S13" s="88"/>
      <c r="T13" s="89"/>
      <c r="U13" s="90"/>
      <c r="V13" s="88"/>
      <c r="W13" s="89"/>
      <c r="X13" s="90"/>
      <c r="Y13" s="88"/>
      <c r="Z13" s="89"/>
      <c r="AA13" s="90"/>
      <c r="AB13" s="88"/>
      <c r="AC13" s="89"/>
      <c r="AD13" s="90"/>
      <c r="AE13" s="88"/>
      <c r="AF13" s="89"/>
      <c r="AG13" s="90"/>
      <c r="AH13" s="88"/>
      <c r="AI13" s="89"/>
      <c r="AJ13" s="91"/>
      <c r="AK13" s="98"/>
      <c r="AL13" s="99"/>
      <c r="AM13" s="100"/>
      <c r="AN13" s="84"/>
      <c r="AO13" s="84"/>
    </row>
    <row r="14" spans="1:44" ht="15.5" x14ac:dyDescent="0.35">
      <c r="A14" s="85">
        <v>5</v>
      </c>
      <c r="B14" s="86"/>
      <c r="C14" s="87"/>
      <c r="D14" s="88"/>
      <c r="E14" s="89"/>
      <c r="F14" s="90"/>
      <c r="G14" s="88"/>
      <c r="H14" s="89"/>
      <c r="I14" s="90"/>
      <c r="J14" s="88"/>
      <c r="K14" s="89"/>
      <c r="L14" s="90"/>
      <c r="M14" s="88"/>
      <c r="N14" s="89"/>
      <c r="O14" s="90"/>
      <c r="P14" s="88"/>
      <c r="Q14" s="89"/>
      <c r="R14" s="90"/>
      <c r="S14" s="88"/>
      <c r="T14" s="89"/>
      <c r="U14" s="90"/>
      <c r="V14" s="88"/>
      <c r="W14" s="89"/>
      <c r="X14" s="90"/>
      <c r="Y14" s="88"/>
      <c r="Z14" s="89"/>
      <c r="AA14" s="90"/>
      <c r="AB14" s="88"/>
      <c r="AC14" s="89"/>
      <c r="AD14" s="90"/>
      <c r="AE14" s="88"/>
      <c r="AF14" s="89"/>
      <c r="AG14" s="90"/>
      <c r="AH14" s="88"/>
      <c r="AI14" s="89"/>
      <c r="AJ14" s="91"/>
      <c r="AK14" s="95"/>
      <c r="AL14" s="96"/>
      <c r="AM14" s="97"/>
      <c r="AN14" s="84"/>
      <c r="AO14" s="84"/>
    </row>
    <row r="15" spans="1:44" ht="15.5" x14ac:dyDescent="0.35">
      <c r="A15" s="85">
        <v>6</v>
      </c>
      <c r="B15" s="86"/>
      <c r="C15" s="87"/>
      <c r="D15" s="88"/>
      <c r="E15" s="89"/>
      <c r="F15" s="90"/>
      <c r="G15" s="88"/>
      <c r="H15" s="89"/>
      <c r="I15" s="90"/>
      <c r="J15" s="88"/>
      <c r="K15" s="89"/>
      <c r="L15" s="90"/>
      <c r="M15" s="88"/>
      <c r="N15" s="89"/>
      <c r="O15" s="90"/>
      <c r="P15" s="88"/>
      <c r="Q15" s="89"/>
      <c r="R15" s="90"/>
      <c r="S15" s="88"/>
      <c r="T15" s="89"/>
      <c r="U15" s="90"/>
      <c r="V15" s="88"/>
      <c r="W15" s="89"/>
      <c r="X15" s="90"/>
      <c r="Y15" s="88"/>
      <c r="Z15" s="89"/>
      <c r="AA15" s="90"/>
      <c r="AB15" s="88"/>
      <c r="AC15" s="89"/>
      <c r="AD15" s="90"/>
      <c r="AE15" s="88"/>
      <c r="AF15" s="89"/>
      <c r="AG15" s="90"/>
      <c r="AH15" s="88"/>
      <c r="AI15" s="89"/>
      <c r="AJ15" s="91"/>
      <c r="AK15" s="98"/>
      <c r="AL15" s="99"/>
      <c r="AM15" s="100"/>
      <c r="AN15" s="84"/>
      <c r="AO15" s="84"/>
    </row>
    <row r="16" spans="1:44" ht="15.5" x14ac:dyDescent="0.35">
      <c r="A16" s="85">
        <v>7</v>
      </c>
      <c r="B16" s="86"/>
      <c r="C16" s="87"/>
      <c r="D16" s="88"/>
      <c r="E16" s="89"/>
      <c r="F16" s="90"/>
      <c r="G16" s="88"/>
      <c r="H16" s="89"/>
      <c r="I16" s="90"/>
      <c r="J16" s="88"/>
      <c r="K16" s="89"/>
      <c r="L16" s="90"/>
      <c r="M16" s="88"/>
      <c r="N16" s="89"/>
      <c r="O16" s="90"/>
      <c r="P16" s="88"/>
      <c r="Q16" s="89"/>
      <c r="R16" s="90"/>
      <c r="S16" s="88"/>
      <c r="T16" s="89"/>
      <c r="U16" s="90"/>
      <c r="V16" s="88"/>
      <c r="W16" s="89"/>
      <c r="X16" s="90"/>
      <c r="Y16" s="88"/>
      <c r="Z16" s="89"/>
      <c r="AA16" s="90"/>
      <c r="AB16" s="88"/>
      <c r="AC16" s="89"/>
      <c r="AD16" s="90"/>
      <c r="AE16" s="88"/>
      <c r="AF16" s="89"/>
      <c r="AG16" s="90"/>
      <c r="AH16" s="88"/>
      <c r="AI16" s="89"/>
      <c r="AJ16" s="91"/>
      <c r="AK16" s="95"/>
      <c r="AL16" s="96"/>
      <c r="AM16" s="97"/>
      <c r="AN16" s="84"/>
      <c r="AO16" s="84"/>
    </row>
    <row r="17" spans="1:41" ht="15.5" x14ac:dyDescent="0.35">
      <c r="A17" s="85">
        <v>8</v>
      </c>
      <c r="B17" s="86"/>
      <c r="C17" s="87"/>
      <c r="D17" s="88"/>
      <c r="E17" s="89"/>
      <c r="F17" s="90"/>
      <c r="G17" s="88"/>
      <c r="H17" s="89"/>
      <c r="I17" s="90"/>
      <c r="J17" s="88"/>
      <c r="K17" s="89"/>
      <c r="L17" s="90"/>
      <c r="M17" s="88"/>
      <c r="N17" s="89"/>
      <c r="O17" s="90"/>
      <c r="P17" s="88"/>
      <c r="Q17" s="89"/>
      <c r="R17" s="90"/>
      <c r="S17" s="88"/>
      <c r="T17" s="89"/>
      <c r="U17" s="90"/>
      <c r="V17" s="88"/>
      <c r="W17" s="89"/>
      <c r="X17" s="90"/>
      <c r="Y17" s="88"/>
      <c r="Z17" s="89"/>
      <c r="AA17" s="90"/>
      <c r="AB17" s="88"/>
      <c r="AC17" s="89"/>
      <c r="AD17" s="90"/>
      <c r="AE17" s="88"/>
      <c r="AF17" s="89"/>
      <c r="AG17" s="90"/>
      <c r="AH17" s="88"/>
      <c r="AI17" s="89"/>
      <c r="AJ17" s="91"/>
      <c r="AK17" s="98"/>
      <c r="AL17" s="99"/>
      <c r="AM17" s="100"/>
      <c r="AN17" s="84"/>
      <c r="AO17" s="84"/>
    </row>
    <row r="18" spans="1:41" ht="15.5" x14ac:dyDescent="0.35">
      <c r="A18" s="85">
        <v>9</v>
      </c>
      <c r="B18" s="86"/>
      <c r="C18" s="87"/>
      <c r="D18" s="88"/>
      <c r="E18" s="89"/>
      <c r="F18" s="90"/>
      <c r="G18" s="88"/>
      <c r="H18" s="89"/>
      <c r="I18" s="90"/>
      <c r="J18" s="88"/>
      <c r="K18" s="89"/>
      <c r="L18" s="90"/>
      <c r="M18" s="88"/>
      <c r="N18" s="89"/>
      <c r="O18" s="90"/>
      <c r="P18" s="88"/>
      <c r="Q18" s="89"/>
      <c r="R18" s="90"/>
      <c r="S18" s="88"/>
      <c r="T18" s="89"/>
      <c r="U18" s="90"/>
      <c r="V18" s="88"/>
      <c r="W18" s="89"/>
      <c r="X18" s="90"/>
      <c r="Y18" s="88"/>
      <c r="Z18" s="89"/>
      <c r="AA18" s="90"/>
      <c r="AB18" s="88"/>
      <c r="AC18" s="89"/>
      <c r="AD18" s="90"/>
      <c r="AE18" s="88"/>
      <c r="AF18" s="89"/>
      <c r="AG18" s="90"/>
      <c r="AH18" s="88"/>
      <c r="AI18" s="89"/>
      <c r="AJ18" s="91"/>
      <c r="AK18" s="95"/>
      <c r="AL18" s="96"/>
      <c r="AM18" s="97"/>
      <c r="AN18" s="84"/>
      <c r="AO18" s="84"/>
    </row>
    <row r="19" spans="1:41" ht="15.5" x14ac:dyDescent="0.35">
      <c r="A19" s="85">
        <v>10</v>
      </c>
      <c r="B19" s="86"/>
      <c r="C19" s="87"/>
      <c r="D19" s="88"/>
      <c r="E19" s="89"/>
      <c r="F19" s="90"/>
      <c r="G19" s="88"/>
      <c r="H19" s="89"/>
      <c r="I19" s="90"/>
      <c r="J19" s="88"/>
      <c r="K19" s="89"/>
      <c r="L19" s="90"/>
      <c r="M19" s="88"/>
      <c r="N19" s="89"/>
      <c r="O19" s="90"/>
      <c r="P19" s="88"/>
      <c r="Q19" s="89"/>
      <c r="R19" s="90"/>
      <c r="S19" s="88"/>
      <c r="T19" s="89"/>
      <c r="U19" s="90"/>
      <c r="V19" s="88"/>
      <c r="W19" s="89"/>
      <c r="X19" s="90"/>
      <c r="Y19" s="88"/>
      <c r="Z19" s="89"/>
      <c r="AA19" s="90"/>
      <c r="AB19" s="88"/>
      <c r="AC19" s="89"/>
      <c r="AD19" s="90"/>
      <c r="AE19" s="88"/>
      <c r="AF19" s="89"/>
      <c r="AG19" s="90"/>
      <c r="AH19" s="88"/>
      <c r="AI19" s="89"/>
      <c r="AJ19" s="91"/>
      <c r="AK19" s="98"/>
      <c r="AL19" s="99"/>
      <c r="AM19" s="100"/>
      <c r="AN19" s="84"/>
      <c r="AO19" s="84"/>
    </row>
    <row r="20" spans="1:41" ht="15.5" x14ac:dyDescent="0.35">
      <c r="A20" s="85">
        <v>11</v>
      </c>
      <c r="B20" s="86"/>
      <c r="C20" s="87"/>
      <c r="D20" s="88"/>
      <c r="E20" s="89"/>
      <c r="F20" s="90"/>
      <c r="G20" s="88"/>
      <c r="H20" s="89"/>
      <c r="I20" s="90"/>
      <c r="J20" s="88"/>
      <c r="K20" s="89"/>
      <c r="L20" s="90"/>
      <c r="M20" s="88"/>
      <c r="N20" s="89"/>
      <c r="O20" s="90"/>
      <c r="P20" s="88"/>
      <c r="Q20" s="89"/>
      <c r="R20" s="90"/>
      <c r="S20" s="88"/>
      <c r="T20" s="89"/>
      <c r="U20" s="90"/>
      <c r="V20" s="88"/>
      <c r="W20" s="89"/>
      <c r="X20" s="90"/>
      <c r="Y20" s="88"/>
      <c r="Z20" s="89"/>
      <c r="AA20" s="90"/>
      <c r="AB20" s="88"/>
      <c r="AC20" s="89"/>
      <c r="AD20" s="90"/>
      <c r="AE20" s="88"/>
      <c r="AF20" s="89"/>
      <c r="AG20" s="90"/>
      <c r="AH20" s="88"/>
      <c r="AI20" s="89"/>
      <c r="AJ20" s="91"/>
      <c r="AK20" s="95"/>
      <c r="AL20" s="96"/>
      <c r="AM20" s="97"/>
      <c r="AN20" s="84"/>
      <c r="AO20" s="84"/>
    </row>
    <row r="21" spans="1:41" ht="15.5" x14ac:dyDescent="0.35">
      <c r="A21" s="85">
        <v>12</v>
      </c>
      <c r="B21" s="86"/>
      <c r="C21" s="87"/>
      <c r="D21" s="88"/>
      <c r="E21" s="89"/>
      <c r="F21" s="90"/>
      <c r="G21" s="88"/>
      <c r="H21" s="89"/>
      <c r="I21" s="90"/>
      <c r="J21" s="88"/>
      <c r="K21" s="89"/>
      <c r="L21" s="90"/>
      <c r="M21" s="88"/>
      <c r="N21" s="89"/>
      <c r="O21" s="90"/>
      <c r="P21" s="88"/>
      <c r="Q21" s="89"/>
      <c r="R21" s="90"/>
      <c r="S21" s="88"/>
      <c r="T21" s="89"/>
      <c r="U21" s="90"/>
      <c r="V21" s="88"/>
      <c r="W21" s="89"/>
      <c r="X21" s="90"/>
      <c r="Y21" s="88"/>
      <c r="Z21" s="89"/>
      <c r="AA21" s="90"/>
      <c r="AB21" s="88"/>
      <c r="AC21" s="89"/>
      <c r="AD21" s="90"/>
      <c r="AE21" s="88"/>
      <c r="AF21" s="89"/>
      <c r="AG21" s="90"/>
      <c r="AH21" s="88"/>
      <c r="AI21" s="89"/>
      <c r="AJ21" s="91"/>
      <c r="AK21" s="98"/>
      <c r="AL21" s="99"/>
      <c r="AM21" s="100"/>
      <c r="AN21" s="84"/>
      <c r="AO21" s="84"/>
    </row>
    <row r="22" spans="1:41" ht="15.5" x14ac:dyDescent="0.35">
      <c r="A22" s="85">
        <v>13</v>
      </c>
      <c r="B22" s="86"/>
      <c r="C22" s="87"/>
      <c r="D22" s="88"/>
      <c r="E22" s="89"/>
      <c r="F22" s="90"/>
      <c r="G22" s="88"/>
      <c r="H22" s="89"/>
      <c r="I22" s="90"/>
      <c r="J22" s="88"/>
      <c r="K22" s="89"/>
      <c r="L22" s="90"/>
      <c r="M22" s="88"/>
      <c r="N22" s="89"/>
      <c r="O22" s="90"/>
      <c r="P22" s="88"/>
      <c r="Q22" s="89"/>
      <c r="R22" s="90"/>
      <c r="S22" s="88"/>
      <c r="T22" s="89"/>
      <c r="U22" s="90"/>
      <c r="V22" s="88"/>
      <c r="W22" s="89"/>
      <c r="X22" s="90"/>
      <c r="Y22" s="88"/>
      <c r="Z22" s="89"/>
      <c r="AA22" s="90"/>
      <c r="AB22" s="88"/>
      <c r="AC22" s="89"/>
      <c r="AD22" s="90"/>
      <c r="AE22" s="88"/>
      <c r="AF22" s="89"/>
      <c r="AG22" s="90"/>
      <c r="AH22" s="88"/>
      <c r="AI22" s="89"/>
      <c r="AJ22" s="91"/>
      <c r="AK22" s="95"/>
      <c r="AL22" s="96"/>
      <c r="AM22" s="97"/>
      <c r="AN22" s="84"/>
      <c r="AO22" s="84"/>
    </row>
    <row r="23" spans="1:41" x14ac:dyDescent="0.35">
      <c r="A23" s="85">
        <v>14</v>
      </c>
      <c r="B23" s="101"/>
      <c r="C23" s="102"/>
      <c r="D23" s="88"/>
      <c r="E23" s="89"/>
      <c r="F23" s="90"/>
      <c r="G23" s="88"/>
      <c r="H23" s="89"/>
      <c r="I23" s="90"/>
      <c r="J23" s="88"/>
      <c r="K23" s="89"/>
      <c r="L23" s="90"/>
      <c r="M23" s="88"/>
      <c r="N23" s="89"/>
      <c r="O23" s="90"/>
      <c r="P23" s="88"/>
      <c r="Q23" s="89"/>
      <c r="R23" s="90"/>
      <c r="S23" s="88"/>
      <c r="T23" s="89"/>
      <c r="U23" s="90"/>
      <c r="V23" s="88"/>
      <c r="W23" s="89"/>
      <c r="X23" s="90"/>
      <c r="Y23" s="88"/>
      <c r="Z23" s="89"/>
      <c r="AA23" s="90"/>
      <c r="AB23" s="88"/>
      <c r="AC23" s="89"/>
      <c r="AD23" s="90"/>
      <c r="AE23" s="88"/>
      <c r="AF23" s="89"/>
      <c r="AG23" s="90"/>
      <c r="AH23" s="88"/>
      <c r="AI23" s="89"/>
      <c r="AJ23" s="91"/>
      <c r="AK23" s="98"/>
      <c r="AL23" s="99"/>
      <c r="AM23" s="100"/>
      <c r="AN23" s="84"/>
      <c r="AO23" s="84"/>
    </row>
    <row r="24" spans="1:41" x14ac:dyDescent="0.35">
      <c r="A24" s="85">
        <v>15</v>
      </c>
      <c r="B24" s="103"/>
      <c r="C24" s="104"/>
      <c r="D24" s="88"/>
      <c r="E24" s="89"/>
      <c r="F24" s="90"/>
      <c r="G24" s="88"/>
      <c r="H24" s="89"/>
      <c r="I24" s="90"/>
      <c r="J24" s="88"/>
      <c r="K24" s="89"/>
      <c r="L24" s="90"/>
      <c r="M24" s="88"/>
      <c r="N24" s="89"/>
      <c r="O24" s="90"/>
      <c r="P24" s="88"/>
      <c r="Q24" s="89"/>
      <c r="R24" s="90"/>
      <c r="S24" s="88"/>
      <c r="T24" s="89"/>
      <c r="U24" s="90"/>
      <c r="V24" s="88"/>
      <c r="W24" s="89"/>
      <c r="X24" s="90"/>
      <c r="Y24" s="88"/>
      <c r="Z24" s="89"/>
      <c r="AA24" s="90"/>
      <c r="AB24" s="88"/>
      <c r="AC24" s="89"/>
      <c r="AD24" s="90"/>
      <c r="AE24" s="88"/>
      <c r="AF24" s="89"/>
      <c r="AG24" s="90"/>
      <c r="AH24" s="88"/>
      <c r="AI24" s="89"/>
      <c r="AJ24" s="91"/>
      <c r="AK24" s="95"/>
      <c r="AL24" s="96"/>
      <c r="AM24" s="97"/>
      <c r="AN24" s="84"/>
      <c r="AO24" s="84"/>
    </row>
    <row r="25" spans="1:41" ht="15.5" x14ac:dyDescent="0.35">
      <c r="A25" s="85">
        <v>16</v>
      </c>
      <c r="B25" s="86"/>
      <c r="C25" s="87"/>
      <c r="D25" s="88"/>
      <c r="E25" s="89"/>
      <c r="F25" s="90"/>
      <c r="G25" s="88"/>
      <c r="H25" s="89"/>
      <c r="I25" s="90"/>
      <c r="J25" s="88"/>
      <c r="K25" s="89"/>
      <c r="L25" s="90"/>
      <c r="M25" s="88"/>
      <c r="N25" s="89"/>
      <c r="O25" s="90"/>
      <c r="P25" s="88"/>
      <c r="Q25" s="89"/>
      <c r="R25" s="90"/>
      <c r="S25" s="88"/>
      <c r="T25" s="89"/>
      <c r="U25" s="90"/>
      <c r="V25" s="88"/>
      <c r="W25" s="89"/>
      <c r="X25" s="90"/>
      <c r="Y25" s="88"/>
      <c r="Z25" s="89"/>
      <c r="AA25" s="90"/>
      <c r="AB25" s="88"/>
      <c r="AC25" s="89"/>
      <c r="AD25" s="90"/>
      <c r="AE25" s="88"/>
      <c r="AF25" s="89"/>
      <c r="AG25" s="90"/>
      <c r="AH25" s="88"/>
      <c r="AI25" s="89"/>
      <c r="AJ25" s="91"/>
      <c r="AK25" s="98"/>
      <c r="AL25" s="99"/>
      <c r="AM25" s="100"/>
      <c r="AN25" s="84"/>
      <c r="AO25" s="84"/>
    </row>
    <row r="26" spans="1:41" ht="15.5" x14ac:dyDescent="0.35">
      <c r="A26" s="85">
        <v>17</v>
      </c>
      <c r="B26" s="86"/>
      <c r="C26" s="87"/>
      <c r="D26" s="88"/>
      <c r="E26" s="89"/>
      <c r="F26" s="90"/>
      <c r="G26" s="88"/>
      <c r="H26" s="89"/>
      <c r="I26" s="90"/>
      <c r="J26" s="88"/>
      <c r="K26" s="89"/>
      <c r="L26" s="90"/>
      <c r="M26" s="88"/>
      <c r="N26" s="89"/>
      <c r="O26" s="90"/>
      <c r="P26" s="88"/>
      <c r="Q26" s="89"/>
      <c r="R26" s="90"/>
      <c r="S26" s="88"/>
      <c r="T26" s="89"/>
      <c r="U26" s="90"/>
      <c r="V26" s="88"/>
      <c r="W26" s="89"/>
      <c r="X26" s="90"/>
      <c r="Y26" s="88"/>
      <c r="Z26" s="89"/>
      <c r="AA26" s="90"/>
      <c r="AB26" s="88"/>
      <c r="AC26" s="89"/>
      <c r="AD26" s="90"/>
      <c r="AE26" s="88"/>
      <c r="AF26" s="89"/>
      <c r="AG26" s="90"/>
      <c r="AH26" s="88"/>
      <c r="AI26" s="89"/>
      <c r="AJ26" s="91"/>
      <c r="AK26" s="95"/>
      <c r="AL26" s="96"/>
      <c r="AM26" s="97"/>
      <c r="AN26" s="84"/>
      <c r="AO26" s="84"/>
    </row>
    <row r="27" spans="1:41" ht="15.5" x14ac:dyDescent="0.35">
      <c r="A27" s="85">
        <v>18</v>
      </c>
      <c r="B27" s="86"/>
      <c r="C27" s="87"/>
      <c r="D27" s="88"/>
      <c r="E27" s="89"/>
      <c r="F27" s="90"/>
      <c r="G27" s="88"/>
      <c r="H27" s="89"/>
      <c r="I27" s="90"/>
      <c r="J27" s="88"/>
      <c r="K27" s="89"/>
      <c r="L27" s="90"/>
      <c r="M27" s="88"/>
      <c r="N27" s="89"/>
      <c r="O27" s="90"/>
      <c r="P27" s="88"/>
      <c r="Q27" s="89"/>
      <c r="R27" s="90"/>
      <c r="S27" s="88"/>
      <c r="T27" s="89"/>
      <c r="U27" s="90"/>
      <c r="V27" s="88"/>
      <c r="W27" s="89"/>
      <c r="X27" s="90"/>
      <c r="Y27" s="88"/>
      <c r="Z27" s="89"/>
      <c r="AA27" s="90"/>
      <c r="AB27" s="88"/>
      <c r="AC27" s="89"/>
      <c r="AD27" s="90"/>
      <c r="AE27" s="88"/>
      <c r="AF27" s="89"/>
      <c r="AG27" s="90"/>
      <c r="AH27" s="88"/>
      <c r="AI27" s="89"/>
      <c r="AJ27" s="91"/>
      <c r="AK27" s="98"/>
      <c r="AL27" s="99"/>
      <c r="AM27" s="100"/>
      <c r="AN27" s="84"/>
      <c r="AO27" s="84"/>
    </row>
    <row r="28" spans="1:41" ht="15.5" x14ac:dyDescent="0.35">
      <c r="A28" s="85">
        <v>19</v>
      </c>
      <c r="B28" s="86"/>
      <c r="C28" s="87"/>
      <c r="D28" s="88"/>
      <c r="E28" s="89"/>
      <c r="F28" s="90"/>
      <c r="G28" s="88"/>
      <c r="H28" s="89"/>
      <c r="I28" s="90"/>
      <c r="J28" s="88"/>
      <c r="K28" s="89"/>
      <c r="L28" s="90"/>
      <c r="M28" s="88"/>
      <c r="N28" s="89"/>
      <c r="O28" s="90"/>
      <c r="P28" s="88"/>
      <c r="Q28" s="89"/>
      <c r="R28" s="90"/>
      <c r="S28" s="88"/>
      <c r="T28" s="89"/>
      <c r="U28" s="90"/>
      <c r="V28" s="88"/>
      <c r="W28" s="89"/>
      <c r="X28" s="90"/>
      <c r="Y28" s="88"/>
      <c r="Z28" s="89"/>
      <c r="AA28" s="90"/>
      <c r="AB28" s="88"/>
      <c r="AC28" s="89"/>
      <c r="AD28" s="90"/>
      <c r="AE28" s="88"/>
      <c r="AF28" s="89"/>
      <c r="AG28" s="90"/>
      <c r="AH28" s="88"/>
      <c r="AI28" s="89"/>
      <c r="AJ28" s="91"/>
      <c r="AK28" s="95"/>
      <c r="AL28" s="96"/>
      <c r="AM28" s="97"/>
      <c r="AN28" s="84"/>
      <c r="AO28" s="84"/>
    </row>
    <row r="29" spans="1:41" ht="15.5" x14ac:dyDescent="0.35">
      <c r="A29" s="85">
        <v>20</v>
      </c>
      <c r="B29" s="86"/>
      <c r="C29" s="87"/>
      <c r="D29" s="88"/>
      <c r="E29" s="89"/>
      <c r="F29" s="90"/>
      <c r="G29" s="88"/>
      <c r="H29" s="89"/>
      <c r="I29" s="90"/>
      <c r="J29" s="88"/>
      <c r="K29" s="89"/>
      <c r="L29" s="90"/>
      <c r="M29" s="88"/>
      <c r="N29" s="89"/>
      <c r="O29" s="90"/>
      <c r="P29" s="88"/>
      <c r="Q29" s="89"/>
      <c r="R29" s="90"/>
      <c r="S29" s="88"/>
      <c r="T29" s="89"/>
      <c r="U29" s="90"/>
      <c r="V29" s="88"/>
      <c r="W29" s="89"/>
      <c r="X29" s="90"/>
      <c r="Y29" s="88"/>
      <c r="Z29" s="89"/>
      <c r="AA29" s="90"/>
      <c r="AB29" s="88"/>
      <c r="AC29" s="89"/>
      <c r="AD29" s="90"/>
      <c r="AE29" s="88"/>
      <c r="AF29" s="89"/>
      <c r="AG29" s="90"/>
      <c r="AH29" s="88"/>
      <c r="AI29" s="89"/>
      <c r="AJ29" s="91"/>
      <c r="AK29" s="98"/>
      <c r="AL29" s="99"/>
      <c r="AM29" s="100"/>
      <c r="AN29" s="84"/>
      <c r="AO29" s="84"/>
    </row>
    <row r="30" spans="1:41" ht="15.5" x14ac:dyDescent="0.35">
      <c r="A30" s="85">
        <v>21</v>
      </c>
      <c r="B30" s="86"/>
      <c r="C30" s="87"/>
      <c r="D30" s="88"/>
      <c r="E30" s="89"/>
      <c r="F30" s="90"/>
      <c r="G30" s="88"/>
      <c r="H30" s="89"/>
      <c r="I30" s="90"/>
      <c r="J30" s="88"/>
      <c r="K30" s="89"/>
      <c r="L30" s="90"/>
      <c r="M30" s="88"/>
      <c r="N30" s="89"/>
      <c r="O30" s="90"/>
      <c r="P30" s="88"/>
      <c r="Q30" s="89"/>
      <c r="R30" s="90"/>
      <c r="S30" s="88"/>
      <c r="T30" s="89"/>
      <c r="U30" s="90"/>
      <c r="V30" s="88"/>
      <c r="W30" s="89"/>
      <c r="X30" s="90"/>
      <c r="Y30" s="88"/>
      <c r="Z30" s="89"/>
      <c r="AA30" s="90"/>
      <c r="AB30" s="88"/>
      <c r="AC30" s="89"/>
      <c r="AD30" s="90"/>
      <c r="AE30" s="88"/>
      <c r="AF30" s="89"/>
      <c r="AG30" s="90"/>
      <c r="AH30" s="88"/>
      <c r="AI30" s="89"/>
      <c r="AJ30" s="91"/>
      <c r="AK30" s="95"/>
      <c r="AL30" s="96"/>
      <c r="AM30" s="97"/>
      <c r="AN30" s="84"/>
      <c r="AO30" s="84"/>
    </row>
    <row r="31" spans="1:41" ht="15.5" x14ac:dyDescent="0.35">
      <c r="A31" s="85">
        <v>22</v>
      </c>
      <c r="B31" s="86"/>
      <c r="C31" s="87"/>
      <c r="D31" s="88"/>
      <c r="E31" s="89"/>
      <c r="F31" s="90"/>
      <c r="G31" s="88"/>
      <c r="H31" s="89"/>
      <c r="I31" s="90"/>
      <c r="J31" s="88"/>
      <c r="K31" s="89"/>
      <c r="L31" s="90"/>
      <c r="M31" s="88"/>
      <c r="N31" s="89"/>
      <c r="O31" s="90"/>
      <c r="P31" s="88"/>
      <c r="Q31" s="89"/>
      <c r="R31" s="90"/>
      <c r="S31" s="88"/>
      <c r="T31" s="89"/>
      <c r="U31" s="90"/>
      <c r="V31" s="88"/>
      <c r="W31" s="89"/>
      <c r="X31" s="90"/>
      <c r="Y31" s="88"/>
      <c r="Z31" s="89"/>
      <c r="AA31" s="90"/>
      <c r="AB31" s="88"/>
      <c r="AC31" s="89"/>
      <c r="AD31" s="90"/>
      <c r="AE31" s="88"/>
      <c r="AF31" s="89"/>
      <c r="AG31" s="90"/>
      <c r="AH31" s="88"/>
      <c r="AI31" s="89"/>
      <c r="AJ31" s="91"/>
      <c r="AK31" s="98"/>
      <c r="AL31" s="99"/>
      <c r="AM31" s="100"/>
      <c r="AN31" s="84"/>
      <c r="AO31" s="84"/>
    </row>
    <row r="32" spans="1:41" ht="15.5" x14ac:dyDescent="0.35">
      <c r="A32" s="85">
        <v>23</v>
      </c>
      <c r="B32" s="86"/>
      <c r="C32" s="87"/>
      <c r="D32" s="88"/>
      <c r="E32" s="89"/>
      <c r="F32" s="90"/>
      <c r="G32" s="88"/>
      <c r="H32" s="89"/>
      <c r="I32" s="90"/>
      <c r="J32" s="88"/>
      <c r="K32" s="89"/>
      <c r="L32" s="90"/>
      <c r="M32" s="88"/>
      <c r="N32" s="89"/>
      <c r="O32" s="90"/>
      <c r="P32" s="88"/>
      <c r="Q32" s="89"/>
      <c r="R32" s="90"/>
      <c r="S32" s="88"/>
      <c r="T32" s="89"/>
      <c r="U32" s="90"/>
      <c r="V32" s="88"/>
      <c r="W32" s="89"/>
      <c r="X32" s="90"/>
      <c r="Y32" s="88"/>
      <c r="Z32" s="89"/>
      <c r="AA32" s="90"/>
      <c r="AB32" s="88"/>
      <c r="AC32" s="89"/>
      <c r="AD32" s="90"/>
      <c r="AE32" s="88"/>
      <c r="AF32" s="89"/>
      <c r="AG32" s="90"/>
      <c r="AH32" s="88"/>
      <c r="AI32" s="89"/>
      <c r="AJ32" s="91"/>
      <c r="AK32" s="95"/>
      <c r="AL32" s="96"/>
      <c r="AM32" s="97"/>
      <c r="AN32" s="84"/>
      <c r="AO32" s="84"/>
    </row>
    <row r="33" spans="1:44" ht="15.5" x14ac:dyDescent="0.35">
      <c r="A33" s="85">
        <v>24</v>
      </c>
      <c r="B33" s="86"/>
      <c r="C33" s="87"/>
      <c r="D33" s="88"/>
      <c r="E33" s="89"/>
      <c r="F33" s="90"/>
      <c r="G33" s="88"/>
      <c r="H33" s="89"/>
      <c r="I33" s="90"/>
      <c r="J33" s="88"/>
      <c r="K33" s="89"/>
      <c r="L33" s="90"/>
      <c r="M33" s="88"/>
      <c r="N33" s="89"/>
      <c r="O33" s="90"/>
      <c r="P33" s="88"/>
      <c r="Q33" s="89"/>
      <c r="R33" s="90"/>
      <c r="S33" s="88"/>
      <c r="T33" s="89"/>
      <c r="U33" s="90"/>
      <c r="V33" s="88"/>
      <c r="W33" s="89"/>
      <c r="X33" s="90"/>
      <c r="Y33" s="88"/>
      <c r="Z33" s="89"/>
      <c r="AA33" s="90"/>
      <c r="AB33" s="88"/>
      <c r="AC33" s="89"/>
      <c r="AD33" s="90"/>
      <c r="AE33" s="88"/>
      <c r="AF33" s="89"/>
      <c r="AG33" s="90"/>
      <c r="AH33" s="88"/>
      <c r="AI33" s="89"/>
      <c r="AJ33" s="91"/>
      <c r="AK33" s="98"/>
      <c r="AL33" s="99"/>
      <c r="AM33" s="100"/>
      <c r="AN33" s="84"/>
      <c r="AO33" s="84"/>
    </row>
    <row r="34" spans="1:44" ht="15.5" x14ac:dyDescent="0.35">
      <c r="A34" s="85">
        <v>25</v>
      </c>
      <c r="B34" s="86"/>
      <c r="C34" s="87"/>
      <c r="D34" s="88"/>
      <c r="E34" s="89"/>
      <c r="F34" s="90"/>
      <c r="G34" s="88"/>
      <c r="H34" s="89"/>
      <c r="I34" s="90"/>
      <c r="J34" s="88"/>
      <c r="K34" s="89"/>
      <c r="L34" s="90"/>
      <c r="M34" s="88"/>
      <c r="N34" s="89"/>
      <c r="O34" s="90"/>
      <c r="P34" s="88"/>
      <c r="Q34" s="89"/>
      <c r="R34" s="90"/>
      <c r="S34" s="88"/>
      <c r="T34" s="89"/>
      <c r="U34" s="90"/>
      <c r="V34" s="88"/>
      <c r="W34" s="89"/>
      <c r="X34" s="90"/>
      <c r="Y34" s="88"/>
      <c r="Z34" s="89"/>
      <c r="AA34" s="90"/>
      <c r="AB34" s="88"/>
      <c r="AC34" s="89"/>
      <c r="AD34" s="90"/>
      <c r="AE34" s="88"/>
      <c r="AF34" s="89"/>
      <c r="AG34" s="90"/>
      <c r="AH34" s="88"/>
      <c r="AI34" s="89"/>
      <c r="AJ34" s="91"/>
      <c r="AK34" s="95"/>
      <c r="AL34" s="96"/>
      <c r="AM34" s="97"/>
      <c r="AN34" s="84"/>
      <c r="AO34" s="84"/>
    </row>
    <row r="35" spans="1:44" ht="15.5" x14ac:dyDescent="0.35">
      <c r="A35" s="85">
        <v>26</v>
      </c>
      <c r="B35" s="86"/>
      <c r="C35" s="87"/>
      <c r="D35" s="88"/>
      <c r="E35" s="89"/>
      <c r="F35" s="90"/>
      <c r="G35" s="88"/>
      <c r="H35" s="89"/>
      <c r="I35" s="90"/>
      <c r="J35" s="88"/>
      <c r="K35" s="89"/>
      <c r="L35" s="90"/>
      <c r="M35" s="88"/>
      <c r="N35" s="89"/>
      <c r="O35" s="90"/>
      <c r="P35" s="88"/>
      <c r="Q35" s="89"/>
      <c r="R35" s="90"/>
      <c r="S35" s="88"/>
      <c r="T35" s="89"/>
      <c r="U35" s="90"/>
      <c r="V35" s="88"/>
      <c r="W35" s="89"/>
      <c r="X35" s="90"/>
      <c r="Y35" s="88"/>
      <c r="Z35" s="89"/>
      <c r="AA35" s="90"/>
      <c r="AB35" s="88"/>
      <c r="AC35" s="89"/>
      <c r="AD35" s="90"/>
      <c r="AE35" s="88"/>
      <c r="AF35" s="89"/>
      <c r="AG35" s="90"/>
      <c r="AH35" s="88"/>
      <c r="AI35" s="89"/>
      <c r="AJ35" s="91"/>
      <c r="AK35" s="98"/>
      <c r="AL35" s="99"/>
      <c r="AM35" s="100"/>
      <c r="AN35" s="84"/>
      <c r="AO35" s="84"/>
    </row>
    <row r="36" spans="1:44" ht="15.5" x14ac:dyDescent="0.35">
      <c r="A36" s="85">
        <v>27</v>
      </c>
      <c r="B36" s="86"/>
      <c r="C36" s="87"/>
      <c r="D36" s="88"/>
      <c r="E36" s="89"/>
      <c r="F36" s="90"/>
      <c r="G36" s="88"/>
      <c r="H36" s="89"/>
      <c r="I36" s="90"/>
      <c r="J36" s="88"/>
      <c r="K36" s="89"/>
      <c r="L36" s="90"/>
      <c r="M36" s="88"/>
      <c r="N36" s="89"/>
      <c r="O36" s="90"/>
      <c r="P36" s="88"/>
      <c r="Q36" s="89"/>
      <c r="R36" s="90"/>
      <c r="S36" s="88"/>
      <c r="T36" s="89"/>
      <c r="U36" s="90"/>
      <c r="V36" s="88"/>
      <c r="W36" s="89"/>
      <c r="X36" s="90"/>
      <c r="Y36" s="88"/>
      <c r="Z36" s="89"/>
      <c r="AA36" s="90"/>
      <c r="AB36" s="88"/>
      <c r="AC36" s="89"/>
      <c r="AD36" s="90"/>
      <c r="AE36" s="88"/>
      <c r="AF36" s="89"/>
      <c r="AG36" s="90"/>
      <c r="AH36" s="88"/>
      <c r="AI36" s="89"/>
      <c r="AJ36" s="91"/>
      <c r="AK36" s="95"/>
      <c r="AL36" s="96"/>
      <c r="AM36" s="97"/>
      <c r="AN36" s="84"/>
      <c r="AO36" s="84"/>
    </row>
    <row r="37" spans="1:44" ht="15.5" x14ac:dyDescent="0.35">
      <c r="A37" s="85">
        <v>28</v>
      </c>
      <c r="B37" s="86"/>
      <c r="C37" s="87"/>
      <c r="D37" s="88"/>
      <c r="E37" s="89"/>
      <c r="F37" s="105"/>
      <c r="G37" s="88"/>
      <c r="H37" s="89"/>
      <c r="I37" s="105"/>
      <c r="J37" s="88"/>
      <c r="K37" s="89"/>
      <c r="L37" s="105"/>
      <c r="M37" s="88"/>
      <c r="N37" s="89"/>
      <c r="O37" s="105"/>
      <c r="P37" s="88"/>
      <c r="Q37" s="89"/>
      <c r="R37" s="105"/>
      <c r="S37" s="88"/>
      <c r="T37" s="89"/>
      <c r="U37" s="105"/>
      <c r="V37" s="88"/>
      <c r="W37" s="89"/>
      <c r="X37" s="105"/>
      <c r="Y37" s="88"/>
      <c r="Z37" s="89"/>
      <c r="AA37" s="105"/>
      <c r="AB37" s="88"/>
      <c r="AC37" s="89"/>
      <c r="AD37" s="105"/>
      <c r="AE37" s="88"/>
      <c r="AF37" s="89"/>
      <c r="AG37" s="105"/>
      <c r="AH37" s="88"/>
      <c r="AI37" s="89"/>
      <c r="AJ37" s="106"/>
      <c r="AK37" s="98"/>
      <c r="AL37" s="99"/>
      <c r="AM37" s="100"/>
      <c r="AN37" s="84"/>
      <c r="AO37" s="84"/>
    </row>
    <row r="38" spans="1:44" ht="15.5" x14ac:dyDescent="0.35">
      <c r="A38" s="85">
        <v>29</v>
      </c>
      <c r="B38" s="86"/>
      <c r="C38" s="87"/>
      <c r="D38" s="88"/>
      <c r="E38" s="89"/>
      <c r="F38" s="90"/>
      <c r="G38" s="88"/>
      <c r="H38" s="89"/>
      <c r="I38" s="90"/>
      <c r="J38" s="88"/>
      <c r="K38" s="89"/>
      <c r="L38" s="90"/>
      <c r="M38" s="88"/>
      <c r="N38" s="89"/>
      <c r="O38" s="90"/>
      <c r="P38" s="88"/>
      <c r="Q38" s="89"/>
      <c r="R38" s="90"/>
      <c r="S38" s="88"/>
      <c r="T38" s="89"/>
      <c r="U38" s="90"/>
      <c r="V38" s="88"/>
      <c r="W38" s="89"/>
      <c r="X38" s="90"/>
      <c r="Y38" s="88"/>
      <c r="Z38" s="89"/>
      <c r="AA38" s="90"/>
      <c r="AB38" s="88"/>
      <c r="AC38" s="89"/>
      <c r="AD38" s="90"/>
      <c r="AE38" s="88"/>
      <c r="AF38" s="89"/>
      <c r="AG38" s="90"/>
      <c r="AH38" s="88"/>
      <c r="AI38" s="89"/>
      <c r="AJ38" s="91"/>
      <c r="AK38" s="95"/>
      <c r="AL38" s="96"/>
      <c r="AM38" s="97"/>
      <c r="AN38" s="84"/>
      <c r="AO38" s="84"/>
    </row>
    <row r="39" spans="1:44" ht="15.5" x14ac:dyDescent="0.35">
      <c r="A39" s="85">
        <v>30</v>
      </c>
      <c r="B39" s="86"/>
      <c r="C39" s="87"/>
      <c r="D39" s="88"/>
      <c r="E39" s="89"/>
      <c r="F39" s="90"/>
      <c r="G39" s="88"/>
      <c r="H39" s="89"/>
      <c r="I39" s="90"/>
      <c r="J39" s="88"/>
      <c r="K39" s="89"/>
      <c r="L39" s="90"/>
      <c r="M39" s="88"/>
      <c r="N39" s="89"/>
      <c r="O39" s="90"/>
      <c r="P39" s="88"/>
      <c r="Q39" s="89"/>
      <c r="R39" s="90"/>
      <c r="S39" s="88"/>
      <c r="T39" s="89"/>
      <c r="U39" s="90"/>
      <c r="V39" s="88"/>
      <c r="W39" s="89"/>
      <c r="X39" s="90"/>
      <c r="Y39" s="88"/>
      <c r="Z39" s="89"/>
      <c r="AA39" s="90"/>
      <c r="AB39" s="88"/>
      <c r="AC39" s="89"/>
      <c r="AD39" s="90"/>
      <c r="AE39" s="88"/>
      <c r="AF39" s="89"/>
      <c r="AG39" s="90"/>
      <c r="AH39" s="88"/>
      <c r="AI39" s="89"/>
      <c r="AJ39" s="91"/>
      <c r="AK39" s="98"/>
      <c r="AL39" s="99"/>
      <c r="AM39" s="100"/>
      <c r="AN39" s="84"/>
      <c r="AO39" s="84"/>
    </row>
    <row r="40" spans="1:44" ht="15.5" x14ac:dyDescent="0.35">
      <c r="A40" s="85">
        <v>31</v>
      </c>
      <c r="B40" s="86"/>
      <c r="C40" s="87"/>
      <c r="D40" s="88"/>
      <c r="E40" s="89"/>
      <c r="F40" s="90"/>
      <c r="G40" s="88"/>
      <c r="H40" s="89"/>
      <c r="I40" s="90"/>
      <c r="J40" s="88"/>
      <c r="K40" s="89"/>
      <c r="L40" s="90"/>
      <c r="M40" s="88"/>
      <c r="N40" s="89"/>
      <c r="O40" s="90"/>
      <c r="P40" s="88"/>
      <c r="Q40" s="89"/>
      <c r="R40" s="90"/>
      <c r="S40" s="88"/>
      <c r="T40" s="89"/>
      <c r="U40" s="90"/>
      <c r="V40" s="88"/>
      <c r="W40" s="89"/>
      <c r="X40" s="90"/>
      <c r="Y40" s="88"/>
      <c r="Z40" s="89"/>
      <c r="AA40" s="90"/>
      <c r="AB40" s="88"/>
      <c r="AC40" s="89"/>
      <c r="AD40" s="90"/>
      <c r="AE40" s="88"/>
      <c r="AF40" s="89"/>
      <c r="AG40" s="90"/>
      <c r="AH40" s="88"/>
      <c r="AI40" s="89"/>
      <c r="AJ40" s="91"/>
      <c r="AK40" s="95"/>
      <c r="AL40" s="96"/>
      <c r="AM40" s="97"/>
      <c r="AN40" s="84"/>
      <c r="AO40" s="84"/>
    </row>
    <row r="41" spans="1:44" ht="16" thickBot="1" x14ac:dyDescent="0.4">
      <c r="A41" s="107">
        <v>32</v>
      </c>
      <c r="B41" s="108"/>
      <c r="C41" s="109"/>
      <c r="D41" s="110"/>
      <c r="E41" s="111"/>
      <c r="F41" s="112"/>
      <c r="G41" s="110"/>
      <c r="H41" s="111"/>
      <c r="I41" s="112"/>
      <c r="J41" s="110"/>
      <c r="K41" s="111"/>
      <c r="L41" s="112"/>
      <c r="M41" s="110"/>
      <c r="N41" s="111"/>
      <c r="O41" s="112"/>
      <c r="P41" s="110"/>
      <c r="Q41" s="111"/>
      <c r="R41" s="112"/>
      <c r="S41" s="110"/>
      <c r="T41" s="111"/>
      <c r="U41" s="112"/>
      <c r="V41" s="110"/>
      <c r="W41" s="111"/>
      <c r="X41" s="112"/>
      <c r="Y41" s="110"/>
      <c r="Z41" s="111"/>
      <c r="AA41" s="112"/>
      <c r="AB41" s="110"/>
      <c r="AC41" s="111"/>
      <c r="AD41" s="112"/>
      <c r="AE41" s="110"/>
      <c r="AF41" s="111"/>
      <c r="AG41" s="112"/>
      <c r="AH41" s="110"/>
      <c r="AI41" s="111"/>
      <c r="AJ41" s="113"/>
      <c r="AK41" s="114"/>
      <c r="AL41" s="115"/>
      <c r="AM41" s="116"/>
      <c r="AN41" s="117"/>
      <c r="AO41" s="117"/>
    </row>
    <row r="42" spans="1:44" ht="9" customHeight="1" x14ac:dyDescent="0.35">
      <c r="E42" s="28"/>
      <c r="F42" s="28"/>
      <c r="G42" s="28"/>
      <c r="H42" s="28"/>
      <c r="AI42" s="27"/>
      <c r="AJ42" s="27"/>
      <c r="AK42" s="27"/>
    </row>
    <row r="43" spans="1:44" ht="16" thickBot="1" x14ac:dyDescent="0.4">
      <c r="B43" s="64" t="s">
        <v>190</v>
      </c>
      <c r="C43" s="64"/>
      <c r="D43" s="64"/>
      <c r="E43" s="64"/>
      <c r="F43" s="64"/>
      <c r="G43" s="64"/>
      <c r="H43" s="64"/>
      <c r="I43" s="67"/>
      <c r="J43" s="67"/>
      <c r="K43" s="67"/>
      <c r="L43" s="67"/>
      <c r="M43" s="67"/>
      <c r="N43" s="65" t="s">
        <v>224</v>
      </c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5"/>
      <c r="AJ43" s="65" t="s">
        <v>209</v>
      </c>
      <c r="AK43" s="65"/>
      <c r="AL43" s="67"/>
      <c r="AM43" s="67"/>
      <c r="AN43" s="67"/>
      <c r="AO43" s="67"/>
      <c r="AP43" s="67"/>
    </row>
    <row r="44" spans="1:44" ht="15.5" x14ac:dyDescent="0.35">
      <c r="B44" s="68" t="s">
        <v>320</v>
      </c>
      <c r="C44" s="64"/>
      <c r="D44" s="64"/>
      <c r="E44" s="814" t="s">
        <v>236</v>
      </c>
      <c r="F44" s="814"/>
      <c r="G44" s="64"/>
      <c r="H44" s="64"/>
      <c r="I44" s="67"/>
      <c r="J44" s="67"/>
      <c r="K44" s="67"/>
      <c r="L44" s="67"/>
      <c r="M44" s="67"/>
      <c r="N44" s="67" t="s">
        <v>247</v>
      </c>
      <c r="O44" s="67" t="s">
        <v>248</v>
      </c>
      <c r="P44" s="67"/>
      <c r="Q44" s="67"/>
      <c r="R44" s="67"/>
      <c r="S44" s="67" t="s">
        <v>237</v>
      </c>
      <c r="T44" s="67" t="s">
        <v>249</v>
      </c>
      <c r="U44" s="67"/>
      <c r="V44" s="67"/>
      <c r="W44" s="67"/>
      <c r="X44" s="67"/>
      <c r="Y44" s="118"/>
      <c r="Z44" s="815" t="s">
        <v>250</v>
      </c>
      <c r="AA44" s="815"/>
      <c r="AB44" s="815"/>
      <c r="AC44" s="815"/>
      <c r="AD44" s="816"/>
      <c r="AE44" s="67"/>
      <c r="AF44" s="67"/>
      <c r="AG44" s="67"/>
      <c r="AH44" s="67"/>
      <c r="AI44" s="64"/>
      <c r="AJ44" s="64" t="s">
        <v>193</v>
      </c>
      <c r="AK44" s="64"/>
      <c r="AL44" s="67"/>
      <c r="AM44" s="67"/>
      <c r="AN44" s="67"/>
      <c r="AO44" s="67"/>
      <c r="AP44" s="67"/>
    </row>
    <row r="45" spans="1:44" ht="15.5" x14ac:dyDescent="0.35">
      <c r="B45" s="65"/>
      <c r="C45" s="65"/>
      <c r="D45" s="65"/>
      <c r="E45" s="811" t="s">
        <v>246</v>
      </c>
      <c r="F45" s="811"/>
      <c r="G45" s="65" t="s">
        <v>71</v>
      </c>
      <c r="H45" s="65" t="s">
        <v>251</v>
      </c>
      <c r="I45" s="67"/>
      <c r="J45" s="67"/>
      <c r="K45" s="67"/>
      <c r="L45" s="67"/>
      <c r="M45" s="67"/>
      <c r="N45" s="67" t="s">
        <v>252</v>
      </c>
      <c r="O45" s="67" t="s">
        <v>253</v>
      </c>
      <c r="P45" s="67"/>
      <c r="Q45" s="67"/>
      <c r="R45" s="67"/>
      <c r="S45" s="67" t="s">
        <v>4</v>
      </c>
      <c r="T45" s="67" t="s">
        <v>254</v>
      </c>
      <c r="U45" s="67"/>
      <c r="V45" s="67"/>
      <c r="W45" s="67"/>
      <c r="X45" s="67"/>
      <c r="Y45" s="119" t="s">
        <v>255</v>
      </c>
      <c r="Z45" s="67"/>
      <c r="AA45" s="67"/>
      <c r="AB45" s="67"/>
      <c r="AC45" s="67"/>
      <c r="AD45" s="120"/>
      <c r="AE45" s="67"/>
      <c r="AF45" s="67"/>
      <c r="AG45" s="67"/>
      <c r="AH45" s="67"/>
      <c r="AI45" s="65"/>
      <c r="AJ45" s="67"/>
      <c r="AK45" s="65"/>
      <c r="AL45" s="65"/>
      <c r="AM45" s="67"/>
      <c r="AN45" s="67"/>
      <c r="AO45" s="67"/>
      <c r="AP45" s="67"/>
    </row>
    <row r="46" spans="1:44" ht="16" thickBot="1" x14ac:dyDescent="0.4">
      <c r="B46" s="65"/>
      <c r="C46" s="65"/>
      <c r="D46" s="65"/>
      <c r="E46" s="811" t="s">
        <v>207</v>
      </c>
      <c r="F46" s="811"/>
      <c r="G46" s="65" t="s">
        <v>71</v>
      </c>
      <c r="H46" s="65" t="s">
        <v>256</v>
      </c>
      <c r="I46" s="67"/>
      <c r="J46" s="67"/>
      <c r="K46" s="67"/>
      <c r="L46" s="67"/>
      <c r="M46" s="67"/>
      <c r="N46" s="67" t="s">
        <v>238</v>
      </c>
      <c r="O46" s="67" t="s">
        <v>257</v>
      </c>
      <c r="P46" s="67"/>
      <c r="Q46" s="67"/>
      <c r="R46" s="67"/>
      <c r="S46" s="67" t="s">
        <v>239</v>
      </c>
      <c r="T46" s="67" t="s">
        <v>258</v>
      </c>
      <c r="U46" s="67"/>
      <c r="V46" s="67"/>
      <c r="W46" s="67"/>
      <c r="X46" s="67"/>
      <c r="Y46" s="121"/>
      <c r="Z46" s="812">
        <v>100</v>
      </c>
      <c r="AA46" s="812"/>
      <c r="AB46" s="812"/>
      <c r="AC46" s="812"/>
      <c r="AD46" s="813"/>
      <c r="AE46" s="67"/>
      <c r="AF46" s="67"/>
      <c r="AG46" s="67"/>
      <c r="AH46" s="67"/>
      <c r="AI46" s="65"/>
      <c r="AJ46" s="67"/>
      <c r="AK46" s="65"/>
      <c r="AL46" s="65"/>
      <c r="AM46" s="67"/>
      <c r="AN46" s="67"/>
      <c r="AO46" s="67"/>
      <c r="AP46" s="67"/>
    </row>
    <row r="47" spans="1:44" ht="15.5" x14ac:dyDescent="0.35">
      <c r="B47" s="122" t="s">
        <v>292</v>
      </c>
      <c r="C47" s="122"/>
      <c r="D47" s="122"/>
      <c r="E47" s="68" t="s">
        <v>259</v>
      </c>
      <c r="F47" s="67"/>
      <c r="G47" s="68"/>
      <c r="H47" s="68"/>
      <c r="I47" s="67"/>
      <c r="J47" s="67"/>
      <c r="K47" s="67"/>
      <c r="L47" s="67"/>
      <c r="M47" s="67"/>
      <c r="N47" s="67" t="s">
        <v>3</v>
      </c>
      <c r="O47" s="67" t="s">
        <v>260</v>
      </c>
      <c r="P47" s="67"/>
      <c r="Q47" s="67"/>
      <c r="R47" s="67"/>
      <c r="S47" s="67" t="s">
        <v>240</v>
      </c>
      <c r="T47" s="67" t="s">
        <v>261</v>
      </c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4"/>
      <c r="AJ47" s="123"/>
      <c r="AK47" s="64"/>
      <c r="AL47" s="64"/>
      <c r="AM47" s="67"/>
      <c r="AN47" s="67"/>
      <c r="AO47" s="67"/>
      <c r="AP47" s="67"/>
      <c r="AR47" s="29"/>
    </row>
    <row r="48" spans="1:44" ht="15.5" x14ac:dyDescent="0.35">
      <c r="B48" s="64" t="s">
        <v>166</v>
      </c>
      <c r="C48" s="64"/>
      <c r="D48" s="64"/>
      <c r="E48" s="68"/>
      <c r="F48" s="67"/>
      <c r="G48" s="68"/>
      <c r="H48" s="68"/>
      <c r="I48" s="67"/>
      <c r="J48" s="67"/>
      <c r="K48" s="67"/>
      <c r="L48" s="67"/>
      <c r="M48" s="67"/>
      <c r="N48" s="67" t="s">
        <v>241</v>
      </c>
      <c r="O48" s="67" t="s">
        <v>262</v>
      </c>
      <c r="P48" s="67"/>
      <c r="Q48" s="67"/>
      <c r="R48" s="67"/>
      <c r="S48" s="67" t="s">
        <v>240</v>
      </c>
      <c r="T48" s="67" t="s">
        <v>263</v>
      </c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4"/>
      <c r="AJ48" s="67" t="s">
        <v>171</v>
      </c>
      <c r="AK48" s="64"/>
      <c r="AL48" s="64"/>
      <c r="AM48" s="67"/>
      <c r="AN48" s="67"/>
      <c r="AO48" s="67"/>
      <c r="AP48" s="67"/>
    </row>
    <row r="49" spans="2:42" ht="15.5" x14ac:dyDescent="0.35">
      <c r="B49" s="68"/>
      <c r="C49" s="68"/>
      <c r="D49" s="68"/>
      <c r="E49" s="68"/>
      <c r="F49" s="68"/>
      <c r="G49" s="68"/>
      <c r="H49" s="68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4"/>
      <c r="AJ49" s="64"/>
      <c r="AK49" s="64"/>
      <c r="AL49" s="64"/>
      <c r="AM49" s="67"/>
      <c r="AN49" s="67"/>
      <c r="AO49" s="67"/>
      <c r="AP49" s="67"/>
    </row>
    <row r="50" spans="2:42" ht="15.5" x14ac:dyDescent="0.35">
      <c r="B50" s="23"/>
      <c r="C50" s="23"/>
      <c r="D50" s="23"/>
      <c r="E50" s="23"/>
      <c r="F50" s="23"/>
      <c r="G50" s="23"/>
      <c r="H50" s="23"/>
      <c r="AI50" s="28"/>
      <c r="AJ50" s="28"/>
      <c r="AK50" s="28"/>
      <c r="AL50" s="28"/>
    </row>
  </sheetData>
  <mergeCells count="38">
    <mergeCell ref="E46:F46"/>
    <mergeCell ref="Z46:AD46"/>
    <mergeCell ref="AE8:AG8"/>
    <mergeCell ref="AH8:AJ8"/>
    <mergeCell ref="E44:F44"/>
    <mergeCell ref="Z44:AD44"/>
    <mergeCell ref="E45:F45"/>
    <mergeCell ref="AH7:AJ7"/>
    <mergeCell ref="AK7:AM9"/>
    <mergeCell ref="D8:F8"/>
    <mergeCell ref="G8:I8"/>
    <mergeCell ref="J8:L8"/>
    <mergeCell ref="M8:O8"/>
    <mergeCell ref="P8:R8"/>
    <mergeCell ref="V8:X8"/>
    <mergeCell ref="Y8:AA8"/>
    <mergeCell ref="AB8:AD8"/>
    <mergeCell ref="AM1:AO1"/>
    <mergeCell ref="AP1:AR1"/>
    <mergeCell ref="A2:AL2"/>
    <mergeCell ref="AM2:AO2"/>
    <mergeCell ref="AP2:AR2"/>
    <mergeCell ref="A6:A9"/>
    <mergeCell ref="B6:B9"/>
    <mergeCell ref="C6:AO6"/>
    <mergeCell ref="D7:F7"/>
    <mergeCell ref="G7:I7"/>
    <mergeCell ref="AN7:AN9"/>
    <mergeCell ref="AO7:AO9"/>
    <mergeCell ref="J7:L7"/>
    <mergeCell ref="M7:O7"/>
    <mergeCell ref="P7:R7"/>
    <mergeCell ref="S7:U7"/>
    <mergeCell ref="V7:X7"/>
    <mergeCell ref="Y7:AA7"/>
    <mergeCell ref="S8:U8"/>
    <mergeCell ref="AB7:AD7"/>
    <mergeCell ref="AE7:AG7"/>
  </mergeCells>
  <pageMargins left="0.78740157480314965" right="1.3779527559055118" top="0.31496062992125984" bottom="0.19685039370078741" header="0.31496062992125984" footer="0.31496062992125984"/>
  <pageSetup paperSize="5" scale="70" orientation="landscape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55"/>
  <sheetViews>
    <sheetView zoomScale="75" zoomScaleNormal="75" workbookViewId="0">
      <selection activeCell="C7" sqref="C7"/>
    </sheetView>
  </sheetViews>
  <sheetFormatPr defaultColWidth="9.1796875" defaultRowHeight="14" x14ac:dyDescent="0.35"/>
  <cols>
    <col min="1" max="1" width="4.26953125" style="67" customWidth="1"/>
    <col min="2" max="2" width="22.7265625" style="67" customWidth="1"/>
    <col min="3" max="3" width="7.1796875" style="67" customWidth="1"/>
    <col min="4" max="4" width="3.54296875" style="67" customWidth="1"/>
    <col min="5" max="7" width="3.1796875" style="67" customWidth="1"/>
    <col min="8" max="9" width="3.7265625" style="67" customWidth="1"/>
    <col min="10" max="11" width="3.26953125" style="67" customWidth="1"/>
    <col min="12" max="12" width="3.7265625" style="67" customWidth="1"/>
    <col min="13" max="13" width="3.453125" style="67" customWidth="1"/>
    <col min="14" max="14" width="3.26953125" style="67" customWidth="1"/>
    <col min="15" max="15" width="3.1796875" style="67" customWidth="1"/>
    <col min="16" max="16" width="3.453125" style="67" customWidth="1"/>
    <col min="17" max="17" width="3.26953125" style="67" customWidth="1"/>
    <col min="18" max="18" width="3.1796875" style="67" customWidth="1"/>
    <col min="19" max="19" width="3.7265625" style="67" customWidth="1"/>
    <col min="20" max="21" width="3.453125" style="67" customWidth="1"/>
    <col min="22" max="22" width="3.1796875" style="67" customWidth="1"/>
    <col min="23" max="23" width="3.7265625" style="67" customWidth="1"/>
    <col min="24" max="24" width="3.54296875" style="67" customWidth="1"/>
    <col min="25" max="26" width="3.453125" style="67" customWidth="1"/>
    <col min="27" max="27" width="4.81640625" style="67" customWidth="1"/>
    <col min="28" max="28" width="3.54296875" style="67" customWidth="1"/>
    <col min="29" max="29" width="3.26953125" style="67" customWidth="1"/>
    <col min="30" max="30" width="3.54296875" style="67" customWidth="1"/>
    <col min="31" max="32" width="3.7265625" style="67" customWidth="1"/>
    <col min="33" max="33" width="3.54296875" style="67" customWidth="1"/>
    <col min="34" max="35" width="3.453125" style="67" customWidth="1"/>
    <col min="36" max="36" width="4.81640625" style="67" customWidth="1"/>
    <col min="37" max="37" width="3.453125" style="67" customWidth="1"/>
    <col min="38" max="38" width="3.26953125" style="67" customWidth="1"/>
    <col min="39" max="39" width="3.54296875" style="67" customWidth="1"/>
    <col min="40" max="40" width="2" style="67" customWidth="1"/>
    <col min="41" max="41" width="2.26953125" style="67" customWidth="1"/>
    <col min="42" max="42" width="4.54296875" style="67" customWidth="1"/>
    <col min="43" max="43" width="13.453125" style="67" customWidth="1"/>
    <col min="44" max="16384" width="9.1796875" style="67"/>
  </cols>
  <sheetData>
    <row r="1" spans="1:47" x14ac:dyDescent="0.35">
      <c r="AP1" s="124"/>
      <c r="AQ1" s="823" t="s">
        <v>458</v>
      </c>
      <c r="AR1" s="824"/>
      <c r="AT1" s="825"/>
      <c r="AU1" s="825"/>
    </row>
    <row r="2" spans="1:47" ht="15" x14ac:dyDescent="0.35">
      <c r="A2" s="799" t="s">
        <v>264</v>
      </c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  <c r="N2" s="799"/>
      <c r="O2" s="799"/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799"/>
      <c r="AA2" s="799"/>
      <c r="AB2" s="799"/>
      <c r="AC2" s="799"/>
      <c r="AD2" s="799"/>
      <c r="AE2" s="799"/>
      <c r="AF2" s="799"/>
      <c r="AG2" s="799"/>
      <c r="AH2" s="799"/>
      <c r="AI2" s="799"/>
      <c r="AJ2" s="799"/>
      <c r="AK2" s="799"/>
      <c r="AL2" s="799"/>
      <c r="AM2" s="799"/>
      <c r="AN2" s="799"/>
      <c r="AO2" s="799"/>
      <c r="AP2" s="125"/>
      <c r="AQ2" s="629">
        <v>41783</v>
      </c>
      <c r="AR2" s="629"/>
      <c r="AT2" s="826"/>
      <c r="AU2" s="826"/>
    </row>
    <row r="3" spans="1:47" ht="8.25" customHeight="1" x14ac:dyDescent="0.35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</row>
    <row r="4" spans="1:47" ht="15.5" x14ac:dyDescent="0.35">
      <c r="A4" s="64" t="s">
        <v>234</v>
      </c>
      <c r="B4" s="64"/>
      <c r="C4" s="65"/>
      <c r="D4" s="66"/>
      <c r="E4" s="66"/>
      <c r="F4" s="64" t="s">
        <v>235</v>
      </c>
      <c r="H4" s="64"/>
      <c r="I4" s="64"/>
      <c r="J4" s="64"/>
      <c r="K4" s="64"/>
      <c r="L4" s="64" t="s">
        <v>668</v>
      </c>
      <c r="O4" s="64"/>
      <c r="P4" s="64"/>
      <c r="Q4" s="64"/>
      <c r="R4" s="64"/>
      <c r="S4" s="64"/>
      <c r="T4" s="64"/>
      <c r="U4" s="64"/>
      <c r="V4" s="64"/>
      <c r="W4" s="64" t="s">
        <v>202</v>
      </c>
      <c r="X4" s="66"/>
      <c r="Y4" s="66"/>
      <c r="Z4" s="64"/>
      <c r="AA4" s="64" t="s">
        <v>203</v>
      </c>
      <c r="AD4" s="64"/>
      <c r="AE4" s="64"/>
      <c r="AF4" s="64"/>
      <c r="AH4" s="64"/>
      <c r="AI4" s="64"/>
      <c r="AJ4" s="64"/>
      <c r="AK4" s="64"/>
      <c r="AM4" s="64"/>
      <c r="AN4" s="64"/>
      <c r="AO4" s="64"/>
      <c r="AP4" s="64"/>
      <c r="AQ4" s="68"/>
    </row>
    <row r="5" spans="1:47" ht="9" customHeight="1" thickBot="1" x14ac:dyDescent="0.4">
      <c r="A5" s="64"/>
      <c r="B5" s="64"/>
      <c r="C5" s="64"/>
      <c r="D5" s="65"/>
      <c r="E5" s="65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</row>
    <row r="6" spans="1:47" ht="14.15" customHeight="1" thickBot="1" x14ac:dyDescent="0.4">
      <c r="A6" s="780" t="s">
        <v>1</v>
      </c>
      <c r="B6" s="783" t="s">
        <v>293</v>
      </c>
      <c r="C6" s="817" t="s">
        <v>728</v>
      </c>
      <c r="D6" s="818"/>
      <c r="E6" s="818"/>
      <c r="F6" s="818"/>
      <c r="G6" s="818"/>
      <c r="H6" s="818"/>
      <c r="I6" s="818"/>
      <c r="J6" s="818"/>
      <c r="K6" s="818"/>
      <c r="L6" s="818"/>
      <c r="M6" s="818"/>
      <c r="N6" s="818"/>
      <c r="O6" s="818"/>
      <c r="P6" s="818"/>
      <c r="Q6" s="818"/>
      <c r="R6" s="818"/>
      <c r="S6" s="818"/>
      <c r="T6" s="818"/>
      <c r="U6" s="818"/>
      <c r="V6" s="818"/>
      <c r="W6" s="818"/>
      <c r="X6" s="818"/>
      <c r="Y6" s="818"/>
      <c r="Z6" s="818"/>
      <c r="AA6" s="818"/>
      <c r="AB6" s="818"/>
      <c r="AC6" s="818"/>
      <c r="AD6" s="818"/>
      <c r="AE6" s="818"/>
      <c r="AF6" s="818"/>
      <c r="AG6" s="818"/>
      <c r="AH6" s="818"/>
      <c r="AI6" s="818"/>
      <c r="AJ6" s="818"/>
      <c r="AK6" s="818"/>
      <c r="AL6" s="818"/>
      <c r="AM6" s="818"/>
      <c r="AN6" s="818"/>
      <c r="AO6" s="818"/>
      <c r="AP6" s="818"/>
      <c r="AQ6" s="818"/>
      <c r="AR6" s="819"/>
    </row>
    <row r="7" spans="1:47" ht="14.15" customHeight="1" thickBot="1" x14ac:dyDescent="0.4">
      <c r="A7" s="781"/>
      <c r="B7" s="784"/>
      <c r="C7" s="69" t="s">
        <v>244</v>
      </c>
      <c r="D7" s="820" t="s">
        <v>265</v>
      </c>
      <c r="E7" s="821"/>
      <c r="F7" s="822"/>
      <c r="G7" s="820" t="s">
        <v>266</v>
      </c>
      <c r="H7" s="821"/>
      <c r="I7" s="822"/>
      <c r="J7" s="820" t="s">
        <v>267</v>
      </c>
      <c r="K7" s="821"/>
      <c r="L7" s="822"/>
      <c r="M7" s="820" t="s">
        <v>268</v>
      </c>
      <c r="N7" s="821"/>
      <c r="O7" s="822"/>
      <c r="P7" s="820" t="s">
        <v>269</v>
      </c>
      <c r="Q7" s="821"/>
      <c r="R7" s="822"/>
      <c r="S7" s="820" t="s">
        <v>270</v>
      </c>
      <c r="T7" s="821"/>
      <c r="U7" s="822"/>
      <c r="V7" s="820" t="s">
        <v>271</v>
      </c>
      <c r="W7" s="821"/>
      <c r="X7" s="822"/>
      <c r="Y7" s="820" t="s">
        <v>272</v>
      </c>
      <c r="Z7" s="821"/>
      <c r="AA7" s="822"/>
      <c r="AB7" s="820" t="s">
        <v>273</v>
      </c>
      <c r="AC7" s="821"/>
      <c r="AD7" s="822"/>
      <c r="AE7" s="820" t="s">
        <v>274</v>
      </c>
      <c r="AF7" s="821"/>
      <c r="AG7" s="822"/>
      <c r="AH7" s="820" t="s">
        <v>275</v>
      </c>
      <c r="AI7" s="821"/>
      <c r="AJ7" s="822"/>
      <c r="AK7" s="820" t="s">
        <v>276</v>
      </c>
      <c r="AL7" s="821"/>
      <c r="AM7" s="822"/>
      <c r="AN7" s="803" t="s">
        <v>245</v>
      </c>
      <c r="AO7" s="804"/>
      <c r="AP7" s="805"/>
      <c r="AQ7" s="791" t="s">
        <v>277</v>
      </c>
      <c r="AR7" s="791" t="s">
        <v>242</v>
      </c>
    </row>
    <row r="8" spans="1:47" ht="14.15" customHeight="1" thickBot="1" x14ac:dyDescent="0.4">
      <c r="A8" s="781"/>
      <c r="B8" s="784"/>
      <c r="C8" s="69" t="s">
        <v>206</v>
      </c>
      <c r="D8" s="794"/>
      <c r="E8" s="795"/>
      <c r="F8" s="796"/>
      <c r="G8" s="794"/>
      <c r="H8" s="795"/>
      <c r="I8" s="796"/>
      <c r="J8" s="794"/>
      <c r="K8" s="795"/>
      <c r="L8" s="796"/>
      <c r="M8" s="794"/>
      <c r="N8" s="795"/>
      <c r="O8" s="796"/>
      <c r="P8" s="794"/>
      <c r="Q8" s="795"/>
      <c r="R8" s="796"/>
      <c r="S8" s="794"/>
      <c r="T8" s="795"/>
      <c r="U8" s="796"/>
      <c r="V8" s="794"/>
      <c r="W8" s="795"/>
      <c r="X8" s="796"/>
      <c r="Y8" s="794"/>
      <c r="Z8" s="795"/>
      <c r="AA8" s="796"/>
      <c r="AB8" s="794"/>
      <c r="AC8" s="795"/>
      <c r="AD8" s="796"/>
      <c r="AE8" s="794"/>
      <c r="AF8" s="795"/>
      <c r="AG8" s="796"/>
      <c r="AH8" s="794"/>
      <c r="AI8" s="795"/>
      <c r="AJ8" s="796"/>
      <c r="AK8" s="794"/>
      <c r="AL8" s="795"/>
      <c r="AM8" s="796"/>
      <c r="AN8" s="806"/>
      <c r="AO8" s="799"/>
      <c r="AP8" s="807"/>
      <c r="AQ8" s="792"/>
      <c r="AR8" s="792"/>
    </row>
    <row r="9" spans="1:47" ht="14.15" customHeight="1" thickBot="1" x14ac:dyDescent="0.4">
      <c r="A9" s="782"/>
      <c r="B9" s="785"/>
      <c r="C9" s="69" t="s">
        <v>32</v>
      </c>
      <c r="D9" s="70" t="s">
        <v>278</v>
      </c>
      <c r="E9" s="71" t="s">
        <v>279</v>
      </c>
      <c r="F9" s="72" t="s">
        <v>280</v>
      </c>
      <c r="G9" s="70" t="s">
        <v>278</v>
      </c>
      <c r="H9" s="71" t="s">
        <v>279</v>
      </c>
      <c r="I9" s="72" t="s">
        <v>280</v>
      </c>
      <c r="J9" s="70" t="s">
        <v>278</v>
      </c>
      <c r="K9" s="71" t="s">
        <v>279</v>
      </c>
      <c r="L9" s="72" t="s">
        <v>280</v>
      </c>
      <c r="M9" s="70" t="s">
        <v>278</v>
      </c>
      <c r="N9" s="71" t="s">
        <v>279</v>
      </c>
      <c r="O9" s="72" t="s">
        <v>280</v>
      </c>
      <c r="P9" s="70" t="s">
        <v>278</v>
      </c>
      <c r="Q9" s="71" t="s">
        <v>279</v>
      </c>
      <c r="R9" s="72" t="s">
        <v>280</v>
      </c>
      <c r="S9" s="70" t="s">
        <v>278</v>
      </c>
      <c r="T9" s="71" t="s">
        <v>279</v>
      </c>
      <c r="U9" s="72" t="s">
        <v>280</v>
      </c>
      <c r="V9" s="70" t="s">
        <v>278</v>
      </c>
      <c r="W9" s="71" t="s">
        <v>279</v>
      </c>
      <c r="X9" s="72" t="s">
        <v>280</v>
      </c>
      <c r="Y9" s="70" t="s">
        <v>278</v>
      </c>
      <c r="Z9" s="71" t="s">
        <v>279</v>
      </c>
      <c r="AA9" s="72" t="s">
        <v>280</v>
      </c>
      <c r="AB9" s="70" t="s">
        <v>278</v>
      </c>
      <c r="AC9" s="71" t="s">
        <v>279</v>
      </c>
      <c r="AD9" s="72" t="s">
        <v>280</v>
      </c>
      <c r="AE9" s="70" t="s">
        <v>278</v>
      </c>
      <c r="AF9" s="71" t="s">
        <v>279</v>
      </c>
      <c r="AG9" s="72" t="s">
        <v>280</v>
      </c>
      <c r="AH9" s="70" t="s">
        <v>278</v>
      </c>
      <c r="AI9" s="71" t="s">
        <v>279</v>
      </c>
      <c r="AJ9" s="72" t="s">
        <v>280</v>
      </c>
      <c r="AK9" s="70" t="s">
        <v>278</v>
      </c>
      <c r="AL9" s="71" t="s">
        <v>279</v>
      </c>
      <c r="AM9" s="72" t="s">
        <v>280</v>
      </c>
      <c r="AN9" s="806"/>
      <c r="AO9" s="799"/>
      <c r="AP9" s="807"/>
      <c r="AQ9" s="793"/>
      <c r="AR9" s="792"/>
    </row>
    <row r="10" spans="1:47" ht="14.15" customHeight="1" x14ac:dyDescent="0.35">
      <c r="A10" s="74">
        <v>1</v>
      </c>
      <c r="B10" s="127"/>
      <c r="C10" s="128"/>
      <c r="D10" s="129"/>
      <c r="E10" s="78"/>
      <c r="F10" s="79"/>
      <c r="G10" s="77"/>
      <c r="H10" s="78"/>
      <c r="I10" s="79"/>
      <c r="J10" s="77"/>
      <c r="K10" s="78"/>
      <c r="L10" s="79"/>
      <c r="M10" s="77"/>
      <c r="N10" s="78"/>
      <c r="O10" s="79"/>
      <c r="P10" s="77"/>
      <c r="Q10" s="78"/>
      <c r="R10" s="79"/>
      <c r="S10" s="77"/>
      <c r="T10" s="78"/>
      <c r="U10" s="79"/>
      <c r="V10" s="77"/>
      <c r="W10" s="78"/>
      <c r="X10" s="79"/>
      <c r="Y10" s="77"/>
      <c r="Z10" s="78"/>
      <c r="AA10" s="79"/>
      <c r="AB10" s="77"/>
      <c r="AC10" s="78"/>
      <c r="AD10" s="79"/>
      <c r="AE10" s="77"/>
      <c r="AF10" s="78"/>
      <c r="AG10" s="79"/>
      <c r="AH10" s="77"/>
      <c r="AI10" s="78"/>
      <c r="AJ10" s="79"/>
      <c r="AK10" s="77"/>
      <c r="AL10" s="78"/>
      <c r="AM10" s="80"/>
      <c r="AN10" s="81"/>
      <c r="AO10" s="82"/>
      <c r="AP10" s="83"/>
      <c r="AQ10" s="130"/>
      <c r="AR10" s="131"/>
    </row>
    <row r="11" spans="1:47" ht="14.15" customHeight="1" x14ac:dyDescent="0.35">
      <c r="A11" s="85">
        <v>2</v>
      </c>
      <c r="B11" s="132"/>
      <c r="C11" s="133"/>
      <c r="D11" s="134"/>
      <c r="E11" s="89"/>
      <c r="F11" s="90"/>
      <c r="G11" s="88"/>
      <c r="H11" s="89"/>
      <c r="I11" s="90"/>
      <c r="J11" s="88"/>
      <c r="K11" s="89"/>
      <c r="L11" s="90"/>
      <c r="M11" s="88"/>
      <c r="N11" s="89"/>
      <c r="O11" s="90"/>
      <c r="P11" s="88"/>
      <c r="Q11" s="89"/>
      <c r="R11" s="90"/>
      <c r="S11" s="88"/>
      <c r="T11" s="89"/>
      <c r="U11" s="90"/>
      <c r="V11" s="88"/>
      <c r="W11" s="89"/>
      <c r="X11" s="90"/>
      <c r="Y11" s="88"/>
      <c r="Z11" s="89"/>
      <c r="AA11" s="90"/>
      <c r="AB11" s="88"/>
      <c r="AC11" s="89"/>
      <c r="AD11" s="90"/>
      <c r="AE11" s="88"/>
      <c r="AF11" s="89"/>
      <c r="AG11" s="90"/>
      <c r="AH11" s="88"/>
      <c r="AI11" s="89"/>
      <c r="AJ11" s="90"/>
      <c r="AK11" s="88"/>
      <c r="AL11" s="89"/>
      <c r="AM11" s="91"/>
      <c r="AN11" s="98"/>
      <c r="AO11" s="99"/>
      <c r="AP11" s="100"/>
      <c r="AQ11" s="130"/>
      <c r="AR11" s="135"/>
    </row>
    <row r="12" spans="1:47" ht="14.15" customHeight="1" x14ac:dyDescent="0.35">
      <c r="A12" s="85">
        <v>3</v>
      </c>
      <c r="B12" s="132"/>
      <c r="C12" s="87"/>
      <c r="D12" s="134"/>
      <c r="E12" s="89"/>
      <c r="F12" s="90"/>
      <c r="G12" s="88"/>
      <c r="H12" s="89"/>
      <c r="I12" s="90"/>
      <c r="J12" s="88"/>
      <c r="K12" s="89"/>
      <c r="L12" s="90"/>
      <c r="M12" s="88"/>
      <c r="N12" s="89"/>
      <c r="O12" s="90"/>
      <c r="P12" s="88"/>
      <c r="Q12" s="89"/>
      <c r="R12" s="90"/>
      <c r="S12" s="88"/>
      <c r="T12" s="89"/>
      <c r="U12" s="90"/>
      <c r="V12" s="88"/>
      <c r="W12" s="89"/>
      <c r="X12" s="90"/>
      <c r="Y12" s="88"/>
      <c r="Z12" s="89"/>
      <c r="AA12" s="90"/>
      <c r="AB12" s="88"/>
      <c r="AC12" s="89"/>
      <c r="AD12" s="90"/>
      <c r="AE12" s="88"/>
      <c r="AF12" s="89"/>
      <c r="AG12" s="90"/>
      <c r="AH12" s="88"/>
      <c r="AI12" s="89"/>
      <c r="AJ12" s="90"/>
      <c r="AK12" s="88"/>
      <c r="AL12" s="89"/>
      <c r="AM12" s="91"/>
      <c r="AN12" s="95"/>
      <c r="AO12" s="96"/>
      <c r="AP12" s="97"/>
      <c r="AQ12" s="130"/>
      <c r="AR12" s="135"/>
    </row>
    <row r="13" spans="1:47" ht="14.15" customHeight="1" x14ac:dyDescent="0.35">
      <c r="A13" s="85">
        <v>4</v>
      </c>
      <c r="B13" s="132"/>
      <c r="C13" s="87"/>
      <c r="D13" s="134"/>
      <c r="E13" s="89"/>
      <c r="F13" s="90"/>
      <c r="G13" s="88"/>
      <c r="H13" s="89"/>
      <c r="I13" s="90"/>
      <c r="J13" s="88"/>
      <c r="K13" s="89"/>
      <c r="L13" s="90"/>
      <c r="M13" s="88"/>
      <c r="N13" s="89"/>
      <c r="O13" s="90"/>
      <c r="P13" s="88"/>
      <c r="Q13" s="89"/>
      <c r="R13" s="90"/>
      <c r="S13" s="88"/>
      <c r="T13" s="89"/>
      <c r="U13" s="90"/>
      <c r="V13" s="88"/>
      <c r="W13" s="89"/>
      <c r="X13" s="90"/>
      <c r="Y13" s="88"/>
      <c r="Z13" s="89"/>
      <c r="AA13" s="90"/>
      <c r="AB13" s="88"/>
      <c r="AC13" s="89"/>
      <c r="AD13" s="90"/>
      <c r="AE13" s="88"/>
      <c r="AF13" s="89"/>
      <c r="AG13" s="90"/>
      <c r="AH13" s="88"/>
      <c r="AI13" s="89"/>
      <c r="AJ13" s="90"/>
      <c r="AK13" s="88"/>
      <c r="AL13" s="89"/>
      <c r="AM13" s="91"/>
      <c r="AN13" s="98"/>
      <c r="AO13" s="99"/>
      <c r="AP13" s="100"/>
      <c r="AQ13" s="130"/>
      <c r="AR13" s="135"/>
    </row>
    <row r="14" spans="1:47" ht="14.15" customHeight="1" x14ac:dyDescent="0.35">
      <c r="A14" s="85">
        <v>5</v>
      </c>
      <c r="B14" s="132"/>
      <c r="C14" s="87"/>
      <c r="D14" s="134"/>
      <c r="E14" s="89"/>
      <c r="F14" s="90"/>
      <c r="G14" s="88"/>
      <c r="H14" s="89"/>
      <c r="I14" s="90"/>
      <c r="J14" s="88"/>
      <c r="K14" s="89"/>
      <c r="L14" s="90"/>
      <c r="M14" s="88"/>
      <c r="N14" s="89"/>
      <c r="O14" s="90"/>
      <c r="P14" s="88"/>
      <c r="Q14" s="89"/>
      <c r="R14" s="90"/>
      <c r="S14" s="88"/>
      <c r="T14" s="89"/>
      <c r="U14" s="90"/>
      <c r="V14" s="88"/>
      <c r="W14" s="89"/>
      <c r="X14" s="90"/>
      <c r="Y14" s="88"/>
      <c r="Z14" s="89"/>
      <c r="AA14" s="90"/>
      <c r="AB14" s="88"/>
      <c r="AC14" s="89"/>
      <c r="AD14" s="90"/>
      <c r="AE14" s="88"/>
      <c r="AF14" s="89"/>
      <c r="AG14" s="90"/>
      <c r="AH14" s="88"/>
      <c r="AI14" s="89"/>
      <c r="AJ14" s="90"/>
      <c r="AK14" s="88"/>
      <c r="AL14" s="89"/>
      <c r="AM14" s="91"/>
      <c r="AN14" s="95"/>
      <c r="AO14" s="96"/>
      <c r="AP14" s="97"/>
      <c r="AQ14" s="130"/>
      <c r="AR14" s="135"/>
    </row>
    <row r="15" spans="1:47" ht="14.15" customHeight="1" x14ac:dyDescent="0.35">
      <c r="A15" s="85">
        <v>6</v>
      </c>
      <c r="B15" s="132"/>
      <c r="C15" s="104"/>
      <c r="D15" s="134"/>
      <c r="E15" s="89"/>
      <c r="F15" s="90"/>
      <c r="G15" s="88"/>
      <c r="H15" s="89"/>
      <c r="I15" s="90"/>
      <c r="J15" s="88"/>
      <c r="K15" s="89"/>
      <c r="L15" s="90"/>
      <c r="M15" s="88"/>
      <c r="N15" s="89"/>
      <c r="O15" s="90"/>
      <c r="P15" s="88"/>
      <c r="Q15" s="89"/>
      <c r="R15" s="90"/>
      <c r="S15" s="88"/>
      <c r="T15" s="89"/>
      <c r="U15" s="90"/>
      <c r="V15" s="88"/>
      <c r="W15" s="89"/>
      <c r="X15" s="90"/>
      <c r="Y15" s="88"/>
      <c r="Z15" s="89"/>
      <c r="AA15" s="90"/>
      <c r="AB15" s="88"/>
      <c r="AC15" s="89"/>
      <c r="AD15" s="90"/>
      <c r="AE15" s="88"/>
      <c r="AF15" s="89"/>
      <c r="AG15" s="90"/>
      <c r="AH15" s="88"/>
      <c r="AI15" s="89"/>
      <c r="AJ15" s="90"/>
      <c r="AK15" s="88"/>
      <c r="AL15" s="89"/>
      <c r="AM15" s="91"/>
      <c r="AN15" s="98"/>
      <c r="AO15" s="99"/>
      <c r="AP15" s="100"/>
      <c r="AQ15" s="130"/>
      <c r="AR15" s="135"/>
    </row>
    <row r="16" spans="1:47" ht="14.15" customHeight="1" x14ac:dyDescent="0.35">
      <c r="A16" s="85">
        <v>7</v>
      </c>
      <c r="B16" s="132"/>
      <c r="C16" s="104"/>
      <c r="D16" s="134"/>
      <c r="E16" s="89"/>
      <c r="F16" s="90"/>
      <c r="G16" s="88"/>
      <c r="H16" s="89"/>
      <c r="I16" s="90"/>
      <c r="J16" s="88"/>
      <c r="K16" s="89"/>
      <c r="L16" s="90"/>
      <c r="M16" s="88"/>
      <c r="N16" s="89"/>
      <c r="O16" s="90"/>
      <c r="P16" s="88"/>
      <c r="Q16" s="89"/>
      <c r="R16" s="90"/>
      <c r="S16" s="88"/>
      <c r="T16" s="89"/>
      <c r="U16" s="90"/>
      <c r="V16" s="88"/>
      <c r="W16" s="89"/>
      <c r="X16" s="90"/>
      <c r="Y16" s="88"/>
      <c r="Z16" s="89"/>
      <c r="AA16" s="90"/>
      <c r="AB16" s="88"/>
      <c r="AC16" s="89"/>
      <c r="AD16" s="90"/>
      <c r="AE16" s="88"/>
      <c r="AF16" s="89"/>
      <c r="AG16" s="90"/>
      <c r="AH16" s="88"/>
      <c r="AI16" s="89"/>
      <c r="AJ16" s="90"/>
      <c r="AK16" s="88"/>
      <c r="AL16" s="89"/>
      <c r="AM16" s="91"/>
      <c r="AN16" s="95"/>
      <c r="AO16" s="96"/>
      <c r="AP16" s="97"/>
      <c r="AQ16" s="130"/>
      <c r="AR16" s="135"/>
    </row>
    <row r="17" spans="1:44" ht="14.15" customHeight="1" x14ac:dyDescent="0.35">
      <c r="A17" s="85">
        <v>8</v>
      </c>
      <c r="B17" s="132"/>
      <c r="C17" s="136"/>
      <c r="D17" s="134"/>
      <c r="E17" s="89"/>
      <c r="F17" s="90"/>
      <c r="G17" s="88"/>
      <c r="H17" s="89"/>
      <c r="I17" s="90"/>
      <c r="J17" s="88"/>
      <c r="K17" s="89"/>
      <c r="L17" s="90"/>
      <c r="M17" s="88"/>
      <c r="N17" s="89"/>
      <c r="O17" s="90"/>
      <c r="P17" s="88"/>
      <c r="Q17" s="89"/>
      <c r="R17" s="90"/>
      <c r="S17" s="88"/>
      <c r="T17" s="89"/>
      <c r="U17" s="90"/>
      <c r="V17" s="88"/>
      <c r="W17" s="89"/>
      <c r="X17" s="90"/>
      <c r="Y17" s="88"/>
      <c r="Z17" s="89"/>
      <c r="AA17" s="90"/>
      <c r="AB17" s="88"/>
      <c r="AC17" s="89"/>
      <c r="AD17" s="90"/>
      <c r="AE17" s="88"/>
      <c r="AF17" s="89"/>
      <c r="AG17" s="90"/>
      <c r="AH17" s="88"/>
      <c r="AI17" s="89"/>
      <c r="AJ17" s="90"/>
      <c r="AK17" s="88"/>
      <c r="AL17" s="89"/>
      <c r="AM17" s="91"/>
      <c r="AN17" s="98"/>
      <c r="AO17" s="99"/>
      <c r="AP17" s="100"/>
      <c r="AQ17" s="130"/>
      <c r="AR17" s="135"/>
    </row>
    <row r="18" spans="1:44" ht="14.15" customHeight="1" x14ac:dyDescent="0.35">
      <c r="A18" s="85">
        <v>9</v>
      </c>
      <c r="B18" s="132"/>
      <c r="C18" s="136"/>
      <c r="D18" s="134"/>
      <c r="E18" s="89"/>
      <c r="F18" s="90"/>
      <c r="G18" s="88"/>
      <c r="H18" s="89"/>
      <c r="I18" s="90"/>
      <c r="J18" s="88"/>
      <c r="K18" s="89"/>
      <c r="L18" s="90"/>
      <c r="M18" s="88"/>
      <c r="N18" s="89"/>
      <c r="O18" s="90"/>
      <c r="P18" s="88"/>
      <c r="Q18" s="89"/>
      <c r="R18" s="90"/>
      <c r="S18" s="88"/>
      <c r="T18" s="89"/>
      <c r="U18" s="90"/>
      <c r="V18" s="88"/>
      <c r="W18" s="89"/>
      <c r="X18" s="90"/>
      <c r="Y18" s="88"/>
      <c r="Z18" s="89"/>
      <c r="AA18" s="90"/>
      <c r="AB18" s="88"/>
      <c r="AC18" s="89"/>
      <c r="AD18" s="90"/>
      <c r="AE18" s="88"/>
      <c r="AF18" s="89"/>
      <c r="AG18" s="90"/>
      <c r="AH18" s="88"/>
      <c r="AI18" s="89"/>
      <c r="AJ18" s="90"/>
      <c r="AK18" s="88"/>
      <c r="AL18" s="89"/>
      <c r="AM18" s="91"/>
      <c r="AN18" s="95"/>
      <c r="AO18" s="96"/>
      <c r="AP18" s="97"/>
      <c r="AQ18" s="130"/>
      <c r="AR18" s="135"/>
    </row>
    <row r="19" spans="1:44" ht="14.15" customHeight="1" x14ac:dyDescent="0.35">
      <c r="A19" s="85">
        <v>10</v>
      </c>
      <c r="B19" s="132"/>
      <c r="C19" s="87"/>
      <c r="D19" s="134"/>
      <c r="E19" s="89"/>
      <c r="F19" s="90"/>
      <c r="G19" s="88"/>
      <c r="H19" s="89"/>
      <c r="I19" s="90"/>
      <c r="J19" s="88"/>
      <c r="K19" s="89"/>
      <c r="L19" s="90"/>
      <c r="M19" s="88"/>
      <c r="N19" s="89"/>
      <c r="O19" s="90"/>
      <c r="P19" s="88"/>
      <c r="Q19" s="89"/>
      <c r="R19" s="90"/>
      <c r="S19" s="88"/>
      <c r="T19" s="89"/>
      <c r="U19" s="90"/>
      <c r="V19" s="88"/>
      <c r="W19" s="89"/>
      <c r="X19" s="90"/>
      <c r="Y19" s="88"/>
      <c r="Z19" s="89"/>
      <c r="AA19" s="90"/>
      <c r="AB19" s="88"/>
      <c r="AC19" s="89"/>
      <c r="AD19" s="90"/>
      <c r="AE19" s="88"/>
      <c r="AF19" s="89"/>
      <c r="AG19" s="90"/>
      <c r="AH19" s="88"/>
      <c r="AI19" s="89"/>
      <c r="AJ19" s="90"/>
      <c r="AK19" s="88"/>
      <c r="AL19" s="89"/>
      <c r="AM19" s="91"/>
      <c r="AN19" s="98"/>
      <c r="AO19" s="99"/>
      <c r="AP19" s="100"/>
      <c r="AQ19" s="130"/>
      <c r="AR19" s="135"/>
    </row>
    <row r="20" spans="1:44" ht="14.15" customHeight="1" x14ac:dyDescent="0.35">
      <c r="A20" s="85">
        <v>11</v>
      </c>
      <c r="B20" s="132"/>
      <c r="C20" s="102"/>
      <c r="D20" s="134"/>
      <c r="E20" s="89"/>
      <c r="F20" s="90"/>
      <c r="G20" s="88"/>
      <c r="H20" s="89"/>
      <c r="I20" s="90"/>
      <c r="J20" s="88"/>
      <c r="K20" s="89"/>
      <c r="L20" s="90"/>
      <c r="M20" s="88"/>
      <c r="N20" s="89"/>
      <c r="O20" s="90"/>
      <c r="P20" s="88"/>
      <c r="Q20" s="89"/>
      <c r="R20" s="90"/>
      <c r="S20" s="88"/>
      <c r="T20" s="89"/>
      <c r="U20" s="90"/>
      <c r="V20" s="88"/>
      <c r="W20" s="89"/>
      <c r="X20" s="90"/>
      <c r="Y20" s="88"/>
      <c r="Z20" s="89"/>
      <c r="AA20" s="90"/>
      <c r="AB20" s="88"/>
      <c r="AC20" s="89"/>
      <c r="AD20" s="90"/>
      <c r="AE20" s="88"/>
      <c r="AF20" s="89"/>
      <c r="AG20" s="90"/>
      <c r="AH20" s="88"/>
      <c r="AI20" s="89"/>
      <c r="AJ20" s="90"/>
      <c r="AK20" s="88"/>
      <c r="AL20" s="89"/>
      <c r="AM20" s="91"/>
      <c r="AN20" s="95"/>
      <c r="AO20" s="96"/>
      <c r="AP20" s="97"/>
      <c r="AQ20" s="130"/>
      <c r="AR20" s="135"/>
    </row>
    <row r="21" spans="1:44" ht="14.15" customHeight="1" x14ac:dyDescent="0.35">
      <c r="A21" s="85">
        <v>12</v>
      </c>
      <c r="B21" s="132"/>
      <c r="C21" s="87"/>
      <c r="D21" s="134"/>
      <c r="E21" s="89"/>
      <c r="F21" s="90"/>
      <c r="G21" s="88"/>
      <c r="H21" s="89"/>
      <c r="I21" s="90"/>
      <c r="J21" s="88"/>
      <c r="K21" s="89"/>
      <c r="L21" s="90"/>
      <c r="M21" s="88"/>
      <c r="N21" s="89"/>
      <c r="O21" s="90"/>
      <c r="P21" s="88"/>
      <c r="Q21" s="89"/>
      <c r="R21" s="90"/>
      <c r="S21" s="88"/>
      <c r="T21" s="89"/>
      <c r="U21" s="90"/>
      <c r="V21" s="88"/>
      <c r="W21" s="89"/>
      <c r="X21" s="90"/>
      <c r="Y21" s="88"/>
      <c r="Z21" s="89"/>
      <c r="AA21" s="90"/>
      <c r="AB21" s="88"/>
      <c r="AC21" s="89"/>
      <c r="AD21" s="90"/>
      <c r="AE21" s="88"/>
      <c r="AF21" s="89"/>
      <c r="AG21" s="90"/>
      <c r="AH21" s="88"/>
      <c r="AI21" s="89"/>
      <c r="AJ21" s="90"/>
      <c r="AK21" s="88"/>
      <c r="AL21" s="89"/>
      <c r="AM21" s="91"/>
      <c r="AN21" s="98"/>
      <c r="AO21" s="99"/>
      <c r="AP21" s="100"/>
      <c r="AQ21" s="130"/>
      <c r="AR21" s="135"/>
    </row>
    <row r="22" spans="1:44" ht="14.15" customHeight="1" x14ac:dyDescent="0.35">
      <c r="A22" s="85">
        <v>13</v>
      </c>
      <c r="B22" s="132"/>
      <c r="C22" s="87"/>
      <c r="D22" s="134"/>
      <c r="E22" s="89"/>
      <c r="F22" s="90"/>
      <c r="G22" s="88"/>
      <c r="H22" s="89"/>
      <c r="I22" s="90"/>
      <c r="J22" s="88"/>
      <c r="K22" s="89"/>
      <c r="L22" s="90"/>
      <c r="M22" s="88"/>
      <c r="N22" s="89"/>
      <c r="O22" s="90"/>
      <c r="P22" s="88"/>
      <c r="Q22" s="89"/>
      <c r="R22" s="90"/>
      <c r="S22" s="88"/>
      <c r="T22" s="89"/>
      <c r="U22" s="90"/>
      <c r="V22" s="88"/>
      <c r="W22" s="89"/>
      <c r="X22" s="90"/>
      <c r="Y22" s="88"/>
      <c r="Z22" s="89"/>
      <c r="AA22" s="90"/>
      <c r="AB22" s="88"/>
      <c r="AC22" s="89"/>
      <c r="AD22" s="90"/>
      <c r="AE22" s="88"/>
      <c r="AF22" s="89"/>
      <c r="AG22" s="90"/>
      <c r="AH22" s="88"/>
      <c r="AI22" s="89"/>
      <c r="AJ22" s="90"/>
      <c r="AK22" s="88"/>
      <c r="AL22" s="89"/>
      <c r="AM22" s="91"/>
      <c r="AN22" s="95"/>
      <c r="AO22" s="96"/>
      <c r="AP22" s="97"/>
      <c r="AQ22" s="130"/>
      <c r="AR22" s="135"/>
    </row>
    <row r="23" spans="1:44" ht="14.15" customHeight="1" x14ac:dyDescent="0.35">
      <c r="A23" s="85">
        <v>14</v>
      </c>
      <c r="B23" s="132"/>
      <c r="C23" s="87"/>
      <c r="D23" s="134"/>
      <c r="E23" s="89"/>
      <c r="F23" s="90"/>
      <c r="G23" s="88"/>
      <c r="H23" s="89"/>
      <c r="I23" s="90"/>
      <c r="J23" s="88"/>
      <c r="K23" s="89"/>
      <c r="L23" s="90"/>
      <c r="M23" s="88"/>
      <c r="N23" s="89"/>
      <c r="O23" s="90"/>
      <c r="P23" s="88"/>
      <c r="Q23" s="89"/>
      <c r="R23" s="90"/>
      <c r="S23" s="88"/>
      <c r="T23" s="89"/>
      <c r="U23" s="90"/>
      <c r="V23" s="88"/>
      <c r="W23" s="89"/>
      <c r="X23" s="90"/>
      <c r="Y23" s="88"/>
      <c r="Z23" s="89"/>
      <c r="AA23" s="90"/>
      <c r="AB23" s="88"/>
      <c r="AC23" s="89"/>
      <c r="AD23" s="90"/>
      <c r="AE23" s="88"/>
      <c r="AF23" s="89"/>
      <c r="AG23" s="90"/>
      <c r="AH23" s="88"/>
      <c r="AI23" s="89"/>
      <c r="AJ23" s="90"/>
      <c r="AK23" s="88"/>
      <c r="AL23" s="89"/>
      <c r="AM23" s="91"/>
      <c r="AN23" s="98"/>
      <c r="AO23" s="99"/>
      <c r="AP23" s="100"/>
      <c r="AQ23" s="130"/>
      <c r="AR23" s="135"/>
    </row>
    <row r="24" spans="1:44" ht="14.15" customHeight="1" x14ac:dyDescent="0.35">
      <c r="A24" s="85">
        <v>15</v>
      </c>
      <c r="B24" s="132"/>
      <c r="C24" s="87"/>
      <c r="D24" s="134"/>
      <c r="E24" s="89"/>
      <c r="F24" s="90"/>
      <c r="G24" s="88"/>
      <c r="H24" s="89"/>
      <c r="I24" s="90"/>
      <c r="J24" s="88"/>
      <c r="K24" s="89"/>
      <c r="L24" s="90"/>
      <c r="M24" s="88"/>
      <c r="N24" s="89"/>
      <c r="O24" s="90"/>
      <c r="P24" s="88"/>
      <c r="Q24" s="89"/>
      <c r="R24" s="90"/>
      <c r="S24" s="88"/>
      <c r="T24" s="89"/>
      <c r="U24" s="90"/>
      <c r="V24" s="88"/>
      <c r="W24" s="89"/>
      <c r="X24" s="90"/>
      <c r="Y24" s="88"/>
      <c r="Z24" s="89"/>
      <c r="AA24" s="90"/>
      <c r="AB24" s="88"/>
      <c r="AC24" s="89"/>
      <c r="AD24" s="90"/>
      <c r="AE24" s="88"/>
      <c r="AF24" s="89"/>
      <c r="AG24" s="90"/>
      <c r="AH24" s="88"/>
      <c r="AI24" s="89"/>
      <c r="AJ24" s="90"/>
      <c r="AK24" s="88"/>
      <c r="AL24" s="89"/>
      <c r="AM24" s="91"/>
      <c r="AN24" s="95"/>
      <c r="AO24" s="96"/>
      <c r="AP24" s="97"/>
      <c r="AQ24" s="130"/>
      <c r="AR24" s="135"/>
    </row>
    <row r="25" spans="1:44" ht="14.15" customHeight="1" x14ac:dyDescent="0.35">
      <c r="A25" s="85">
        <v>16</v>
      </c>
      <c r="B25" s="132"/>
      <c r="C25" s="136"/>
      <c r="D25" s="134"/>
      <c r="E25" s="89"/>
      <c r="F25" s="90"/>
      <c r="G25" s="88"/>
      <c r="H25" s="89"/>
      <c r="I25" s="90"/>
      <c r="J25" s="88"/>
      <c r="K25" s="89"/>
      <c r="L25" s="90"/>
      <c r="M25" s="88"/>
      <c r="N25" s="89"/>
      <c r="O25" s="90"/>
      <c r="P25" s="88"/>
      <c r="Q25" s="89"/>
      <c r="R25" s="90"/>
      <c r="S25" s="88"/>
      <c r="T25" s="89"/>
      <c r="U25" s="90"/>
      <c r="V25" s="88"/>
      <c r="W25" s="89"/>
      <c r="X25" s="90"/>
      <c r="Y25" s="88"/>
      <c r="Z25" s="89"/>
      <c r="AA25" s="90"/>
      <c r="AB25" s="88"/>
      <c r="AC25" s="89"/>
      <c r="AD25" s="90"/>
      <c r="AE25" s="88"/>
      <c r="AF25" s="89"/>
      <c r="AG25" s="90"/>
      <c r="AH25" s="88"/>
      <c r="AI25" s="89"/>
      <c r="AJ25" s="90"/>
      <c r="AK25" s="88"/>
      <c r="AL25" s="89"/>
      <c r="AM25" s="91"/>
      <c r="AN25" s="98"/>
      <c r="AO25" s="99"/>
      <c r="AP25" s="100"/>
      <c r="AQ25" s="130"/>
      <c r="AR25" s="135"/>
    </row>
    <row r="26" spans="1:44" ht="14.15" customHeight="1" x14ac:dyDescent="0.35">
      <c r="A26" s="85">
        <v>17</v>
      </c>
      <c r="B26" s="132"/>
      <c r="C26" s="87"/>
      <c r="D26" s="134"/>
      <c r="E26" s="89"/>
      <c r="F26" s="90"/>
      <c r="G26" s="88"/>
      <c r="H26" s="89"/>
      <c r="I26" s="90"/>
      <c r="J26" s="88"/>
      <c r="K26" s="89"/>
      <c r="L26" s="90"/>
      <c r="M26" s="88"/>
      <c r="N26" s="89"/>
      <c r="O26" s="90"/>
      <c r="P26" s="88"/>
      <c r="Q26" s="89"/>
      <c r="R26" s="90"/>
      <c r="S26" s="88"/>
      <c r="T26" s="89"/>
      <c r="U26" s="90"/>
      <c r="V26" s="88"/>
      <c r="W26" s="89"/>
      <c r="X26" s="90"/>
      <c r="Y26" s="88"/>
      <c r="Z26" s="89"/>
      <c r="AA26" s="90"/>
      <c r="AB26" s="88"/>
      <c r="AC26" s="89"/>
      <c r="AD26" s="90"/>
      <c r="AE26" s="88"/>
      <c r="AF26" s="89"/>
      <c r="AG26" s="90"/>
      <c r="AH26" s="88"/>
      <c r="AI26" s="89"/>
      <c r="AJ26" s="90"/>
      <c r="AK26" s="88"/>
      <c r="AL26" s="89"/>
      <c r="AM26" s="91"/>
      <c r="AN26" s="95"/>
      <c r="AO26" s="96"/>
      <c r="AP26" s="97"/>
      <c r="AQ26" s="130"/>
      <c r="AR26" s="135"/>
    </row>
    <row r="27" spans="1:44" ht="14.15" customHeight="1" x14ac:dyDescent="0.35">
      <c r="A27" s="85">
        <v>18</v>
      </c>
      <c r="B27" s="132"/>
      <c r="C27" s="87"/>
      <c r="D27" s="134"/>
      <c r="E27" s="89"/>
      <c r="F27" s="90"/>
      <c r="G27" s="88"/>
      <c r="H27" s="89"/>
      <c r="I27" s="90"/>
      <c r="J27" s="88"/>
      <c r="K27" s="89"/>
      <c r="L27" s="90"/>
      <c r="M27" s="88"/>
      <c r="N27" s="89"/>
      <c r="O27" s="90"/>
      <c r="P27" s="88"/>
      <c r="Q27" s="89"/>
      <c r="R27" s="90"/>
      <c r="S27" s="88"/>
      <c r="T27" s="89"/>
      <c r="U27" s="90"/>
      <c r="V27" s="88"/>
      <c r="W27" s="89"/>
      <c r="X27" s="90"/>
      <c r="Y27" s="88"/>
      <c r="Z27" s="89"/>
      <c r="AA27" s="90"/>
      <c r="AB27" s="88"/>
      <c r="AC27" s="89"/>
      <c r="AD27" s="90"/>
      <c r="AE27" s="88"/>
      <c r="AF27" s="89"/>
      <c r="AG27" s="90"/>
      <c r="AH27" s="88"/>
      <c r="AI27" s="89"/>
      <c r="AJ27" s="90"/>
      <c r="AK27" s="88"/>
      <c r="AL27" s="89"/>
      <c r="AM27" s="91"/>
      <c r="AN27" s="98"/>
      <c r="AO27" s="99"/>
      <c r="AP27" s="100"/>
      <c r="AQ27" s="130"/>
      <c r="AR27" s="135"/>
    </row>
    <row r="28" spans="1:44" ht="14.15" customHeight="1" x14ac:dyDescent="0.35">
      <c r="A28" s="85">
        <v>19</v>
      </c>
      <c r="B28" s="132"/>
      <c r="C28" s="87"/>
      <c r="D28" s="134"/>
      <c r="E28" s="89"/>
      <c r="F28" s="90"/>
      <c r="G28" s="88"/>
      <c r="H28" s="89"/>
      <c r="I28" s="90"/>
      <c r="J28" s="88"/>
      <c r="K28" s="89"/>
      <c r="L28" s="90"/>
      <c r="M28" s="88"/>
      <c r="N28" s="89"/>
      <c r="O28" s="90"/>
      <c r="P28" s="88"/>
      <c r="Q28" s="89"/>
      <c r="R28" s="90"/>
      <c r="S28" s="88"/>
      <c r="T28" s="89"/>
      <c r="U28" s="90"/>
      <c r="V28" s="88"/>
      <c r="W28" s="89"/>
      <c r="X28" s="90"/>
      <c r="Y28" s="88"/>
      <c r="Z28" s="89"/>
      <c r="AA28" s="90"/>
      <c r="AB28" s="88"/>
      <c r="AC28" s="89"/>
      <c r="AD28" s="90"/>
      <c r="AE28" s="88"/>
      <c r="AF28" s="89"/>
      <c r="AG28" s="90"/>
      <c r="AH28" s="88"/>
      <c r="AI28" s="89"/>
      <c r="AJ28" s="90"/>
      <c r="AK28" s="88"/>
      <c r="AL28" s="89"/>
      <c r="AM28" s="91"/>
      <c r="AN28" s="95"/>
      <c r="AO28" s="96"/>
      <c r="AP28" s="97"/>
      <c r="AQ28" s="130"/>
      <c r="AR28" s="135"/>
    </row>
    <row r="29" spans="1:44" ht="14.15" customHeight="1" x14ac:dyDescent="0.35">
      <c r="A29" s="85">
        <v>20</v>
      </c>
      <c r="B29" s="132"/>
      <c r="C29" s="87"/>
      <c r="D29" s="134"/>
      <c r="E29" s="89"/>
      <c r="F29" s="90"/>
      <c r="G29" s="88"/>
      <c r="H29" s="89"/>
      <c r="I29" s="90"/>
      <c r="J29" s="88"/>
      <c r="K29" s="89"/>
      <c r="L29" s="90"/>
      <c r="M29" s="88"/>
      <c r="N29" s="89"/>
      <c r="O29" s="90"/>
      <c r="P29" s="88"/>
      <c r="Q29" s="89"/>
      <c r="R29" s="90"/>
      <c r="S29" s="88"/>
      <c r="T29" s="89"/>
      <c r="U29" s="90"/>
      <c r="V29" s="88"/>
      <c r="W29" s="89"/>
      <c r="X29" s="90"/>
      <c r="Y29" s="88"/>
      <c r="Z29" s="89"/>
      <c r="AA29" s="90"/>
      <c r="AB29" s="88"/>
      <c r="AC29" s="89"/>
      <c r="AD29" s="90"/>
      <c r="AE29" s="88"/>
      <c r="AF29" s="89"/>
      <c r="AG29" s="90"/>
      <c r="AH29" s="88"/>
      <c r="AI29" s="89"/>
      <c r="AJ29" s="90"/>
      <c r="AK29" s="88"/>
      <c r="AL29" s="89"/>
      <c r="AM29" s="91"/>
      <c r="AN29" s="98"/>
      <c r="AO29" s="99"/>
      <c r="AP29" s="100"/>
      <c r="AQ29" s="130"/>
      <c r="AR29" s="135"/>
    </row>
    <row r="30" spans="1:44" ht="14.15" customHeight="1" x14ac:dyDescent="0.35">
      <c r="A30" s="85">
        <v>21</v>
      </c>
      <c r="B30" s="132"/>
      <c r="C30" s="87"/>
      <c r="D30" s="134"/>
      <c r="E30" s="89"/>
      <c r="F30" s="90"/>
      <c r="G30" s="88"/>
      <c r="H30" s="89"/>
      <c r="I30" s="90"/>
      <c r="J30" s="88"/>
      <c r="K30" s="89"/>
      <c r="L30" s="90"/>
      <c r="M30" s="88"/>
      <c r="N30" s="89"/>
      <c r="O30" s="90"/>
      <c r="P30" s="88"/>
      <c r="Q30" s="89"/>
      <c r="R30" s="90"/>
      <c r="S30" s="88"/>
      <c r="T30" s="89"/>
      <c r="U30" s="90"/>
      <c r="V30" s="88"/>
      <c r="W30" s="89"/>
      <c r="X30" s="90"/>
      <c r="Y30" s="88"/>
      <c r="Z30" s="89"/>
      <c r="AA30" s="90"/>
      <c r="AB30" s="88"/>
      <c r="AC30" s="89"/>
      <c r="AD30" s="90"/>
      <c r="AE30" s="88"/>
      <c r="AF30" s="89"/>
      <c r="AG30" s="90"/>
      <c r="AH30" s="88"/>
      <c r="AI30" s="89"/>
      <c r="AJ30" s="90"/>
      <c r="AK30" s="88"/>
      <c r="AL30" s="89"/>
      <c r="AM30" s="91"/>
      <c r="AN30" s="95"/>
      <c r="AO30" s="96"/>
      <c r="AP30" s="97"/>
      <c r="AQ30" s="130"/>
      <c r="AR30" s="135"/>
    </row>
    <row r="31" spans="1:44" ht="14.15" customHeight="1" x14ac:dyDescent="0.35">
      <c r="A31" s="85">
        <v>22</v>
      </c>
      <c r="B31" s="132"/>
      <c r="C31" s="87"/>
      <c r="D31" s="134"/>
      <c r="E31" s="89"/>
      <c r="F31" s="90"/>
      <c r="G31" s="88"/>
      <c r="H31" s="89"/>
      <c r="I31" s="90"/>
      <c r="J31" s="88"/>
      <c r="K31" s="89"/>
      <c r="L31" s="90"/>
      <c r="M31" s="88"/>
      <c r="N31" s="89"/>
      <c r="O31" s="90"/>
      <c r="P31" s="88"/>
      <c r="Q31" s="89"/>
      <c r="R31" s="90"/>
      <c r="S31" s="88"/>
      <c r="T31" s="89"/>
      <c r="U31" s="90"/>
      <c r="V31" s="88"/>
      <c r="W31" s="89"/>
      <c r="X31" s="90"/>
      <c r="Y31" s="88"/>
      <c r="Z31" s="89"/>
      <c r="AA31" s="90"/>
      <c r="AB31" s="88"/>
      <c r="AC31" s="89"/>
      <c r="AD31" s="90"/>
      <c r="AE31" s="88"/>
      <c r="AF31" s="89"/>
      <c r="AG31" s="90"/>
      <c r="AH31" s="88"/>
      <c r="AI31" s="89"/>
      <c r="AJ31" s="90"/>
      <c r="AK31" s="88"/>
      <c r="AL31" s="89"/>
      <c r="AM31" s="91"/>
      <c r="AN31" s="98"/>
      <c r="AO31" s="99"/>
      <c r="AP31" s="100"/>
      <c r="AQ31" s="130"/>
      <c r="AR31" s="135"/>
    </row>
    <row r="32" spans="1:44" ht="14.15" customHeight="1" x14ac:dyDescent="0.35">
      <c r="A32" s="85">
        <v>23</v>
      </c>
      <c r="B32" s="132"/>
      <c r="C32" s="136"/>
      <c r="D32" s="134"/>
      <c r="E32" s="89"/>
      <c r="F32" s="90"/>
      <c r="G32" s="88"/>
      <c r="H32" s="89"/>
      <c r="I32" s="90"/>
      <c r="J32" s="88"/>
      <c r="K32" s="89"/>
      <c r="L32" s="90"/>
      <c r="M32" s="88"/>
      <c r="N32" s="89"/>
      <c r="O32" s="90"/>
      <c r="P32" s="88"/>
      <c r="Q32" s="89"/>
      <c r="R32" s="90"/>
      <c r="S32" s="88"/>
      <c r="T32" s="89"/>
      <c r="U32" s="90"/>
      <c r="V32" s="88"/>
      <c r="W32" s="89"/>
      <c r="X32" s="90"/>
      <c r="Y32" s="88"/>
      <c r="Z32" s="89"/>
      <c r="AA32" s="90"/>
      <c r="AB32" s="88"/>
      <c r="AC32" s="89"/>
      <c r="AD32" s="90"/>
      <c r="AE32" s="88"/>
      <c r="AF32" s="89"/>
      <c r="AG32" s="90"/>
      <c r="AH32" s="88"/>
      <c r="AI32" s="89"/>
      <c r="AJ32" s="90"/>
      <c r="AK32" s="88"/>
      <c r="AL32" s="89"/>
      <c r="AM32" s="91"/>
      <c r="AN32" s="95"/>
      <c r="AO32" s="96"/>
      <c r="AP32" s="97"/>
      <c r="AQ32" s="130"/>
      <c r="AR32" s="135"/>
    </row>
    <row r="33" spans="1:46" ht="14.15" customHeight="1" x14ac:dyDescent="0.35">
      <c r="A33" s="85">
        <v>24</v>
      </c>
      <c r="B33" s="132"/>
      <c r="C33" s="136"/>
      <c r="D33" s="134"/>
      <c r="E33" s="89"/>
      <c r="F33" s="90"/>
      <c r="G33" s="88"/>
      <c r="H33" s="89"/>
      <c r="I33" s="90"/>
      <c r="J33" s="88"/>
      <c r="K33" s="89"/>
      <c r="L33" s="90"/>
      <c r="M33" s="88"/>
      <c r="N33" s="89"/>
      <c r="O33" s="90"/>
      <c r="P33" s="88"/>
      <c r="Q33" s="89"/>
      <c r="R33" s="90"/>
      <c r="S33" s="88"/>
      <c r="T33" s="89"/>
      <c r="U33" s="90"/>
      <c r="V33" s="88"/>
      <c r="W33" s="89"/>
      <c r="X33" s="90"/>
      <c r="Y33" s="88"/>
      <c r="Z33" s="89"/>
      <c r="AA33" s="90"/>
      <c r="AB33" s="88"/>
      <c r="AC33" s="89"/>
      <c r="AD33" s="90"/>
      <c r="AE33" s="88"/>
      <c r="AF33" s="89"/>
      <c r="AG33" s="90"/>
      <c r="AH33" s="88"/>
      <c r="AI33" s="89"/>
      <c r="AJ33" s="90"/>
      <c r="AK33" s="88"/>
      <c r="AL33" s="89"/>
      <c r="AM33" s="91"/>
      <c r="AN33" s="98"/>
      <c r="AO33" s="99"/>
      <c r="AP33" s="100"/>
      <c r="AQ33" s="130"/>
      <c r="AR33" s="135"/>
    </row>
    <row r="34" spans="1:46" ht="14.15" customHeight="1" x14ac:dyDescent="0.35">
      <c r="A34" s="85">
        <v>25</v>
      </c>
      <c r="B34" s="132"/>
      <c r="C34" s="104"/>
      <c r="D34" s="134"/>
      <c r="E34" s="89"/>
      <c r="F34" s="90"/>
      <c r="G34" s="88"/>
      <c r="H34" s="89"/>
      <c r="I34" s="90"/>
      <c r="J34" s="88"/>
      <c r="K34" s="89"/>
      <c r="L34" s="90"/>
      <c r="M34" s="88"/>
      <c r="N34" s="89"/>
      <c r="O34" s="90"/>
      <c r="P34" s="88"/>
      <c r="Q34" s="89"/>
      <c r="R34" s="90"/>
      <c r="S34" s="88"/>
      <c r="T34" s="89"/>
      <c r="U34" s="90"/>
      <c r="V34" s="88"/>
      <c r="W34" s="89"/>
      <c r="X34" s="90"/>
      <c r="Y34" s="88"/>
      <c r="Z34" s="89"/>
      <c r="AA34" s="90"/>
      <c r="AB34" s="88"/>
      <c r="AC34" s="89"/>
      <c r="AD34" s="90"/>
      <c r="AE34" s="88"/>
      <c r="AF34" s="89"/>
      <c r="AG34" s="90"/>
      <c r="AH34" s="88"/>
      <c r="AI34" s="89"/>
      <c r="AJ34" s="90"/>
      <c r="AK34" s="88"/>
      <c r="AL34" s="89"/>
      <c r="AM34" s="91"/>
      <c r="AN34" s="95"/>
      <c r="AO34" s="96"/>
      <c r="AP34" s="97"/>
      <c r="AQ34" s="130"/>
      <c r="AR34" s="135"/>
    </row>
    <row r="35" spans="1:46" ht="14.15" customHeight="1" x14ac:dyDescent="0.35">
      <c r="A35" s="85">
        <v>26</v>
      </c>
      <c r="B35" s="132"/>
      <c r="C35" s="87"/>
      <c r="D35" s="134"/>
      <c r="E35" s="89"/>
      <c r="F35" s="90"/>
      <c r="G35" s="88"/>
      <c r="H35" s="89"/>
      <c r="I35" s="90"/>
      <c r="J35" s="88"/>
      <c r="K35" s="89"/>
      <c r="L35" s="90"/>
      <c r="M35" s="88"/>
      <c r="N35" s="89"/>
      <c r="O35" s="90"/>
      <c r="P35" s="88"/>
      <c r="Q35" s="89"/>
      <c r="R35" s="90"/>
      <c r="S35" s="88"/>
      <c r="T35" s="89"/>
      <c r="U35" s="90"/>
      <c r="V35" s="88"/>
      <c r="W35" s="89"/>
      <c r="X35" s="90"/>
      <c r="Y35" s="88"/>
      <c r="Z35" s="89"/>
      <c r="AA35" s="90"/>
      <c r="AB35" s="88"/>
      <c r="AC35" s="89"/>
      <c r="AD35" s="90"/>
      <c r="AE35" s="88"/>
      <c r="AF35" s="89"/>
      <c r="AG35" s="90"/>
      <c r="AH35" s="88"/>
      <c r="AI35" s="89"/>
      <c r="AJ35" s="90"/>
      <c r="AK35" s="88"/>
      <c r="AL35" s="89"/>
      <c r="AM35" s="91"/>
      <c r="AN35" s="98"/>
      <c r="AO35" s="99"/>
      <c r="AP35" s="100"/>
      <c r="AQ35" s="130"/>
      <c r="AR35" s="135"/>
    </row>
    <row r="36" spans="1:46" ht="14.15" customHeight="1" x14ac:dyDescent="0.35">
      <c r="A36" s="85">
        <v>27</v>
      </c>
      <c r="B36" s="132"/>
      <c r="C36" s="87"/>
      <c r="D36" s="134"/>
      <c r="E36" s="89"/>
      <c r="F36" s="90"/>
      <c r="G36" s="88"/>
      <c r="H36" s="89"/>
      <c r="I36" s="90"/>
      <c r="J36" s="88"/>
      <c r="K36" s="89"/>
      <c r="L36" s="90"/>
      <c r="M36" s="88"/>
      <c r="N36" s="89"/>
      <c r="O36" s="90"/>
      <c r="P36" s="88"/>
      <c r="Q36" s="89"/>
      <c r="R36" s="90"/>
      <c r="S36" s="88"/>
      <c r="T36" s="89"/>
      <c r="U36" s="90"/>
      <c r="V36" s="88"/>
      <c r="W36" s="89"/>
      <c r="X36" s="90"/>
      <c r="Y36" s="88"/>
      <c r="Z36" s="89"/>
      <c r="AA36" s="90"/>
      <c r="AB36" s="88"/>
      <c r="AC36" s="89"/>
      <c r="AD36" s="90"/>
      <c r="AE36" s="88"/>
      <c r="AF36" s="89"/>
      <c r="AG36" s="90"/>
      <c r="AH36" s="88"/>
      <c r="AI36" s="89"/>
      <c r="AJ36" s="90"/>
      <c r="AK36" s="88"/>
      <c r="AL36" s="89"/>
      <c r="AM36" s="91"/>
      <c r="AN36" s="95"/>
      <c r="AO36" s="96"/>
      <c r="AP36" s="97"/>
      <c r="AQ36" s="130"/>
      <c r="AR36" s="135"/>
    </row>
    <row r="37" spans="1:46" ht="14.15" customHeight="1" x14ac:dyDescent="0.35">
      <c r="A37" s="85">
        <v>28</v>
      </c>
      <c r="B37" s="132"/>
      <c r="C37" s="87"/>
      <c r="D37" s="134"/>
      <c r="E37" s="89"/>
      <c r="F37" s="105"/>
      <c r="G37" s="88"/>
      <c r="H37" s="89"/>
      <c r="I37" s="105"/>
      <c r="J37" s="88"/>
      <c r="K37" s="89"/>
      <c r="L37" s="105"/>
      <c r="M37" s="88"/>
      <c r="N37" s="89"/>
      <c r="O37" s="105"/>
      <c r="P37" s="88"/>
      <c r="Q37" s="89"/>
      <c r="R37" s="105"/>
      <c r="S37" s="88"/>
      <c r="T37" s="89"/>
      <c r="U37" s="105"/>
      <c r="V37" s="88"/>
      <c r="W37" s="89"/>
      <c r="X37" s="105"/>
      <c r="Y37" s="88"/>
      <c r="Z37" s="89"/>
      <c r="AA37" s="105"/>
      <c r="AB37" s="88"/>
      <c r="AC37" s="89"/>
      <c r="AD37" s="105"/>
      <c r="AE37" s="88"/>
      <c r="AF37" s="89"/>
      <c r="AG37" s="105"/>
      <c r="AH37" s="88"/>
      <c r="AI37" s="89"/>
      <c r="AJ37" s="105"/>
      <c r="AK37" s="88"/>
      <c r="AL37" s="89"/>
      <c r="AM37" s="106"/>
      <c r="AN37" s="98"/>
      <c r="AO37" s="99"/>
      <c r="AP37" s="100"/>
      <c r="AQ37" s="130"/>
      <c r="AR37" s="135"/>
    </row>
    <row r="38" spans="1:46" ht="14.15" customHeight="1" x14ac:dyDescent="0.35">
      <c r="A38" s="85">
        <v>29</v>
      </c>
      <c r="B38" s="132"/>
      <c r="C38" s="87"/>
      <c r="D38" s="134"/>
      <c r="E38" s="89"/>
      <c r="F38" s="90"/>
      <c r="G38" s="88"/>
      <c r="H38" s="89"/>
      <c r="I38" s="90"/>
      <c r="J38" s="88"/>
      <c r="K38" s="89"/>
      <c r="L38" s="90"/>
      <c r="M38" s="88"/>
      <c r="N38" s="89"/>
      <c r="O38" s="90"/>
      <c r="P38" s="88"/>
      <c r="Q38" s="89"/>
      <c r="R38" s="90"/>
      <c r="S38" s="88"/>
      <c r="T38" s="89"/>
      <c r="U38" s="90"/>
      <c r="V38" s="88"/>
      <c r="W38" s="89"/>
      <c r="X38" s="90"/>
      <c r="Y38" s="88"/>
      <c r="Z38" s="89"/>
      <c r="AA38" s="90"/>
      <c r="AB38" s="88"/>
      <c r="AC38" s="89"/>
      <c r="AD38" s="90"/>
      <c r="AE38" s="88"/>
      <c r="AF38" s="89"/>
      <c r="AG38" s="90"/>
      <c r="AH38" s="88"/>
      <c r="AI38" s="89"/>
      <c r="AJ38" s="90"/>
      <c r="AK38" s="88"/>
      <c r="AL38" s="89"/>
      <c r="AM38" s="91"/>
      <c r="AN38" s="95"/>
      <c r="AO38" s="96"/>
      <c r="AP38" s="97"/>
      <c r="AQ38" s="130"/>
      <c r="AR38" s="135"/>
    </row>
    <row r="39" spans="1:46" ht="14.15" customHeight="1" x14ac:dyDescent="0.35">
      <c r="A39" s="85">
        <v>30</v>
      </c>
      <c r="B39" s="132"/>
      <c r="C39" s="87"/>
      <c r="D39" s="134"/>
      <c r="E39" s="89"/>
      <c r="F39" s="90"/>
      <c r="G39" s="88"/>
      <c r="H39" s="89"/>
      <c r="I39" s="90"/>
      <c r="J39" s="88"/>
      <c r="K39" s="89"/>
      <c r="L39" s="90"/>
      <c r="M39" s="88"/>
      <c r="N39" s="89"/>
      <c r="O39" s="90"/>
      <c r="P39" s="88"/>
      <c r="Q39" s="89"/>
      <c r="R39" s="90"/>
      <c r="S39" s="88"/>
      <c r="T39" s="89"/>
      <c r="U39" s="90"/>
      <c r="V39" s="88"/>
      <c r="W39" s="89"/>
      <c r="X39" s="90"/>
      <c r="Y39" s="88"/>
      <c r="Z39" s="89"/>
      <c r="AA39" s="90"/>
      <c r="AB39" s="88"/>
      <c r="AC39" s="89"/>
      <c r="AD39" s="90"/>
      <c r="AE39" s="88"/>
      <c r="AF39" s="89"/>
      <c r="AG39" s="90"/>
      <c r="AH39" s="88"/>
      <c r="AI39" s="89"/>
      <c r="AJ39" s="90"/>
      <c r="AK39" s="88"/>
      <c r="AL39" s="89"/>
      <c r="AM39" s="91"/>
      <c r="AN39" s="98"/>
      <c r="AO39" s="99"/>
      <c r="AP39" s="100"/>
      <c r="AQ39" s="130"/>
      <c r="AR39" s="135"/>
    </row>
    <row r="40" spans="1:46" ht="14.15" customHeight="1" x14ac:dyDescent="0.35">
      <c r="A40" s="85">
        <v>31</v>
      </c>
      <c r="B40" s="132"/>
      <c r="C40" s="104"/>
      <c r="D40" s="134"/>
      <c r="E40" s="89"/>
      <c r="F40" s="90"/>
      <c r="G40" s="88"/>
      <c r="H40" s="89"/>
      <c r="I40" s="90"/>
      <c r="J40" s="88"/>
      <c r="K40" s="89"/>
      <c r="L40" s="90"/>
      <c r="M40" s="88"/>
      <c r="N40" s="89"/>
      <c r="O40" s="90"/>
      <c r="P40" s="88"/>
      <c r="Q40" s="89"/>
      <c r="R40" s="90"/>
      <c r="S40" s="88"/>
      <c r="T40" s="89"/>
      <c r="U40" s="90"/>
      <c r="V40" s="88"/>
      <c r="W40" s="89"/>
      <c r="X40" s="90"/>
      <c r="Y40" s="88"/>
      <c r="Z40" s="89"/>
      <c r="AA40" s="90"/>
      <c r="AB40" s="88"/>
      <c r="AC40" s="89"/>
      <c r="AD40" s="90"/>
      <c r="AE40" s="88"/>
      <c r="AF40" s="89"/>
      <c r="AG40" s="90"/>
      <c r="AH40" s="88"/>
      <c r="AI40" s="89"/>
      <c r="AJ40" s="90"/>
      <c r="AK40" s="88"/>
      <c r="AL40" s="89"/>
      <c r="AM40" s="91"/>
      <c r="AN40" s="95"/>
      <c r="AO40" s="96"/>
      <c r="AP40" s="97"/>
      <c r="AQ40" s="130"/>
      <c r="AR40" s="135"/>
    </row>
    <row r="41" spans="1:46" ht="14.15" customHeight="1" thickBot="1" x14ac:dyDescent="0.4">
      <c r="A41" s="107">
        <v>32</v>
      </c>
      <c r="B41" s="137"/>
      <c r="C41" s="109"/>
      <c r="D41" s="138"/>
      <c r="E41" s="111"/>
      <c r="F41" s="112"/>
      <c r="G41" s="110"/>
      <c r="H41" s="111"/>
      <c r="I41" s="112"/>
      <c r="J41" s="110"/>
      <c r="K41" s="111"/>
      <c r="L41" s="112"/>
      <c r="M41" s="110"/>
      <c r="N41" s="111"/>
      <c r="O41" s="112"/>
      <c r="P41" s="110"/>
      <c r="Q41" s="111"/>
      <c r="R41" s="112"/>
      <c r="S41" s="110"/>
      <c r="T41" s="111"/>
      <c r="U41" s="112"/>
      <c r="V41" s="110"/>
      <c r="W41" s="111"/>
      <c r="X41" s="112"/>
      <c r="Y41" s="110"/>
      <c r="Z41" s="111"/>
      <c r="AA41" s="112"/>
      <c r="AB41" s="110"/>
      <c r="AC41" s="111"/>
      <c r="AD41" s="112"/>
      <c r="AE41" s="110"/>
      <c r="AF41" s="111"/>
      <c r="AG41" s="112"/>
      <c r="AH41" s="110"/>
      <c r="AI41" s="111"/>
      <c r="AJ41" s="112"/>
      <c r="AK41" s="110"/>
      <c r="AL41" s="111"/>
      <c r="AM41" s="113"/>
      <c r="AN41" s="114"/>
      <c r="AO41" s="115"/>
      <c r="AP41" s="116"/>
      <c r="AQ41" s="139"/>
      <c r="AR41" s="140"/>
    </row>
    <row r="42" spans="1:46" ht="8.25" customHeight="1" x14ac:dyDescent="0.35"/>
    <row r="43" spans="1:46" ht="16" thickBot="1" x14ac:dyDescent="0.4">
      <c r="A43" s="65"/>
      <c r="B43" s="64" t="s">
        <v>190</v>
      </c>
      <c r="C43" s="64"/>
      <c r="N43" s="65" t="s">
        <v>224</v>
      </c>
      <c r="AN43" s="65" t="s">
        <v>204</v>
      </c>
      <c r="AO43" s="65"/>
      <c r="AP43" s="65"/>
      <c r="AQ43" s="65"/>
      <c r="AR43" s="65"/>
      <c r="AS43" s="65"/>
    </row>
    <row r="44" spans="1:46" ht="15.5" x14ac:dyDescent="0.35">
      <c r="A44" s="65"/>
      <c r="B44" s="68" t="s">
        <v>294</v>
      </c>
      <c r="C44" s="64"/>
      <c r="E44" s="799" t="s">
        <v>236</v>
      </c>
      <c r="F44" s="799"/>
      <c r="G44" s="64"/>
      <c r="H44" s="64"/>
      <c r="N44" s="67" t="s">
        <v>247</v>
      </c>
      <c r="O44" s="67" t="s">
        <v>248</v>
      </c>
      <c r="S44" s="67" t="s">
        <v>237</v>
      </c>
      <c r="T44" s="67" t="s">
        <v>249</v>
      </c>
      <c r="AB44" s="118"/>
      <c r="AC44" s="815" t="s">
        <v>250</v>
      </c>
      <c r="AD44" s="815"/>
      <c r="AE44" s="815"/>
      <c r="AF44" s="815"/>
      <c r="AG44" s="815"/>
      <c r="AH44" s="816"/>
      <c r="AN44" s="64" t="s">
        <v>193</v>
      </c>
      <c r="AO44" s="64"/>
      <c r="AP44" s="64"/>
      <c r="AQ44" s="64"/>
      <c r="AR44" s="64"/>
      <c r="AS44" s="64"/>
    </row>
    <row r="45" spans="1:46" ht="15.5" x14ac:dyDescent="0.35">
      <c r="A45" s="65"/>
      <c r="B45" s="65"/>
      <c r="C45" s="65"/>
      <c r="E45" s="827" t="s">
        <v>281</v>
      </c>
      <c r="F45" s="827"/>
      <c r="G45" s="65" t="s">
        <v>71</v>
      </c>
      <c r="H45" s="65" t="s">
        <v>282</v>
      </c>
      <c r="N45" s="67" t="s">
        <v>252</v>
      </c>
      <c r="O45" s="67" t="s">
        <v>253</v>
      </c>
      <c r="S45" s="67" t="s">
        <v>4</v>
      </c>
      <c r="T45" s="67" t="s">
        <v>254</v>
      </c>
      <c r="AB45" s="119" t="s">
        <v>283</v>
      </c>
      <c r="AH45" s="120"/>
      <c r="AN45" s="65"/>
      <c r="AO45" s="65"/>
      <c r="AP45" s="65"/>
      <c r="AQ45" s="65"/>
      <c r="AR45" s="65"/>
      <c r="AS45" s="65"/>
    </row>
    <row r="46" spans="1:46" ht="16" thickBot="1" x14ac:dyDescent="0.4">
      <c r="A46" s="65"/>
      <c r="B46" s="65"/>
      <c r="C46" s="65"/>
      <c r="E46" s="827" t="s">
        <v>284</v>
      </c>
      <c r="F46" s="827"/>
      <c r="G46" s="65" t="s">
        <v>71</v>
      </c>
      <c r="H46" s="65" t="s">
        <v>285</v>
      </c>
      <c r="N46" s="67" t="s">
        <v>238</v>
      </c>
      <c r="O46" s="67" t="s">
        <v>257</v>
      </c>
      <c r="S46" s="67" t="s">
        <v>239</v>
      </c>
      <c r="T46" s="67" t="s">
        <v>258</v>
      </c>
      <c r="AB46" s="121"/>
      <c r="AC46" s="812">
        <v>100</v>
      </c>
      <c r="AD46" s="812"/>
      <c r="AE46" s="812"/>
      <c r="AF46" s="812"/>
      <c r="AG46" s="812"/>
      <c r="AH46" s="117"/>
      <c r="AN46" s="65"/>
      <c r="AO46" s="65"/>
      <c r="AP46" s="65"/>
      <c r="AQ46" s="65"/>
      <c r="AR46" s="65"/>
      <c r="AS46" s="65"/>
    </row>
    <row r="47" spans="1:46" ht="15.5" x14ac:dyDescent="0.35">
      <c r="A47" s="65"/>
      <c r="B47" s="122" t="s">
        <v>292</v>
      </c>
      <c r="C47" s="122"/>
      <c r="E47" s="827" t="s">
        <v>280</v>
      </c>
      <c r="F47" s="827"/>
      <c r="G47" s="64" t="s">
        <v>71</v>
      </c>
      <c r="H47" s="64" t="s">
        <v>286</v>
      </c>
      <c r="N47" s="67" t="s">
        <v>3</v>
      </c>
      <c r="O47" s="67" t="s">
        <v>260</v>
      </c>
      <c r="S47" s="67" t="s">
        <v>240</v>
      </c>
      <c r="T47" s="67" t="s">
        <v>261</v>
      </c>
      <c r="AN47" s="122"/>
      <c r="AO47" s="64"/>
      <c r="AP47" s="64"/>
      <c r="AQ47" s="64"/>
      <c r="AR47" s="64"/>
      <c r="AS47" s="64"/>
      <c r="AT47" s="122"/>
    </row>
    <row r="48" spans="1:46" ht="15.5" x14ac:dyDescent="0.35">
      <c r="A48" s="65"/>
      <c r="B48" s="64" t="s">
        <v>166</v>
      </c>
      <c r="C48" s="64"/>
      <c r="F48" s="68" t="s">
        <v>287</v>
      </c>
      <c r="G48" s="68"/>
      <c r="H48" s="68"/>
      <c r="N48" s="67" t="s">
        <v>241</v>
      </c>
      <c r="O48" s="67" t="s">
        <v>262</v>
      </c>
      <c r="S48" s="67" t="s">
        <v>240</v>
      </c>
      <c r="T48" s="67" t="s">
        <v>263</v>
      </c>
      <c r="AN48" s="64" t="s">
        <v>171</v>
      </c>
      <c r="AO48" s="64"/>
      <c r="AP48" s="64"/>
      <c r="AQ48" s="64"/>
      <c r="AR48" s="64"/>
      <c r="AS48" s="64"/>
      <c r="AT48" s="64"/>
    </row>
    <row r="50" spans="3:25" x14ac:dyDescent="0.35">
      <c r="C50" s="68"/>
      <c r="F50" s="141" t="s">
        <v>236</v>
      </c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</row>
    <row r="51" spans="3:25" ht="15" x14ac:dyDescent="0.35">
      <c r="F51" s="142"/>
      <c r="G51" s="142"/>
      <c r="H51" s="143">
        <v>1</v>
      </c>
      <c r="I51" s="144" t="s">
        <v>71</v>
      </c>
      <c r="J51" s="142" t="s">
        <v>288</v>
      </c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</row>
    <row r="52" spans="3:25" ht="15" x14ac:dyDescent="0.35">
      <c r="F52" s="142"/>
      <c r="G52" s="142"/>
      <c r="H52" s="143">
        <v>2</v>
      </c>
      <c r="I52" s="144" t="s">
        <v>71</v>
      </c>
      <c r="J52" s="142" t="s">
        <v>289</v>
      </c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</row>
    <row r="53" spans="3:25" ht="15" x14ac:dyDescent="0.35">
      <c r="F53" s="142"/>
      <c r="G53" s="142"/>
      <c r="H53" s="143">
        <v>3</v>
      </c>
      <c r="I53" s="144" t="s">
        <v>71</v>
      </c>
      <c r="J53" s="142" t="s">
        <v>290</v>
      </c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</row>
    <row r="54" spans="3:25" ht="15" x14ac:dyDescent="0.35">
      <c r="F54" s="142"/>
      <c r="G54" s="142"/>
      <c r="H54" s="143">
        <v>4</v>
      </c>
      <c r="I54" s="144" t="s">
        <v>71</v>
      </c>
      <c r="J54" s="142" t="s">
        <v>291</v>
      </c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</row>
    <row r="55" spans="3:25" x14ac:dyDescent="0.35"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</row>
  </sheetData>
  <mergeCells count="41">
    <mergeCell ref="E44:F44"/>
    <mergeCell ref="AC44:AH44"/>
    <mergeCell ref="E45:F45"/>
    <mergeCell ref="E46:F46"/>
    <mergeCell ref="AC46:AG46"/>
    <mergeCell ref="E47:F47"/>
    <mergeCell ref="AR7:AR9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B7:AD7"/>
    <mergeCell ref="AE7:AG7"/>
    <mergeCell ref="AH7:AJ7"/>
    <mergeCell ref="AK7:AM7"/>
    <mergeCell ref="AN7:AP9"/>
    <mergeCell ref="AQ1:AR1"/>
    <mergeCell ref="AT1:AU1"/>
    <mergeCell ref="A2:AO2"/>
    <mergeCell ref="AQ2:AR2"/>
    <mergeCell ref="AT2:AU2"/>
    <mergeCell ref="A6:A9"/>
    <mergeCell ref="B6:B9"/>
    <mergeCell ref="C6:AR6"/>
    <mergeCell ref="D7:F7"/>
    <mergeCell ref="G7:I7"/>
    <mergeCell ref="AQ7:AQ9"/>
    <mergeCell ref="AE8:AG8"/>
    <mergeCell ref="AH8:AJ8"/>
    <mergeCell ref="AK8:AM8"/>
    <mergeCell ref="J7:L7"/>
    <mergeCell ref="M7:O7"/>
    <mergeCell ref="P7:R7"/>
    <mergeCell ref="S7:U7"/>
    <mergeCell ref="V7:X7"/>
    <mergeCell ref="Y7:AA7"/>
  </mergeCells>
  <pageMargins left="0.98425196850393704" right="1.4566929133858268" top="0.31496062992125984" bottom="0.19685039370078741" header="0.31496062992125984" footer="0.31496062992125984"/>
  <pageSetup paperSize="5" scale="75" orientation="landscape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tabSelected="1" workbookViewId="0">
      <selection activeCell="A3" sqref="A3:F3"/>
    </sheetView>
  </sheetViews>
  <sheetFormatPr defaultColWidth="9.1796875" defaultRowHeight="14" x14ac:dyDescent="0.3"/>
  <cols>
    <col min="1" max="1" width="4.453125" style="43" customWidth="1"/>
    <col min="2" max="2" width="28.7265625" style="43" customWidth="1"/>
    <col min="3" max="3" width="27.81640625" style="43" customWidth="1"/>
    <col min="4" max="4" width="17.26953125" style="43" customWidth="1"/>
    <col min="5" max="5" width="11.7265625" style="43" customWidth="1"/>
    <col min="6" max="6" width="30" style="43" customWidth="1"/>
    <col min="7" max="16384" width="9.1796875" style="43"/>
  </cols>
  <sheetData>
    <row r="1" spans="1:7" x14ac:dyDescent="0.3">
      <c r="F1" s="305" t="s">
        <v>760</v>
      </c>
      <c r="G1" s="303"/>
    </row>
    <row r="2" spans="1:7" x14ac:dyDescent="0.3">
      <c r="F2" s="197">
        <v>45117</v>
      </c>
      <c r="G2" s="304"/>
    </row>
    <row r="3" spans="1:7" x14ac:dyDescent="0.3">
      <c r="A3" s="828" t="s">
        <v>377</v>
      </c>
      <c r="B3" s="828"/>
      <c r="C3" s="828"/>
      <c r="D3" s="828"/>
      <c r="E3" s="828"/>
      <c r="F3" s="828"/>
    </row>
    <row r="4" spans="1:7" x14ac:dyDescent="0.3">
      <c r="A4" s="62"/>
      <c r="B4" s="62"/>
      <c r="C4" s="62"/>
      <c r="D4" s="62"/>
      <c r="E4" s="62"/>
      <c r="F4" s="62"/>
    </row>
    <row r="5" spans="1:7" x14ac:dyDescent="0.3">
      <c r="A5" s="828"/>
      <c r="B5" s="828"/>
      <c r="C5" s="828"/>
      <c r="D5" s="828"/>
      <c r="E5" s="828"/>
      <c r="F5" s="828"/>
    </row>
    <row r="6" spans="1:7" x14ac:dyDescent="0.3">
      <c r="A6" s="63" t="s">
        <v>1</v>
      </c>
      <c r="B6" s="63" t="s">
        <v>370</v>
      </c>
      <c r="C6" s="63" t="s">
        <v>374</v>
      </c>
      <c r="D6" s="63" t="s">
        <v>375</v>
      </c>
      <c r="E6" s="63" t="s">
        <v>376</v>
      </c>
      <c r="F6" s="63" t="s">
        <v>181</v>
      </c>
    </row>
    <row r="7" spans="1:7" x14ac:dyDescent="0.3">
      <c r="A7" s="45"/>
      <c r="B7" s="45"/>
      <c r="C7" s="45"/>
      <c r="D7" s="45"/>
      <c r="E7" s="45"/>
      <c r="F7" s="45"/>
    </row>
    <row r="8" spans="1:7" x14ac:dyDescent="0.3">
      <c r="A8" s="45"/>
      <c r="B8" s="45"/>
      <c r="C8" s="45"/>
      <c r="D8" s="45"/>
      <c r="E8" s="45"/>
      <c r="F8" s="45"/>
    </row>
    <row r="9" spans="1:7" x14ac:dyDescent="0.3">
      <c r="A9" s="45"/>
      <c r="B9" s="45"/>
      <c r="C9" s="45"/>
      <c r="D9" s="45"/>
      <c r="E9" s="45"/>
      <c r="F9" s="45"/>
    </row>
    <row r="10" spans="1:7" x14ac:dyDescent="0.3">
      <c r="A10" s="45"/>
      <c r="B10" s="45"/>
      <c r="C10" s="45"/>
      <c r="D10" s="45"/>
      <c r="E10" s="45"/>
      <c r="F10" s="45"/>
    </row>
    <row r="11" spans="1:7" x14ac:dyDescent="0.3">
      <c r="A11" s="45"/>
      <c r="B11" s="45"/>
      <c r="C11" s="45"/>
      <c r="D11" s="45"/>
      <c r="E11" s="45"/>
      <c r="F11" s="45"/>
    </row>
    <row r="12" spans="1:7" x14ac:dyDescent="0.3">
      <c r="A12" s="45"/>
      <c r="B12" s="45"/>
      <c r="C12" s="45"/>
      <c r="D12" s="45"/>
      <c r="E12" s="45"/>
      <c r="F12" s="45"/>
    </row>
    <row r="13" spans="1:7" x14ac:dyDescent="0.3">
      <c r="A13" s="45"/>
      <c r="B13" s="45"/>
      <c r="C13" s="45"/>
      <c r="D13" s="45"/>
      <c r="E13" s="45"/>
      <c r="F13" s="45"/>
    </row>
    <row r="14" spans="1:7" x14ac:dyDescent="0.3">
      <c r="A14" s="45"/>
      <c r="B14" s="45"/>
      <c r="C14" s="45"/>
      <c r="D14" s="45"/>
      <c r="E14" s="45"/>
      <c r="F14" s="45"/>
    </row>
    <row r="15" spans="1:7" x14ac:dyDescent="0.3">
      <c r="A15" s="45"/>
      <c r="B15" s="45"/>
      <c r="C15" s="45"/>
      <c r="D15" s="45"/>
      <c r="E15" s="45"/>
      <c r="F15" s="45"/>
    </row>
    <row r="16" spans="1:7" x14ac:dyDescent="0.3">
      <c r="A16" s="45"/>
      <c r="B16" s="45"/>
      <c r="C16" s="45"/>
      <c r="D16" s="45"/>
      <c r="E16" s="45"/>
      <c r="F16" s="45"/>
    </row>
    <row r="18" spans="2:6" x14ac:dyDescent="0.3">
      <c r="F18" s="172" t="s">
        <v>373</v>
      </c>
    </row>
    <row r="19" spans="2:6" x14ac:dyDescent="0.3">
      <c r="B19" s="44" t="s">
        <v>34</v>
      </c>
      <c r="F19" s="44"/>
    </row>
    <row r="20" spans="2:6" x14ac:dyDescent="0.3">
      <c r="B20" s="44" t="s">
        <v>331</v>
      </c>
      <c r="F20" s="44" t="s">
        <v>43</v>
      </c>
    </row>
    <row r="21" spans="2:6" x14ac:dyDescent="0.3">
      <c r="B21" s="44"/>
      <c r="F21" s="44"/>
    </row>
    <row r="22" spans="2:6" x14ac:dyDescent="0.3">
      <c r="B22" s="44"/>
      <c r="F22" s="44"/>
    </row>
    <row r="23" spans="2:6" x14ac:dyDescent="0.3">
      <c r="B23" s="44"/>
      <c r="F23" s="44"/>
    </row>
    <row r="24" spans="2:6" x14ac:dyDescent="0.3">
      <c r="B24" s="172"/>
      <c r="F24" s="172"/>
    </row>
    <row r="25" spans="2:6" ht="15.5" x14ac:dyDescent="0.35">
      <c r="B25" s="35" t="s">
        <v>171</v>
      </c>
      <c r="F25" s="35" t="s">
        <v>171</v>
      </c>
    </row>
    <row r="26" spans="2:6" x14ac:dyDescent="0.3">
      <c r="B26" s="44"/>
      <c r="F26" s="44"/>
    </row>
    <row r="27" spans="2:6" x14ac:dyDescent="0.3">
      <c r="B27" s="43" t="s">
        <v>33</v>
      </c>
      <c r="F27" s="172" t="s">
        <v>344</v>
      </c>
    </row>
    <row r="28" spans="2:6" x14ac:dyDescent="0.3">
      <c r="B28" s="172"/>
      <c r="F28" s="172"/>
    </row>
    <row r="29" spans="2:6" x14ac:dyDescent="0.3">
      <c r="B29" s="172"/>
      <c r="F29" s="172"/>
    </row>
    <row r="30" spans="2:6" x14ac:dyDescent="0.3">
      <c r="B30" s="172"/>
      <c r="F30" s="172"/>
    </row>
    <row r="31" spans="2:6" x14ac:dyDescent="0.3">
      <c r="B31" s="44"/>
      <c r="F31" s="44"/>
    </row>
    <row r="32" spans="2:6" x14ac:dyDescent="0.3">
      <c r="B32" s="172" t="s">
        <v>338</v>
      </c>
      <c r="F32" s="53" t="s">
        <v>340</v>
      </c>
    </row>
    <row r="33" spans="2:6" x14ac:dyDescent="0.3">
      <c r="B33" s="172" t="s">
        <v>336</v>
      </c>
      <c r="F33" s="53" t="s">
        <v>343</v>
      </c>
    </row>
  </sheetData>
  <mergeCells count="2">
    <mergeCell ref="A5:F5"/>
    <mergeCell ref="A3:F3"/>
  </mergeCells>
  <pageMargins left="1.299212598425197" right="0.11811023622047245" top="0.35433070866141736" bottom="1.5354330708661419" header="0.31496062992125984" footer="0.31496062992125984"/>
  <pageSetup paperSize="5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E50"/>
  <sheetViews>
    <sheetView topLeftCell="A10" workbookViewId="0">
      <selection activeCell="A8" sqref="A8"/>
    </sheetView>
  </sheetViews>
  <sheetFormatPr defaultColWidth="9.1796875" defaultRowHeight="14" x14ac:dyDescent="0.3"/>
  <cols>
    <col min="1" max="1" width="5.1796875" style="43" customWidth="1"/>
    <col min="2" max="2" width="31.1796875" style="43" customWidth="1"/>
    <col min="3" max="3" width="18.54296875" style="43" customWidth="1"/>
    <col min="4" max="4" width="19.1796875" style="43" customWidth="1"/>
    <col min="5" max="5" width="14" style="43" customWidth="1"/>
    <col min="6" max="16384" width="9.1796875" style="43"/>
  </cols>
  <sheetData>
    <row r="1" spans="1:5" x14ac:dyDescent="0.3">
      <c r="E1" s="299" t="s">
        <v>761</v>
      </c>
    </row>
    <row r="2" spans="1:5" x14ac:dyDescent="0.3">
      <c r="E2" s="197">
        <v>45117</v>
      </c>
    </row>
    <row r="3" spans="1:5" ht="17.5" x14ac:dyDescent="0.35">
      <c r="A3" s="521" t="s">
        <v>18</v>
      </c>
      <c r="B3" s="521"/>
      <c r="C3" s="521"/>
      <c r="D3" s="521"/>
      <c r="E3" s="521"/>
    </row>
    <row r="4" spans="1:5" ht="9" customHeight="1" x14ac:dyDescent="0.35">
      <c r="A4" s="47"/>
      <c r="B4" s="47"/>
      <c r="C4" s="47"/>
      <c r="D4" s="47"/>
      <c r="E4" s="47"/>
    </row>
    <row r="5" spans="1:5" ht="17.5" x14ac:dyDescent="0.35">
      <c r="A5" s="43" t="s">
        <v>40</v>
      </c>
      <c r="B5" s="47"/>
      <c r="C5" s="41" t="s">
        <v>382</v>
      </c>
      <c r="D5" s="47"/>
      <c r="E5" s="47"/>
    </row>
    <row r="6" spans="1:5" ht="17.5" x14ac:dyDescent="0.35">
      <c r="A6" s="43" t="s">
        <v>41</v>
      </c>
      <c r="B6" s="47"/>
      <c r="C6" s="41" t="s">
        <v>382</v>
      </c>
      <c r="D6" s="47"/>
      <c r="E6" s="47"/>
    </row>
    <row r="7" spans="1:5" ht="17.5" x14ac:dyDescent="0.35">
      <c r="A7" s="44" t="s">
        <v>663</v>
      </c>
      <c r="B7" s="47"/>
      <c r="C7" s="41" t="s">
        <v>71</v>
      </c>
      <c r="D7" s="47"/>
      <c r="E7" s="47"/>
    </row>
    <row r="8" spans="1:5" ht="17.5" x14ac:dyDescent="0.35">
      <c r="A8" s="44" t="s">
        <v>141</v>
      </c>
      <c r="B8" s="47"/>
      <c r="C8" s="41" t="s">
        <v>35</v>
      </c>
      <c r="D8" s="47"/>
      <c r="E8" s="47"/>
    </row>
    <row r="9" spans="1:5" ht="17.5" x14ac:dyDescent="0.35">
      <c r="A9" s="43" t="s">
        <v>42</v>
      </c>
      <c r="B9" s="47"/>
      <c r="C9" s="41" t="s">
        <v>35</v>
      </c>
      <c r="D9" s="47"/>
      <c r="E9" s="47"/>
    </row>
    <row r="10" spans="1:5" ht="9" customHeight="1" x14ac:dyDescent="0.3"/>
    <row r="11" spans="1:5" x14ac:dyDescent="0.3">
      <c r="A11" s="175" t="s">
        <v>2</v>
      </c>
      <c r="B11" s="175" t="s">
        <v>125</v>
      </c>
    </row>
    <row r="12" spans="1:5" ht="9" customHeight="1" x14ac:dyDescent="0.3">
      <c r="A12" s="175"/>
      <c r="B12" s="175"/>
    </row>
    <row r="13" spans="1:5" s="171" customFormat="1" ht="27" customHeight="1" thickBot="1" x14ac:dyDescent="0.4">
      <c r="A13" s="245" t="s">
        <v>112</v>
      </c>
      <c r="B13" s="245" t="s">
        <v>127</v>
      </c>
      <c r="C13" s="245" t="s">
        <v>128</v>
      </c>
      <c r="D13" s="245" t="s">
        <v>129</v>
      </c>
      <c r="E13" s="245" t="s">
        <v>130</v>
      </c>
    </row>
    <row r="14" spans="1:5" ht="14.5" thickTop="1" x14ac:dyDescent="0.3">
      <c r="A14" s="191"/>
      <c r="B14" s="191"/>
      <c r="C14" s="191"/>
      <c r="D14" s="191"/>
      <c r="E14" s="191"/>
    </row>
    <row r="15" spans="1:5" x14ac:dyDescent="0.3">
      <c r="A15" s="191"/>
      <c r="B15" s="191"/>
      <c r="C15" s="191"/>
      <c r="D15" s="191"/>
      <c r="E15" s="248"/>
    </row>
    <row r="16" spans="1:5" x14ac:dyDescent="0.3">
      <c r="A16" s="191"/>
      <c r="B16" s="191"/>
      <c r="C16" s="191"/>
      <c r="D16" s="45"/>
      <c r="E16" s="248"/>
    </row>
    <row r="17" spans="1:5" x14ac:dyDescent="0.3">
      <c r="A17" s="191"/>
      <c r="B17" s="191"/>
      <c r="C17" s="191"/>
      <c r="D17" s="45"/>
      <c r="E17" s="248"/>
    </row>
    <row r="18" spans="1:5" x14ac:dyDescent="0.3">
      <c r="A18" s="191"/>
      <c r="B18" s="191"/>
      <c r="C18" s="191"/>
      <c r="D18" s="191"/>
      <c r="E18" s="248"/>
    </row>
    <row r="19" spans="1:5" x14ac:dyDescent="0.3">
      <c r="A19" s="191"/>
      <c r="B19" s="191"/>
      <c r="C19" s="191"/>
      <c r="D19" s="45"/>
      <c r="E19" s="248"/>
    </row>
    <row r="20" spans="1:5" x14ac:dyDescent="0.3">
      <c r="A20" s="191"/>
      <c r="B20" s="191"/>
      <c r="C20" s="191"/>
      <c r="D20" s="45"/>
      <c r="E20" s="248"/>
    </row>
    <row r="21" spans="1:5" x14ac:dyDescent="0.3">
      <c r="A21" s="191"/>
      <c r="B21" s="45"/>
      <c r="C21" s="45"/>
      <c r="D21" s="45"/>
      <c r="E21" s="63"/>
    </row>
    <row r="22" spans="1:5" x14ac:dyDescent="0.3">
      <c r="A22" s="191"/>
      <c r="B22" s="45"/>
      <c r="C22" s="45"/>
      <c r="D22" s="45"/>
      <c r="E22" s="45"/>
    </row>
    <row r="23" spans="1:5" x14ac:dyDescent="0.3">
      <c r="A23" s="45"/>
      <c r="B23" s="45"/>
      <c r="C23" s="45"/>
      <c r="D23" s="45"/>
      <c r="E23" s="45"/>
    </row>
    <row r="24" spans="1:5" x14ac:dyDescent="0.3">
      <c r="A24" s="45"/>
      <c r="B24" s="45"/>
      <c r="C24" s="45"/>
      <c r="D24" s="45"/>
      <c r="E24" s="63"/>
    </row>
    <row r="25" spans="1:5" x14ac:dyDescent="0.3">
      <c r="A25" s="45"/>
      <c r="B25" s="45"/>
      <c r="C25" s="45"/>
      <c r="D25" s="45"/>
      <c r="E25" s="45"/>
    </row>
    <row r="27" spans="1:5" x14ac:dyDescent="0.3">
      <c r="A27" s="175" t="s">
        <v>3</v>
      </c>
      <c r="B27" s="175" t="s">
        <v>126</v>
      </c>
    </row>
    <row r="29" spans="1:5" s="171" customFormat="1" ht="14.5" thickBot="1" x14ac:dyDescent="0.4">
      <c r="A29" s="245" t="s">
        <v>112</v>
      </c>
      <c r="B29" s="245" t="s">
        <v>127</v>
      </c>
      <c r="C29" s="245" t="s">
        <v>128</v>
      </c>
      <c r="D29" s="245" t="s">
        <v>129</v>
      </c>
      <c r="E29" s="245" t="s">
        <v>130</v>
      </c>
    </row>
    <row r="30" spans="1:5" ht="9" customHeight="1" thickTop="1" x14ac:dyDescent="0.3">
      <c r="A30" s="191"/>
      <c r="B30" s="191"/>
      <c r="C30" s="191"/>
      <c r="D30" s="191"/>
      <c r="E30" s="191"/>
    </row>
    <row r="31" spans="1:5" ht="27" customHeight="1" x14ac:dyDescent="0.3">
      <c r="A31" s="248">
        <v>1</v>
      </c>
      <c r="B31" s="191"/>
      <c r="C31" s="191"/>
      <c r="D31" s="191"/>
      <c r="E31" s="248"/>
    </row>
    <row r="32" spans="1:5" x14ac:dyDescent="0.3">
      <c r="A32" s="45"/>
      <c r="B32" s="45"/>
      <c r="C32" s="45"/>
      <c r="D32" s="45"/>
      <c r="E32" s="45"/>
    </row>
    <row r="33" spans="1:5" x14ac:dyDescent="0.3">
      <c r="A33" s="45"/>
      <c r="B33" s="45"/>
      <c r="C33" s="45"/>
      <c r="D33" s="45"/>
      <c r="E33" s="45"/>
    </row>
    <row r="34" spans="1:5" x14ac:dyDescent="0.3">
      <c r="A34" s="45"/>
      <c r="B34" s="45"/>
      <c r="C34" s="45"/>
      <c r="D34" s="45"/>
      <c r="E34" s="45"/>
    </row>
    <row r="36" spans="1:5" x14ac:dyDescent="0.3">
      <c r="D36" s="172" t="s">
        <v>669</v>
      </c>
    </row>
    <row r="37" spans="1:5" x14ac:dyDescent="0.3">
      <c r="B37" s="44" t="s">
        <v>34</v>
      </c>
      <c r="D37" s="44"/>
    </row>
    <row r="38" spans="1:5" x14ac:dyDescent="0.3">
      <c r="B38" s="44" t="s">
        <v>331</v>
      </c>
      <c r="D38" s="44" t="s">
        <v>43</v>
      </c>
    </row>
    <row r="39" spans="1:5" x14ac:dyDescent="0.3">
      <c r="B39" s="44"/>
      <c r="D39" s="44"/>
    </row>
    <row r="40" spans="1:5" x14ac:dyDescent="0.3">
      <c r="B40" s="44"/>
      <c r="D40" s="44"/>
    </row>
    <row r="41" spans="1:5" x14ac:dyDescent="0.3">
      <c r="B41" s="44"/>
      <c r="D41" s="44"/>
    </row>
    <row r="42" spans="1:5" x14ac:dyDescent="0.3">
      <c r="B42" s="172"/>
      <c r="D42" s="172"/>
    </row>
    <row r="43" spans="1:5" ht="15.5" x14ac:dyDescent="0.35">
      <c r="B43" s="35" t="s">
        <v>171</v>
      </c>
      <c r="D43" s="35" t="s">
        <v>171</v>
      </c>
    </row>
    <row r="44" spans="1:5" x14ac:dyDescent="0.3">
      <c r="B44" s="44"/>
      <c r="D44" s="44"/>
    </row>
    <row r="45" spans="1:5" x14ac:dyDescent="0.3">
      <c r="B45" s="43" t="s">
        <v>33</v>
      </c>
      <c r="D45" s="172" t="s">
        <v>344</v>
      </c>
    </row>
    <row r="46" spans="1:5" x14ac:dyDescent="0.3">
      <c r="B46" s="172"/>
      <c r="D46" s="172"/>
    </row>
    <row r="47" spans="1:5" x14ac:dyDescent="0.3">
      <c r="B47" s="172"/>
      <c r="D47" s="172"/>
    </row>
    <row r="48" spans="1:5" x14ac:dyDescent="0.3">
      <c r="B48" s="44"/>
      <c r="D48" s="44"/>
    </row>
    <row r="49" spans="2:4" x14ac:dyDescent="0.3">
      <c r="B49" s="172" t="s">
        <v>338</v>
      </c>
      <c r="D49" s="53" t="s">
        <v>340</v>
      </c>
    </row>
    <row r="50" spans="2:4" x14ac:dyDescent="0.3">
      <c r="B50" s="172" t="s">
        <v>336</v>
      </c>
      <c r="D50" s="53" t="s">
        <v>343</v>
      </c>
    </row>
  </sheetData>
  <mergeCells count="1">
    <mergeCell ref="A3:E3"/>
  </mergeCells>
  <pageMargins left="0.98425196850393704" right="0.39370078740157483" top="0.59055118110236227" bottom="0.39370078740157483" header="0.31496062992125984" footer="0.31496062992125984"/>
  <pageSetup paperSize="5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Q140"/>
  <sheetViews>
    <sheetView topLeftCell="C52" zoomScaleNormal="100" workbookViewId="0">
      <selection activeCell="E143" sqref="E143"/>
    </sheetView>
  </sheetViews>
  <sheetFormatPr defaultColWidth="9.1796875" defaultRowHeight="14" x14ac:dyDescent="0.3"/>
  <cols>
    <col min="1" max="1" width="4" style="25" customWidth="1"/>
    <col min="2" max="2" width="40.26953125" style="25" customWidth="1"/>
    <col min="3" max="3" width="9.453125" style="25" customWidth="1"/>
    <col min="4" max="4" width="43.1796875" style="25" customWidth="1"/>
    <col min="5" max="5" width="37.7265625" style="25" customWidth="1"/>
    <col min="6" max="6" width="6.81640625" style="25" customWidth="1"/>
    <col min="7" max="7" width="15" style="25" customWidth="1"/>
    <col min="8" max="16384" width="9.1796875" style="25"/>
  </cols>
  <sheetData>
    <row r="1" spans="1:7" x14ac:dyDescent="0.3">
      <c r="A1" s="145"/>
      <c r="B1" s="145"/>
      <c r="C1" s="145"/>
      <c r="D1" s="145"/>
      <c r="E1" s="145"/>
      <c r="F1" s="844" t="s">
        <v>762</v>
      </c>
      <c r="G1" s="845"/>
    </row>
    <row r="2" spans="1:7" x14ac:dyDescent="0.3">
      <c r="A2" s="145"/>
      <c r="B2" s="145"/>
      <c r="C2" s="145"/>
      <c r="D2" s="145"/>
      <c r="E2" s="145"/>
      <c r="F2" s="846">
        <v>45117</v>
      </c>
      <c r="G2" s="847"/>
    </row>
    <row r="3" spans="1:7" ht="17.5" x14ac:dyDescent="0.35">
      <c r="A3" s="848" t="s">
        <v>195</v>
      </c>
      <c r="B3" s="848"/>
      <c r="C3" s="848"/>
      <c r="D3" s="848"/>
      <c r="E3" s="848"/>
      <c r="F3" s="848"/>
      <c r="G3" s="848"/>
    </row>
    <row r="4" spans="1:7" ht="7.5" customHeight="1" x14ac:dyDescent="0.3">
      <c r="A4" s="145"/>
      <c r="B4" s="145"/>
      <c r="C4" s="145"/>
      <c r="D4" s="145"/>
      <c r="E4" s="145"/>
      <c r="F4" s="145"/>
      <c r="G4" s="145"/>
    </row>
    <row r="5" spans="1:7" x14ac:dyDescent="0.3">
      <c r="A5" s="146" t="s">
        <v>787</v>
      </c>
      <c r="B5" s="146"/>
      <c r="C5" s="146"/>
      <c r="D5" s="146" t="s">
        <v>782</v>
      </c>
      <c r="E5" s="146" t="s">
        <v>783</v>
      </c>
      <c r="F5" s="145"/>
      <c r="G5" s="145"/>
    </row>
    <row r="6" spans="1:7" x14ac:dyDescent="0.3">
      <c r="A6" s="146" t="s">
        <v>786</v>
      </c>
      <c r="B6" s="146"/>
      <c r="C6" s="146"/>
      <c r="D6" s="146" t="s">
        <v>785</v>
      </c>
      <c r="E6" s="146" t="s">
        <v>784</v>
      </c>
      <c r="F6" s="145"/>
      <c r="G6" s="145"/>
    </row>
    <row r="7" spans="1:7" x14ac:dyDescent="0.3">
      <c r="A7" s="146" t="s">
        <v>781</v>
      </c>
      <c r="B7" s="146"/>
      <c r="C7" s="146"/>
      <c r="D7" s="146"/>
      <c r="E7" s="146"/>
      <c r="F7" s="145"/>
      <c r="G7" s="145"/>
    </row>
    <row r="8" spans="1:7" ht="9.75" customHeight="1" x14ac:dyDescent="0.3">
      <c r="A8" s="145"/>
      <c r="B8" s="145"/>
      <c r="C8" s="145"/>
      <c r="D8" s="145"/>
      <c r="E8" s="145"/>
      <c r="F8" s="145"/>
      <c r="G8" s="145"/>
    </row>
    <row r="9" spans="1:7" ht="34.5" customHeight="1" x14ac:dyDescent="0.3">
      <c r="A9" s="147" t="s">
        <v>1</v>
      </c>
      <c r="B9" s="147" t="s">
        <v>366</v>
      </c>
      <c r="C9" s="148" t="s">
        <v>196</v>
      </c>
      <c r="D9" s="147" t="s">
        <v>197</v>
      </c>
      <c r="E9" s="147" t="s">
        <v>165</v>
      </c>
      <c r="F9" s="148" t="s">
        <v>198</v>
      </c>
      <c r="G9" s="148" t="s">
        <v>199</v>
      </c>
    </row>
    <row r="10" spans="1:7" x14ac:dyDescent="0.3">
      <c r="A10" s="149">
        <v>1</v>
      </c>
      <c r="B10" s="149" t="s">
        <v>788</v>
      </c>
      <c r="C10" s="832">
        <v>1</v>
      </c>
      <c r="D10" s="834" t="s">
        <v>789</v>
      </c>
      <c r="E10" s="834" t="s">
        <v>790</v>
      </c>
      <c r="F10" s="832">
        <v>1</v>
      </c>
      <c r="G10" s="841"/>
    </row>
    <row r="11" spans="1:7" x14ac:dyDescent="0.3">
      <c r="A11" s="149">
        <v>2</v>
      </c>
      <c r="B11" s="149"/>
      <c r="C11" s="837"/>
      <c r="D11" s="836"/>
      <c r="E11" s="836"/>
      <c r="F11" s="833"/>
      <c r="G11" s="843"/>
    </row>
    <row r="12" spans="1:7" ht="16.5" customHeight="1" x14ac:dyDescent="0.3">
      <c r="A12" s="149">
        <v>3</v>
      </c>
      <c r="B12" s="149"/>
      <c r="C12" s="832">
        <v>1</v>
      </c>
      <c r="D12" s="834" t="s">
        <v>791</v>
      </c>
      <c r="E12" s="834" t="s">
        <v>796</v>
      </c>
      <c r="F12" s="832">
        <v>2</v>
      </c>
      <c r="G12" s="841"/>
    </row>
    <row r="13" spans="1:7" x14ac:dyDescent="0.3">
      <c r="A13" s="149">
        <v>4</v>
      </c>
      <c r="B13" s="149"/>
      <c r="C13" s="837"/>
      <c r="D13" s="835"/>
      <c r="E13" s="835"/>
      <c r="F13" s="837"/>
      <c r="G13" s="842"/>
    </row>
    <row r="14" spans="1:7" ht="32.25" customHeight="1" x14ac:dyDescent="0.3">
      <c r="A14" s="149">
        <v>5</v>
      </c>
      <c r="B14" s="149"/>
      <c r="C14" s="833"/>
      <c r="D14" s="836"/>
      <c r="E14" s="836"/>
      <c r="F14" s="833"/>
      <c r="G14" s="843"/>
    </row>
    <row r="15" spans="1:7" x14ac:dyDescent="0.3">
      <c r="A15" s="149">
        <v>6</v>
      </c>
      <c r="B15" s="149"/>
      <c r="C15" s="849">
        <v>1</v>
      </c>
      <c r="D15" s="834" t="s">
        <v>789</v>
      </c>
      <c r="E15" s="834" t="s">
        <v>790</v>
      </c>
      <c r="F15" s="832">
        <v>3</v>
      </c>
      <c r="G15" s="841"/>
    </row>
    <row r="16" spans="1:7" x14ac:dyDescent="0.3">
      <c r="A16" s="149">
        <v>7</v>
      </c>
      <c r="B16" s="149"/>
      <c r="C16" s="850"/>
      <c r="D16" s="836"/>
      <c r="E16" s="836"/>
      <c r="F16" s="833"/>
      <c r="G16" s="843"/>
    </row>
    <row r="17" spans="1:7" ht="16.5" customHeight="1" x14ac:dyDescent="0.3">
      <c r="A17" s="149">
        <v>8</v>
      </c>
      <c r="B17" s="149"/>
      <c r="C17" s="832">
        <v>1</v>
      </c>
      <c r="D17" s="834" t="s">
        <v>794</v>
      </c>
      <c r="E17" s="834" t="s">
        <v>795</v>
      </c>
      <c r="F17" s="832">
        <v>4</v>
      </c>
      <c r="G17" s="841"/>
    </row>
    <row r="18" spans="1:7" x14ac:dyDescent="0.3">
      <c r="A18" s="149">
        <v>9</v>
      </c>
      <c r="B18" s="149"/>
      <c r="C18" s="837"/>
      <c r="D18" s="835"/>
      <c r="E18" s="835"/>
      <c r="F18" s="837"/>
      <c r="G18" s="842"/>
    </row>
    <row r="19" spans="1:7" x14ac:dyDescent="0.3">
      <c r="A19" s="149">
        <v>10</v>
      </c>
      <c r="B19" s="149"/>
      <c r="C19" s="837"/>
      <c r="D19" s="835"/>
      <c r="E19" s="835"/>
      <c r="F19" s="837"/>
      <c r="G19" s="842"/>
    </row>
    <row r="20" spans="1:7" x14ac:dyDescent="0.3">
      <c r="A20" s="149">
        <v>11</v>
      </c>
      <c r="B20" s="149"/>
      <c r="C20" s="833"/>
      <c r="D20" s="836"/>
      <c r="E20" s="836"/>
      <c r="F20" s="833"/>
      <c r="G20" s="843"/>
    </row>
    <row r="21" spans="1:7" x14ac:dyDescent="0.3">
      <c r="A21" s="149">
        <v>12</v>
      </c>
      <c r="B21" s="149"/>
      <c r="C21" s="832">
        <v>1</v>
      </c>
      <c r="D21" s="834" t="s">
        <v>792</v>
      </c>
      <c r="E21" s="834" t="s">
        <v>793</v>
      </c>
      <c r="F21" s="832">
        <v>5</v>
      </c>
      <c r="G21" s="841"/>
    </row>
    <row r="22" spans="1:7" x14ac:dyDescent="0.3">
      <c r="A22" s="149">
        <v>13</v>
      </c>
      <c r="B22" s="149"/>
      <c r="C22" s="833"/>
      <c r="D22" s="836"/>
      <c r="E22" s="836"/>
      <c r="F22" s="833"/>
      <c r="G22" s="843"/>
    </row>
    <row r="23" spans="1:7" ht="16.5" customHeight="1" x14ac:dyDescent="0.3">
      <c r="A23" s="149">
        <v>14</v>
      </c>
      <c r="B23" s="149"/>
      <c r="C23" s="832">
        <v>1</v>
      </c>
      <c r="D23" s="834" t="s">
        <v>794</v>
      </c>
      <c r="E23" s="834" t="s">
        <v>795</v>
      </c>
      <c r="F23" s="832">
        <v>6</v>
      </c>
      <c r="G23" s="841"/>
    </row>
    <row r="24" spans="1:7" x14ac:dyDescent="0.3">
      <c r="A24" s="149">
        <v>15</v>
      </c>
      <c r="B24" s="149"/>
      <c r="C24" s="837"/>
      <c r="D24" s="835"/>
      <c r="E24" s="835"/>
      <c r="F24" s="837"/>
      <c r="G24" s="842"/>
    </row>
    <row r="25" spans="1:7" x14ac:dyDescent="0.3">
      <c r="A25" s="149">
        <v>16</v>
      </c>
      <c r="B25" s="149"/>
      <c r="C25" s="837"/>
      <c r="D25" s="835"/>
      <c r="E25" s="835"/>
      <c r="F25" s="837"/>
      <c r="G25" s="842"/>
    </row>
    <row r="26" spans="1:7" x14ac:dyDescent="0.3">
      <c r="A26" s="149">
        <v>17</v>
      </c>
      <c r="B26" s="149"/>
      <c r="C26" s="833"/>
      <c r="D26" s="836"/>
      <c r="E26" s="836"/>
      <c r="F26" s="833"/>
      <c r="G26" s="843"/>
    </row>
    <row r="27" spans="1:7" ht="16.5" customHeight="1" x14ac:dyDescent="0.3">
      <c r="A27" s="149">
        <v>18</v>
      </c>
      <c r="B27" s="149"/>
      <c r="C27" s="832"/>
      <c r="D27" s="834" t="s">
        <v>791</v>
      </c>
      <c r="E27" s="834" t="s">
        <v>796</v>
      </c>
      <c r="F27" s="832">
        <v>7</v>
      </c>
      <c r="G27" s="841"/>
    </row>
    <row r="28" spans="1:7" x14ac:dyDescent="0.3">
      <c r="A28" s="149">
        <v>19</v>
      </c>
      <c r="B28" s="382"/>
      <c r="C28" s="837"/>
      <c r="D28" s="835"/>
      <c r="E28" s="835"/>
      <c r="F28" s="837"/>
      <c r="G28" s="842"/>
    </row>
    <row r="29" spans="1:7" x14ac:dyDescent="0.3">
      <c r="A29" s="149">
        <v>20</v>
      </c>
      <c r="B29" s="149"/>
      <c r="C29" s="837"/>
      <c r="D29" s="835"/>
      <c r="E29" s="835"/>
      <c r="F29" s="837"/>
      <c r="G29" s="842"/>
    </row>
    <row r="30" spans="1:7" x14ac:dyDescent="0.3">
      <c r="A30" s="149">
        <v>21</v>
      </c>
      <c r="B30" s="382"/>
      <c r="C30" s="833"/>
      <c r="D30" s="836"/>
      <c r="E30" s="836"/>
      <c r="F30" s="833"/>
      <c r="G30" s="843"/>
    </row>
    <row r="31" spans="1:7" ht="16.5" customHeight="1" x14ac:dyDescent="0.3">
      <c r="A31" s="149">
        <v>22</v>
      </c>
      <c r="B31" s="382"/>
      <c r="C31" s="832"/>
      <c r="D31" s="834" t="s">
        <v>797</v>
      </c>
      <c r="E31" s="834" t="s">
        <v>798</v>
      </c>
      <c r="F31" s="832">
        <v>8</v>
      </c>
      <c r="G31" s="841"/>
    </row>
    <row r="32" spans="1:7" x14ac:dyDescent="0.3">
      <c r="A32" s="149">
        <v>23</v>
      </c>
      <c r="B32" s="193"/>
      <c r="C32" s="837"/>
      <c r="D32" s="835"/>
      <c r="E32" s="835"/>
      <c r="F32" s="837"/>
      <c r="G32" s="842"/>
    </row>
    <row r="33" spans="1:17" x14ac:dyDescent="0.3">
      <c r="A33" s="149">
        <v>24</v>
      </c>
      <c r="B33" s="193"/>
      <c r="C33" s="837"/>
      <c r="D33" s="835"/>
      <c r="E33" s="835"/>
      <c r="F33" s="837"/>
      <c r="G33" s="842"/>
    </row>
    <row r="34" spans="1:17" x14ac:dyDescent="0.3">
      <c r="A34" s="149">
        <v>25</v>
      </c>
      <c r="B34" s="149"/>
      <c r="C34" s="837"/>
      <c r="D34" s="835"/>
      <c r="E34" s="835"/>
      <c r="F34" s="837"/>
      <c r="G34" s="842"/>
    </row>
    <row r="35" spans="1:17" x14ac:dyDescent="0.3">
      <c r="A35" s="149">
        <v>26</v>
      </c>
      <c r="B35" s="149"/>
      <c r="C35" s="833"/>
      <c r="D35" s="836"/>
      <c r="E35" s="836"/>
      <c r="F35" s="833"/>
      <c r="G35" s="843"/>
    </row>
    <row r="36" spans="1:17" x14ac:dyDescent="0.3">
      <c r="A36" s="149">
        <v>27</v>
      </c>
      <c r="B36" s="149"/>
      <c r="C36" s="832"/>
      <c r="D36" s="834" t="s">
        <v>799</v>
      </c>
      <c r="E36" s="834" t="s">
        <v>800</v>
      </c>
      <c r="F36" s="832">
        <v>9</v>
      </c>
      <c r="G36" s="841"/>
      <c r="L36" s="150" t="s">
        <v>34</v>
      </c>
    </row>
    <row r="37" spans="1:17" x14ac:dyDescent="0.3">
      <c r="A37" s="149">
        <v>28</v>
      </c>
      <c r="B37" s="149"/>
      <c r="C37" s="837"/>
      <c r="D37" s="835"/>
      <c r="E37" s="835"/>
      <c r="F37" s="837"/>
      <c r="G37" s="842"/>
      <c r="L37" s="145" t="s">
        <v>33</v>
      </c>
      <c r="Q37" s="151" t="s">
        <v>200</v>
      </c>
    </row>
    <row r="38" spans="1:17" x14ac:dyDescent="0.3">
      <c r="A38" s="149">
        <v>29</v>
      </c>
      <c r="B38" s="149"/>
      <c r="C38" s="837"/>
      <c r="D38" s="835"/>
      <c r="E38" s="835"/>
      <c r="F38" s="837"/>
      <c r="G38" s="842"/>
      <c r="Q38" s="151" t="s">
        <v>43</v>
      </c>
    </row>
    <row r="39" spans="1:17" x14ac:dyDescent="0.3">
      <c r="A39" s="149">
        <v>30</v>
      </c>
      <c r="B39" s="149"/>
      <c r="C39" s="837"/>
      <c r="D39" s="836"/>
      <c r="E39" s="836"/>
      <c r="F39" s="833"/>
      <c r="G39" s="843"/>
    </row>
    <row r="40" spans="1:17" x14ac:dyDescent="0.3">
      <c r="A40" s="149">
        <v>31</v>
      </c>
      <c r="B40" s="149"/>
      <c r="C40" s="832"/>
      <c r="D40" s="834" t="s">
        <v>799</v>
      </c>
      <c r="E40" s="834" t="s">
        <v>800</v>
      </c>
      <c r="F40" s="832">
        <v>10</v>
      </c>
      <c r="G40" s="841"/>
      <c r="L40" s="44" t="s">
        <v>322</v>
      </c>
    </row>
    <row r="41" spans="1:17" x14ac:dyDescent="0.3">
      <c r="A41" s="149">
        <v>32</v>
      </c>
      <c r="B41" s="149"/>
      <c r="C41" s="837"/>
      <c r="D41" s="835"/>
      <c r="E41" s="835"/>
      <c r="F41" s="837"/>
      <c r="G41" s="842"/>
      <c r="L41" s="44" t="s">
        <v>323</v>
      </c>
      <c r="Q41" s="151" t="s">
        <v>38</v>
      </c>
    </row>
    <row r="42" spans="1:17" x14ac:dyDescent="0.3">
      <c r="A42" s="149">
        <v>33</v>
      </c>
      <c r="B42" s="149"/>
      <c r="C42" s="837"/>
      <c r="D42" s="835"/>
      <c r="E42" s="835"/>
      <c r="F42" s="837"/>
      <c r="G42" s="842"/>
      <c r="Q42" s="151" t="s">
        <v>201</v>
      </c>
    </row>
    <row r="43" spans="1:17" x14ac:dyDescent="0.3">
      <c r="A43" s="149">
        <v>34</v>
      </c>
      <c r="B43" s="149"/>
      <c r="C43" s="837"/>
      <c r="D43" s="836"/>
      <c r="E43" s="836"/>
      <c r="F43" s="833"/>
      <c r="G43" s="843"/>
    </row>
    <row r="44" spans="1:17" ht="16.5" customHeight="1" x14ac:dyDescent="0.3">
      <c r="A44" s="149">
        <v>35</v>
      </c>
      <c r="B44" s="383"/>
      <c r="C44" s="832"/>
      <c r="D44" s="834" t="s">
        <v>801</v>
      </c>
      <c r="E44" s="834" t="s">
        <v>802</v>
      </c>
      <c r="F44" s="832">
        <v>11</v>
      </c>
      <c r="G44" s="832"/>
    </row>
    <row r="45" spans="1:17" x14ac:dyDescent="0.3">
      <c r="A45" s="149">
        <v>36</v>
      </c>
      <c r="B45" s="383"/>
      <c r="C45" s="837"/>
      <c r="D45" s="835"/>
      <c r="E45" s="835"/>
      <c r="F45" s="837"/>
      <c r="G45" s="837"/>
    </row>
    <row r="46" spans="1:17" x14ac:dyDescent="0.3">
      <c r="A46" s="149">
        <v>37</v>
      </c>
      <c r="B46" s="383"/>
      <c r="C46" s="837"/>
      <c r="D46" s="835"/>
      <c r="E46" s="835"/>
      <c r="F46" s="837"/>
      <c r="G46" s="837"/>
    </row>
    <row r="47" spans="1:17" x14ac:dyDescent="0.3">
      <c r="A47" s="149">
        <v>38</v>
      </c>
      <c r="B47" s="383"/>
      <c r="C47" s="837"/>
      <c r="D47" s="834" t="s">
        <v>801</v>
      </c>
      <c r="E47" s="834" t="s">
        <v>803</v>
      </c>
      <c r="F47" s="832">
        <v>12</v>
      </c>
      <c r="G47" s="832"/>
    </row>
    <row r="48" spans="1:17" x14ac:dyDescent="0.3">
      <c r="A48" s="149">
        <v>39</v>
      </c>
      <c r="B48" s="383"/>
      <c r="C48" s="832"/>
      <c r="D48" s="835"/>
      <c r="E48" s="835"/>
      <c r="F48" s="837"/>
      <c r="G48" s="837"/>
    </row>
    <row r="49" spans="1:7" x14ac:dyDescent="0.3">
      <c r="A49" s="149">
        <v>40</v>
      </c>
      <c r="B49" s="383"/>
      <c r="C49" s="837"/>
      <c r="D49" s="835"/>
      <c r="E49" s="835"/>
      <c r="F49" s="837"/>
      <c r="G49" s="837"/>
    </row>
    <row r="50" spans="1:7" ht="16.5" customHeight="1" x14ac:dyDescent="0.3">
      <c r="A50" s="149">
        <v>41</v>
      </c>
      <c r="B50" s="383"/>
      <c r="C50" s="837"/>
      <c r="D50" s="834" t="s">
        <v>804</v>
      </c>
      <c r="E50" s="834" t="s">
        <v>805</v>
      </c>
      <c r="F50" s="832">
        <v>13</v>
      </c>
      <c r="G50" s="832"/>
    </row>
    <row r="51" spans="1:7" x14ac:dyDescent="0.3">
      <c r="A51" s="149">
        <v>42</v>
      </c>
      <c r="B51" s="383"/>
      <c r="C51" s="837"/>
      <c r="D51" s="835"/>
      <c r="E51" s="835"/>
      <c r="F51" s="837"/>
      <c r="G51" s="837"/>
    </row>
    <row r="52" spans="1:7" x14ac:dyDescent="0.3">
      <c r="A52" s="149">
        <v>43</v>
      </c>
      <c r="B52" s="383"/>
      <c r="C52" s="832"/>
      <c r="D52" s="835"/>
      <c r="E52" s="835"/>
      <c r="F52" s="837"/>
      <c r="G52" s="837"/>
    </row>
    <row r="53" spans="1:7" x14ac:dyDescent="0.3">
      <c r="A53" s="149">
        <v>44</v>
      </c>
      <c r="B53" s="383"/>
      <c r="C53" s="837"/>
      <c r="D53" s="836"/>
      <c r="E53" s="836"/>
      <c r="F53" s="833"/>
      <c r="G53" s="833"/>
    </row>
    <row r="54" spans="1:7" x14ac:dyDescent="0.3">
      <c r="A54" s="149">
        <v>45</v>
      </c>
      <c r="B54" s="383"/>
      <c r="C54" s="829"/>
      <c r="D54" s="834" t="s">
        <v>806</v>
      </c>
      <c r="E54" s="834" t="s">
        <v>807</v>
      </c>
      <c r="F54" s="832">
        <v>14</v>
      </c>
      <c r="G54" s="832"/>
    </row>
    <row r="55" spans="1:7" x14ac:dyDescent="0.3">
      <c r="A55" s="149">
        <v>46</v>
      </c>
      <c r="B55" s="383"/>
      <c r="C55" s="830"/>
      <c r="D55" s="835"/>
      <c r="E55" s="835"/>
      <c r="F55" s="837"/>
      <c r="G55" s="837"/>
    </row>
    <row r="56" spans="1:7" x14ac:dyDescent="0.3">
      <c r="A56" s="149">
        <v>47</v>
      </c>
      <c r="B56" s="383"/>
      <c r="C56" s="830"/>
      <c r="D56" s="835"/>
      <c r="E56" s="835"/>
      <c r="F56" s="837"/>
      <c r="G56" s="837"/>
    </row>
    <row r="57" spans="1:7" x14ac:dyDescent="0.3">
      <c r="A57" s="149">
        <v>48</v>
      </c>
      <c r="B57" s="383"/>
      <c r="C57" s="831"/>
      <c r="D57" s="836"/>
      <c r="E57" s="836"/>
      <c r="F57" s="833"/>
      <c r="G57" s="833"/>
    </row>
    <row r="58" spans="1:7" x14ac:dyDescent="0.3">
      <c r="A58" s="149">
        <v>49</v>
      </c>
      <c r="B58" s="383"/>
      <c r="C58" s="829"/>
      <c r="D58" s="834" t="s">
        <v>806</v>
      </c>
      <c r="E58" s="834" t="s">
        <v>807</v>
      </c>
      <c r="F58" s="832">
        <v>15</v>
      </c>
      <c r="G58" s="832"/>
    </row>
    <row r="59" spans="1:7" x14ac:dyDescent="0.3">
      <c r="A59" s="149">
        <v>50</v>
      </c>
      <c r="B59" s="383"/>
      <c r="C59" s="830"/>
      <c r="D59" s="835"/>
      <c r="E59" s="835"/>
      <c r="F59" s="837"/>
      <c r="G59" s="837"/>
    </row>
    <row r="60" spans="1:7" x14ac:dyDescent="0.3">
      <c r="A60" s="149">
        <v>51</v>
      </c>
      <c r="B60" s="383"/>
      <c r="C60" s="830"/>
      <c r="D60" s="835"/>
      <c r="E60" s="835"/>
      <c r="F60" s="837"/>
      <c r="G60" s="837"/>
    </row>
    <row r="61" spans="1:7" x14ac:dyDescent="0.3">
      <c r="A61" s="149">
        <v>52</v>
      </c>
      <c r="B61" s="383"/>
      <c r="C61" s="831"/>
      <c r="D61" s="836"/>
      <c r="E61" s="836"/>
      <c r="F61" s="833"/>
      <c r="G61" s="833"/>
    </row>
    <row r="62" spans="1:7" x14ac:dyDescent="0.3">
      <c r="A62" s="149">
        <v>53</v>
      </c>
      <c r="B62" s="383"/>
      <c r="C62" s="829"/>
      <c r="D62" s="834" t="s">
        <v>808</v>
      </c>
      <c r="E62" s="834" t="s">
        <v>809</v>
      </c>
      <c r="F62" s="832">
        <v>16</v>
      </c>
      <c r="G62" s="832"/>
    </row>
    <row r="63" spans="1:7" x14ac:dyDescent="0.3">
      <c r="A63" s="149">
        <v>54</v>
      </c>
      <c r="B63" s="383"/>
      <c r="C63" s="830"/>
      <c r="D63" s="835"/>
      <c r="E63" s="835"/>
      <c r="F63" s="837"/>
      <c r="G63" s="837"/>
    </row>
    <row r="64" spans="1:7" x14ac:dyDescent="0.3">
      <c r="A64" s="149">
        <v>55</v>
      </c>
      <c r="B64" s="383"/>
      <c r="C64" s="830"/>
      <c r="D64" s="835"/>
      <c r="E64" s="835"/>
      <c r="F64" s="837"/>
      <c r="G64" s="837"/>
    </row>
    <row r="65" spans="1:7" x14ac:dyDescent="0.3">
      <c r="A65" s="149">
        <v>56</v>
      </c>
      <c r="B65" s="383"/>
      <c r="C65" s="831"/>
      <c r="D65" s="836"/>
      <c r="E65" s="836"/>
      <c r="F65" s="833"/>
      <c r="G65" s="833"/>
    </row>
    <row r="66" spans="1:7" x14ac:dyDescent="0.3">
      <c r="A66" s="149">
        <v>57</v>
      </c>
      <c r="B66" s="383"/>
      <c r="C66" s="829"/>
      <c r="D66" s="834" t="s">
        <v>808</v>
      </c>
      <c r="E66" s="834" t="s">
        <v>809</v>
      </c>
      <c r="F66" s="832">
        <v>17</v>
      </c>
      <c r="G66" s="832"/>
    </row>
    <row r="67" spans="1:7" x14ac:dyDescent="0.3">
      <c r="A67" s="149">
        <v>58</v>
      </c>
      <c r="B67" s="383"/>
      <c r="C67" s="830"/>
      <c r="D67" s="835"/>
      <c r="E67" s="835"/>
      <c r="F67" s="837"/>
      <c r="G67" s="837"/>
    </row>
    <row r="68" spans="1:7" x14ac:dyDescent="0.3">
      <c r="A68" s="149">
        <v>59</v>
      </c>
      <c r="B68" s="383"/>
      <c r="C68" s="830"/>
      <c r="D68" s="835"/>
      <c r="E68" s="835"/>
      <c r="F68" s="837"/>
      <c r="G68" s="837"/>
    </row>
    <row r="69" spans="1:7" x14ac:dyDescent="0.3">
      <c r="A69" s="149">
        <v>60</v>
      </c>
      <c r="B69" s="383"/>
      <c r="C69" s="831"/>
      <c r="D69" s="836"/>
      <c r="E69" s="836"/>
      <c r="F69" s="833"/>
      <c r="G69" s="833"/>
    </row>
    <row r="70" spans="1:7" x14ac:dyDescent="0.3">
      <c r="A70" s="149">
        <v>61</v>
      </c>
      <c r="B70" s="383"/>
      <c r="C70" s="829"/>
      <c r="D70" s="834" t="s">
        <v>808</v>
      </c>
      <c r="E70" s="834" t="s">
        <v>809</v>
      </c>
      <c r="F70" s="832">
        <v>18</v>
      </c>
      <c r="G70" s="832"/>
    </row>
    <row r="71" spans="1:7" x14ac:dyDescent="0.3">
      <c r="A71" s="149">
        <v>62</v>
      </c>
      <c r="B71" s="383"/>
      <c r="C71" s="830"/>
      <c r="D71" s="835"/>
      <c r="E71" s="835"/>
      <c r="F71" s="837"/>
      <c r="G71" s="837"/>
    </row>
    <row r="72" spans="1:7" x14ac:dyDescent="0.3">
      <c r="A72" s="149">
        <v>63</v>
      </c>
      <c r="B72" s="383"/>
      <c r="C72" s="830"/>
      <c r="D72" s="835"/>
      <c r="E72" s="835"/>
      <c r="F72" s="837"/>
      <c r="G72" s="837"/>
    </row>
    <row r="73" spans="1:7" x14ac:dyDescent="0.3">
      <c r="A73" s="149">
        <v>64</v>
      </c>
      <c r="B73" s="383"/>
      <c r="C73" s="831"/>
      <c r="D73" s="836"/>
      <c r="E73" s="836"/>
      <c r="F73" s="833"/>
      <c r="G73" s="833"/>
    </row>
    <row r="74" spans="1:7" x14ac:dyDescent="0.3">
      <c r="A74" s="149">
        <v>65</v>
      </c>
      <c r="B74" s="383"/>
      <c r="C74" s="829"/>
      <c r="D74" s="834" t="s">
        <v>810</v>
      </c>
      <c r="E74" s="834" t="s">
        <v>811</v>
      </c>
      <c r="F74" s="832">
        <v>19</v>
      </c>
      <c r="G74" s="832"/>
    </row>
    <row r="75" spans="1:7" x14ac:dyDescent="0.3">
      <c r="A75" s="149">
        <v>66</v>
      </c>
      <c r="B75" s="383"/>
      <c r="C75" s="830"/>
      <c r="D75" s="835"/>
      <c r="E75" s="835"/>
      <c r="F75" s="837"/>
      <c r="G75" s="837"/>
    </row>
    <row r="76" spans="1:7" x14ac:dyDescent="0.3">
      <c r="A76" s="149">
        <v>67</v>
      </c>
      <c r="B76" s="383"/>
      <c r="C76" s="830"/>
      <c r="D76" s="835"/>
      <c r="E76" s="835"/>
      <c r="F76" s="837"/>
      <c r="G76" s="837"/>
    </row>
    <row r="77" spans="1:7" x14ac:dyDescent="0.3">
      <c r="A77" s="149">
        <v>68</v>
      </c>
      <c r="B77" s="383"/>
      <c r="C77" s="831"/>
      <c r="D77" s="836"/>
      <c r="E77" s="836"/>
      <c r="F77" s="833"/>
      <c r="G77" s="833"/>
    </row>
    <row r="78" spans="1:7" x14ac:dyDescent="0.3">
      <c r="A78" s="149">
        <v>69</v>
      </c>
      <c r="B78" s="383"/>
      <c r="C78" s="829"/>
      <c r="D78" s="834" t="s">
        <v>810</v>
      </c>
      <c r="E78" s="834" t="s">
        <v>811</v>
      </c>
      <c r="F78" s="832">
        <v>20</v>
      </c>
      <c r="G78" s="832"/>
    </row>
    <row r="79" spans="1:7" x14ac:dyDescent="0.3">
      <c r="A79" s="149">
        <v>70</v>
      </c>
      <c r="B79" s="383"/>
      <c r="C79" s="830"/>
      <c r="D79" s="835"/>
      <c r="E79" s="835"/>
      <c r="F79" s="837"/>
      <c r="G79" s="837"/>
    </row>
    <row r="80" spans="1:7" x14ac:dyDescent="0.3">
      <c r="A80" s="149">
        <v>71</v>
      </c>
      <c r="B80" s="383"/>
      <c r="C80" s="830"/>
      <c r="D80" s="835"/>
      <c r="E80" s="835"/>
      <c r="F80" s="837"/>
      <c r="G80" s="837"/>
    </row>
    <row r="81" spans="1:7" x14ac:dyDescent="0.3">
      <c r="A81" s="149">
        <v>72</v>
      </c>
      <c r="B81" s="383"/>
      <c r="C81" s="831"/>
      <c r="D81" s="836"/>
      <c r="E81" s="836"/>
      <c r="F81" s="833"/>
      <c r="G81" s="833"/>
    </row>
    <row r="82" spans="1:7" x14ac:dyDescent="0.3">
      <c r="A82" s="149">
        <v>73</v>
      </c>
      <c r="B82" s="383"/>
      <c r="C82" s="829"/>
      <c r="D82" s="834" t="s">
        <v>812</v>
      </c>
      <c r="E82" s="834" t="s">
        <v>813</v>
      </c>
      <c r="F82" s="832">
        <v>21</v>
      </c>
      <c r="G82" s="832"/>
    </row>
    <row r="83" spans="1:7" x14ac:dyDescent="0.3">
      <c r="A83" s="149">
        <v>74</v>
      </c>
      <c r="B83" s="383"/>
      <c r="C83" s="830"/>
      <c r="D83" s="835"/>
      <c r="E83" s="835"/>
      <c r="F83" s="837"/>
      <c r="G83" s="837"/>
    </row>
    <row r="84" spans="1:7" x14ac:dyDescent="0.3">
      <c r="A84" s="149">
        <v>75</v>
      </c>
      <c r="B84" s="383"/>
      <c r="C84" s="830"/>
      <c r="D84" s="835"/>
      <c r="E84" s="835"/>
      <c r="F84" s="837"/>
      <c r="G84" s="837"/>
    </row>
    <row r="85" spans="1:7" x14ac:dyDescent="0.3">
      <c r="A85" s="149">
        <v>76</v>
      </c>
      <c r="B85" s="383"/>
      <c r="C85" s="831"/>
      <c r="D85" s="836"/>
      <c r="E85" s="836"/>
      <c r="F85" s="833"/>
      <c r="G85" s="833"/>
    </row>
    <row r="86" spans="1:7" x14ac:dyDescent="0.3">
      <c r="A86" s="149">
        <v>77</v>
      </c>
      <c r="B86" s="383"/>
      <c r="C86" s="829"/>
      <c r="D86" s="834" t="s">
        <v>814</v>
      </c>
      <c r="E86" s="834" t="s">
        <v>815</v>
      </c>
      <c r="F86" s="832">
        <v>22</v>
      </c>
      <c r="G86" s="832"/>
    </row>
    <row r="87" spans="1:7" x14ac:dyDescent="0.3">
      <c r="A87" s="149">
        <v>78</v>
      </c>
      <c r="B87" s="383"/>
      <c r="C87" s="830"/>
      <c r="D87" s="835"/>
      <c r="E87" s="835"/>
      <c r="F87" s="837"/>
      <c r="G87" s="837"/>
    </row>
    <row r="88" spans="1:7" x14ac:dyDescent="0.3">
      <c r="A88" s="149">
        <v>79</v>
      </c>
      <c r="B88" s="383"/>
      <c r="C88" s="830"/>
      <c r="D88" s="835"/>
      <c r="E88" s="835"/>
      <c r="F88" s="837"/>
      <c r="G88" s="837"/>
    </row>
    <row r="89" spans="1:7" x14ac:dyDescent="0.3">
      <c r="A89" s="149">
        <v>80</v>
      </c>
      <c r="B89" s="383"/>
      <c r="C89" s="831"/>
      <c r="D89" s="836"/>
      <c r="E89" s="836"/>
      <c r="F89" s="833"/>
      <c r="G89" s="833"/>
    </row>
    <row r="90" spans="1:7" x14ac:dyDescent="0.3">
      <c r="A90" s="149">
        <v>81</v>
      </c>
      <c r="B90" s="383"/>
      <c r="C90" s="829"/>
      <c r="D90" s="834" t="s">
        <v>816</v>
      </c>
      <c r="E90" s="834" t="s">
        <v>817</v>
      </c>
      <c r="F90" s="832">
        <v>23</v>
      </c>
      <c r="G90" s="832"/>
    </row>
    <row r="91" spans="1:7" x14ac:dyDescent="0.3">
      <c r="A91" s="149">
        <v>82</v>
      </c>
      <c r="B91" s="383"/>
      <c r="C91" s="830"/>
      <c r="D91" s="835"/>
      <c r="E91" s="835"/>
      <c r="F91" s="837"/>
      <c r="G91" s="837"/>
    </row>
    <row r="92" spans="1:7" x14ac:dyDescent="0.3">
      <c r="A92" s="149">
        <v>83</v>
      </c>
      <c r="B92" s="383"/>
      <c r="C92" s="830"/>
      <c r="D92" s="835"/>
      <c r="E92" s="835"/>
      <c r="F92" s="837"/>
      <c r="G92" s="837"/>
    </row>
    <row r="93" spans="1:7" x14ac:dyDescent="0.3">
      <c r="A93" s="149">
        <v>84</v>
      </c>
      <c r="B93" s="383"/>
      <c r="C93" s="831"/>
      <c r="D93" s="836"/>
      <c r="E93" s="836"/>
      <c r="F93" s="833"/>
      <c r="G93" s="833"/>
    </row>
    <row r="94" spans="1:7" x14ac:dyDescent="0.3">
      <c r="A94" s="149">
        <v>85</v>
      </c>
      <c r="B94" s="383"/>
      <c r="C94" s="829"/>
      <c r="D94" s="834" t="s">
        <v>816</v>
      </c>
      <c r="E94" s="834" t="s">
        <v>817</v>
      </c>
      <c r="F94" s="832">
        <v>24</v>
      </c>
      <c r="G94" s="832"/>
    </row>
    <row r="95" spans="1:7" x14ac:dyDescent="0.3">
      <c r="A95" s="149">
        <v>86</v>
      </c>
      <c r="B95" s="383"/>
      <c r="C95" s="830"/>
      <c r="D95" s="835"/>
      <c r="E95" s="835"/>
      <c r="F95" s="837"/>
      <c r="G95" s="837"/>
    </row>
    <row r="96" spans="1:7" x14ac:dyDescent="0.3">
      <c r="A96" s="149">
        <v>87</v>
      </c>
      <c r="B96" s="383"/>
      <c r="C96" s="830"/>
      <c r="D96" s="835"/>
      <c r="E96" s="835"/>
      <c r="F96" s="837"/>
      <c r="G96" s="837"/>
    </row>
    <row r="97" spans="1:7" x14ac:dyDescent="0.3">
      <c r="A97" s="149">
        <v>88</v>
      </c>
      <c r="B97" s="383"/>
      <c r="C97" s="831"/>
      <c r="D97" s="836"/>
      <c r="E97" s="836"/>
      <c r="F97" s="833"/>
      <c r="G97" s="833"/>
    </row>
    <row r="98" spans="1:7" x14ac:dyDescent="0.3">
      <c r="A98" s="149">
        <v>89</v>
      </c>
      <c r="B98" s="383"/>
      <c r="C98" s="829"/>
      <c r="D98" s="834" t="s">
        <v>816</v>
      </c>
      <c r="E98" s="834" t="s">
        <v>817</v>
      </c>
      <c r="F98" s="832">
        <v>25</v>
      </c>
      <c r="G98" s="832"/>
    </row>
    <row r="99" spans="1:7" x14ac:dyDescent="0.3">
      <c r="A99" s="149">
        <v>90</v>
      </c>
      <c r="B99" s="383"/>
      <c r="C99" s="830"/>
      <c r="D99" s="835"/>
      <c r="E99" s="835"/>
      <c r="F99" s="837"/>
      <c r="G99" s="837"/>
    </row>
    <row r="100" spans="1:7" x14ac:dyDescent="0.3">
      <c r="A100" s="149">
        <v>91</v>
      </c>
      <c r="B100" s="383"/>
      <c r="C100" s="830"/>
      <c r="D100" s="835"/>
      <c r="E100" s="835"/>
      <c r="F100" s="837"/>
      <c r="G100" s="837"/>
    </row>
    <row r="101" spans="1:7" x14ac:dyDescent="0.3">
      <c r="C101" s="831"/>
      <c r="D101" s="836"/>
      <c r="E101" s="836"/>
      <c r="F101" s="833"/>
      <c r="G101" s="833"/>
    </row>
    <row r="102" spans="1:7" x14ac:dyDescent="0.3">
      <c r="C102" s="829"/>
      <c r="D102" s="834" t="s">
        <v>818</v>
      </c>
      <c r="E102" s="834" t="s">
        <v>819</v>
      </c>
      <c r="F102" s="832">
        <v>26</v>
      </c>
      <c r="G102" s="832"/>
    </row>
    <row r="103" spans="1:7" x14ac:dyDescent="0.3">
      <c r="C103" s="830"/>
      <c r="D103" s="835"/>
      <c r="E103" s="835"/>
      <c r="F103" s="837"/>
      <c r="G103" s="837"/>
    </row>
    <row r="104" spans="1:7" x14ac:dyDescent="0.3">
      <c r="C104" s="830"/>
      <c r="D104" s="835"/>
      <c r="E104" s="835"/>
      <c r="F104" s="837"/>
      <c r="G104" s="837"/>
    </row>
    <row r="105" spans="1:7" x14ac:dyDescent="0.3">
      <c r="C105" s="831"/>
      <c r="D105" s="836"/>
      <c r="E105" s="836"/>
      <c r="F105" s="833"/>
      <c r="G105" s="833"/>
    </row>
    <row r="106" spans="1:7" x14ac:dyDescent="0.3">
      <c r="C106" s="829"/>
      <c r="D106" s="838" t="s">
        <v>820</v>
      </c>
      <c r="E106" s="838" t="s">
        <v>821</v>
      </c>
      <c r="F106" s="829">
        <v>27</v>
      </c>
      <c r="G106" s="829"/>
    </row>
    <row r="107" spans="1:7" x14ac:dyDescent="0.3">
      <c r="C107" s="830"/>
      <c r="D107" s="839"/>
      <c r="E107" s="839"/>
      <c r="F107" s="830"/>
      <c r="G107" s="830"/>
    </row>
    <row r="108" spans="1:7" x14ac:dyDescent="0.3">
      <c r="C108" s="831"/>
      <c r="D108" s="840"/>
      <c r="E108" s="840"/>
      <c r="F108" s="831"/>
      <c r="G108" s="831"/>
    </row>
    <row r="109" spans="1:7" x14ac:dyDescent="0.3">
      <c r="C109" s="829"/>
      <c r="D109" s="834" t="s">
        <v>816</v>
      </c>
      <c r="E109" s="834" t="s">
        <v>817</v>
      </c>
      <c r="F109" s="832">
        <v>28</v>
      </c>
      <c r="G109" s="834"/>
    </row>
    <row r="110" spans="1:7" x14ac:dyDescent="0.3">
      <c r="C110" s="830"/>
      <c r="D110" s="835"/>
      <c r="E110" s="835"/>
      <c r="F110" s="837"/>
      <c r="G110" s="835"/>
    </row>
    <row r="111" spans="1:7" x14ac:dyDescent="0.3">
      <c r="C111" s="830"/>
      <c r="D111" s="835"/>
      <c r="E111" s="835"/>
      <c r="F111" s="837"/>
      <c r="G111" s="835"/>
    </row>
    <row r="112" spans="1:7" x14ac:dyDescent="0.3">
      <c r="C112" s="831"/>
      <c r="D112" s="836"/>
      <c r="E112" s="836"/>
      <c r="F112" s="833"/>
      <c r="G112" s="836"/>
    </row>
    <row r="113" spans="3:7" x14ac:dyDescent="0.3">
      <c r="C113" s="829"/>
      <c r="D113" s="834" t="s">
        <v>822</v>
      </c>
      <c r="E113" s="834" t="s">
        <v>823</v>
      </c>
      <c r="F113" s="832">
        <v>29</v>
      </c>
      <c r="G113" s="834"/>
    </row>
    <row r="114" spans="3:7" x14ac:dyDescent="0.3">
      <c r="C114" s="830"/>
      <c r="D114" s="835"/>
      <c r="E114" s="835"/>
      <c r="F114" s="837"/>
      <c r="G114" s="835"/>
    </row>
    <row r="115" spans="3:7" x14ac:dyDescent="0.3">
      <c r="C115" s="830"/>
      <c r="D115" s="835"/>
      <c r="E115" s="835"/>
      <c r="F115" s="837"/>
      <c r="G115" s="835"/>
    </row>
    <row r="116" spans="3:7" x14ac:dyDescent="0.3">
      <c r="C116" s="831"/>
      <c r="D116" s="836"/>
      <c r="E116" s="836"/>
      <c r="F116" s="833"/>
      <c r="G116" s="836"/>
    </row>
    <row r="117" spans="3:7" x14ac:dyDescent="0.3">
      <c r="C117" s="829"/>
      <c r="D117" s="834" t="s">
        <v>822</v>
      </c>
      <c r="E117" s="834" t="s">
        <v>823</v>
      </c>
      <c r="F117" s="832">
        <v>30</v>
      </c>
      <c r="G117" s="834"/>
    </row>
    <row r="118" spans="3:7" x14ac:dyDescent="0.3">
      <c r="C118" s="830"/>
      <c r="D118" s="835"/>
      <c r="E118" s="835"/>
      <c r="F118" s="837"/>
      <c r="G118" s="835"/>
    </row>
    <row r="119" spans="3:7" x14ac:dyDescent="0.3">
      <c r="C119" s="830"/>
      <c r="D119" s="835"/>
      <c r="E119" s="835"/>
      <c r="F119" s="837"/>
      <c r="G119" s="835"/>
    </row>
    <row r="120" spans="3:7" x14ac:dyDescent="0.3">
      <c r="C120" s="831"/>
      <c r="D120" s="836"/>
      <c r="E120" s="836"/>
      <c r="F120" s="833"/>
      <c r="G120" s="836"/>
    </row>
    <row r="121" spans="3:7" x14ac:dyDescent="0.3">
      <c r="C121" s="829"/>
      <c r="D121" s="834" t="s">
        <v>822</v>
      </c>
      <c r="E121" s="834" t="s">
        <v>823</v>
      </c>
      <c r="F121" s="832">
        <v>31</v>
      </c>
      <c r="G121" s="834"/>
    </row>
    <row r="122" spans="3:7" x14ac:dyDescent="0.3">
      <c r="C122" s="830"/>
      <c r="D122" s="835"/>
      <c r="E122" s="835"/>
      <c r="F122" s="837"/>
      <c r="G122" s="835"/>
    </row>
    <row r="123" spans="3:7" x14ac:dyDescent="0.3">
      <c r="C123" s="830"/>
      <c r="D123" s="835"/>
      <c r="E123" s="835"/>
      <c r="F123" s="837"/>
      <c r="G123" s="835"/>
    </row>
    <row r="124" spans="3:7" x14ac:dyDescent="0.3">
      <c r="C124" s="831"/>
      <c r="D124" s="836"/>
      <c r="E124" s="836"/>
      <c r="F124" s="833"/>
      <c r="G124" s="836"/>
    </row>
    <row r="125" spans="3:7" x14ac:dyDescent="0.3">
      <c r="C125" s="829"/>
      <c r="D125" s="834" t="s">
        <v>822</v>
      </c>
      <c r="E125" s="834" t="s">
        <v>823</v>
      </c>
      <c r="F125" s="832">
        <v>32</v>
      </c>
      <c r="G125" s="834"/>
    </row>
    <row r="126" spans="3:7" x14ac:dyDescent="0.3">
      <c r="C126" s="830"/>
      <c r="D126" s="835"/>
      <c r="E126" s="835"/>
      <c r="F126" s="837"/>
      <c r="G126" s="835"/>
    </row>
    <row r="127" spans="3:7" x14ac:dyDescent="0.3">
      <c r="C127" s="830"/>
      <c r="D127" s="835"/>
      <c r="E127" s="835"/>
      <c r="F127" s="837"/>
      <c r="G127" s="835"/>
    </row>
    <row r="128" spans="3:7" x14ac:dyDescent="0.3">
      <c r="C128" s="831"/>
      <c r="D128" s="836"/>
      <c r="E128" s="836"/>
      <c r="F128" s="833"/>
      <c r="G128" s="836"/>
    </row>
    <row r="129" spans="3:7" x14ac:dyDescent="0.3">
      <c r="C129" s="829"/>
      <c r="D129" s="834" t="s">
        <v>824</v>
      </c>
      <c r="E129" s="834" t="s">
        <v>825</v>
      </c>
      <c r="F129" s="832">
        <v>33</v>
      </c>
      <c r="G129" s="834"/>
    </row>
    <row r="130" spans="3:7" x14ac:dyDescent="0.3">
      <c r="C130" s="830"/>
      <c r="D130" s="835"/>
      <c r="E130" s="835"/>
      <c r="F130" s="837"/>
      <c r="G130" s="835"/>
    </row>
    <row r="131" spans="3:7" x14ac:dyDescent="0.3">
      <c r="C131" s="830"/>
      <c r="D131" s="835"/>
      <c r="E131" s="835"/>
      <c r="F131" s="837"/>
      <c r="G131" s="835"/>
    </row>
    <row r="132" spans="3:7" x14ac:dyDescent="0.3">
      <c r="C132" s="831"/>
      <c r="D132" s="836"/>
      <c r="E132" s="836"/>
      <c r="F132" s="833"/>
      <c r="G132" s="836"/>
    </row>
    <row r="133" spans="3:7" x14ac:dyDescent="0.3">
      <c r="C133" s="829"/>
      <c r="D133" s="834" t="s">
        <v>826</v>
      </c>
      <c r="E133" s="834" t="s">
        <v>827</v>
      </c>
      <c r="F133" s="832">
        <v>34</v>
      </c>
      <c r="G133" s="834"/>
    </row>
    <row r="134" spans="3:7" x14ac:dyDescent="0.3">
      <c r="C134" s="830"/>
      <c r="D134" s="835"/>
      <c r="E134" s="835"/>
      <c r="F134" s="837"/>
      <c r="G134" s="835"/>
    </row>
    <row r="135" spans="3:7" x14ac:dyDescent="0.3">
      <c r="C135" s="830"/>
      <c r="D135" s="835"/>
      <c r="E135" s="835"/>
      <c r="F135" s="837"/>
      <c r="G135" s="835"/>
    </row>
    <row r="136" spans="3:7" x14ac:dyDescent="0.3">
      <c r="C136" s="831"/>
      <c r="D136" s="836"/>
      <c r="E136" s="836"/>
      <c r="F136" s="833"/>
      <c r="G136" s="836"/>
    </row>
    <row r="137" spans="3:7" x14ac:dyDescent="0.3">
      <c r="C137" s="829"/>
      <c r="D137" s="834" t="s">
        <v>822</v>
      </c>
      <c r="E137" s="834" t="s">
        <v>823</v>
      </c>
      <c r="F137" s="832">
        <v>35</v>
      </c>
      <c r="G137" s="834"/>
    </row>
    <row r="138" spans="3:7" x14ac:dyDescent="0.3">
      <c r="C138" s="830"/>
      <c r="D138" s="835"/>
      <c r="E138" s="835"/>
      <c r="F138" s="837"/>
      <c r="G138" s="835"/>
    </row>
    <row r="139" spans="3:7" x14ac:dyDescent="0.3">
      <c r="C139" s="830"/>
      <c r="D139" s="835"/>
      <c r="E139" s="835"/>
      <c r="F139" s="837"/>
      <c r="G139" s="835"/>
    </row>
    <row r="140" spans="3:7" x14ac:dyDescent="0.3">
      <c r="C140" s="831"/>
      <c r="D140" s="836"/>
      <c r="E140" s="836"/>
      <c r="F140" s="833"/>
      <c r="G140" s="836"/>
    </row>
  </sheetData>
  <mergeCells count="178">
    <mergeCell ref="F10:F11"/>
    <mergeCell ref="F1:G1"/>
    <mergeCell ref="F2:G2"/>
    <mergeCell ref="A3:G3"/>
    <mergeCell ref="D10:D11"/>
    <mergeCell ref="E10:E11"/>
    <mergeCell ref="G10:G11"/>
    <mergeCell ref="E17:E20"/>
    <mergeCell ref="D17:D20"/>
    <mergeCell ref="F17:F20"/>
    <mergeCell ref="G17:G20"/>
    <mergeCell ref="C12:C14"/>
    <mergeCell ref="C10:C11"/>
    <mergeCell ref="C15:C16"/>
    <mergeCell ref="C17:C20"/>
    <mergeCell ref="E21:E22"/>
    <mergeCell ref="F21:F22"/>
    <mergeCell ref="G21:G22"/>
    <mergeCell ref="D12:D14"/>
    <mergeCell ref="E12:E14"/>
    <mergeCell ref="F12:F14"/>
    <mergeCell ref="G12:G14"/>
    <mergeCell ref="D15:D16"/>
    <mergeCell ref="E15:E16"/>
    <mergeCell ref="G15:G16"/>
    <mergeCell ref="F15:F16"/>
    <mergeCell ref="D31:D35"/>
    <mergeCell ref="E31:E35"/>
    <mergeCell ref="F31:F35"/>
    <mergeCell ref="G31:G35"/>
    <mergeCell ref="D23:D26"/>
    <mergeCell ref="E23:E26"/>
    <mergeCell ref="F23:F26"/>
    <mergeCell ref="G23:G26"/>
    <mergeCell ref="D27:D30"/>
    <mergeCell ref="E27:E30"/>
    <mergeCell ref="F27:F30"/>
    <mergeCell ref="G27:G30"/>
    <mergeCell ref="D40:D43"/>
    <mergeCell ref="E40:E43"/>
    <mergeCell ref="F40:F43"/>
    <mergeCell ref="G40:G43"/>
    <mergeCell ref="D44:D46"/>
    <mergeCell ref="E44:E46"/>
    <mergeCell ref="F44:F46"/>
    <mergeCell ref="G44:G46"/>
    <mergeCell ref="E36:E39"/>
    <mergeCell ref="F36:F39"/>
    <mergeCell ref="G36:G39"/>
    <mergeCell ref="D54:D57"/>
    <mergeCell ref="E54:E57"/>
    <mergeCell ref="F54:F57"/>
    <mergeCell ref="G54:G57"/>
    <mergeCell ref="D58:D61"/>
    <mergeCell ref="E58:E61"/>
    <mergeCell ref="F58:F61"/>
    <mergeCell ref="G58:G61"/>
    <mergeCell ref="E47:E49"/>
    <mergeCell ref="F47:F49"/>
    <mergeCell ref="G47:G49"/>
    <mergeCell ref="D50:D53"/>
    <mergeCell ref="E50:E53"/>
    <mergeCell ref="F50:F53"/>
    <mergeCell ref="G50:G53"/>
    <mergeCell ref="D70:D73"/>
    <mergeCell ref="E70:E73"/>
    <mergeCell ref="F70:F73"/>
    <mergeCell ref="G70:G73"/>
    <mergeCell ref="D74:D77"/>
    <mergeCell ref="E74:E77"/>
    <mergeCell ref="F74:F77"/>
    <mergeCell ref="G74:G77"/>
    <mergeCell ref="E62:E65"/>
    <mergeCell ref="F62:F65"/>
    <mergeCell ref="G62:G65"/>
    <mergeCell ref="D66:D69"/>
    <mergeCell ref="E66:E69"/>
    <mergeCell ref="F66:F69"/>
    <mergeCell ref="G66:G69"/>
    <mergeCell ref="G86:G89"/>
    <mergeCell ref="D90:D93"/>
    <mergeCell ref="E90:E93"/>
    <mergeCell ref="F90:F93"/>
    <mergeCell ref="G90:G93"/>
    <mergeCell ref="E78:E81"/>
    <mergeCell ref="F78:F81"/>
    <mergeCell ref="G78:G81"/>
    <mergeCell ref="D82:D85"/>
    <mergeCell ref="E82:E85"/>
    <mergeCell ref="F82:F85"/>
    <mergeCell ref="G82:G85"/>
    <mergeCell ref="D137:D140"/>
    <mergeCell ref="E137:E140"/>
    <mergeCell ref="F137:F140"/>
    <mergeCell ref="G137:G140"/>
    <mergeCell ref="D125:D128"/>
    <mergeCell ref="E125:E128"/>
    <mergeCell ref="F125:F128"/>
    <mergeCell ref="G125:G128"/>
    <mergeCell ref="D129:D132"/>
    <mergeCell ref="E129:E132"/>
    <mergeCell ref="F129:F132"/>
    <mergeCell ref="G129:G132"/>
    <mergeCell ref="E133:E136"/>
    <mergeCell ref="F133:F136"/>
    <mergeCell ref="G133:G136"/>
    <mergeCell ref="C23:C26"/>
    <mergeCell ref="C27:C30"/>
    <mergeCell ref="C31:C35"/>
    <mergeCell ref="C36:C39"/>
    <mergeCell ref="C82:C85"/>
    <mergeCell ref="C86:C89"/>
    <mergeCell ref="C90:C93"/>
    <mergeCell ref="E109:E112"/>
    <mergeCell ref="F109:F112"/>
    <mergeCell ref="C40:C43"/>
    <mergeCell ref="C44:C47"/>
    <mergeCell ref="C48:C51"/>
    <mergeCell ref="C52:C53"/>
    <mergeCell ref="D102:D105"/>
    <mergeCell ref="E102:E105"/>
    <mergeCell ref="F102:F105"/>
    <mergeCell ref="D106:D108"/>
    <mergeCell ref="E106:E108"/>
    <mergeCell ref="F106:F108"/>
    <mergeCell ref="D94:D97"/>
    <mergeCell ref="E94:E97"/>
    <mergeCell ref="F94:F97"/>
    <mergeCell ref="D98:D101"/>
    <mergeCell ref="E98:E101"/>
    <mergeCell ref="C58:C61"/>
    <mergeCell ref="C129:C132"/>
    <mergeCell ref="C133:C136"/>
    <mergeCell ref="D117:D120"/>
    <mergeCell ref="E117:E120"/>
    <mergeCell ref="F117:F120"/>
    <mergeCell ref="G117:G120"/>
    <mergeCell ref="D121:D124"/>
    <mergeCell ref="E121:E124"/>
    <mergeCell ref="F121:F124"/>
    <mergeCell ref="G121:G124"/>
    <mergeCell ref="G109:G112"/>
    <mergeCell ref="D113:D116"/>
    <mergeCell ref="E113:E116"/>
    <mergeCell ref="F113:F116"/>
    <mergeCell ref="G113:G116"/>
    <mergeCell ref="G102:G105"/>
    <mergeCell ref="G106:G108"/>
    <mergeCell ref="G94:G97"/>
    <mergeCell ref="F98:F101"/>
    <mergeCell ref="G98:G101"/>
    <mergeCell ref="D86:D89"/>
    <mergeCell ref="E86:E89"/>
    <mergeCell ref="F86:F89"/>
    <mergeCell ref="C137:C140"/>
    <mergeCell ref="C98:C101"/>
    <mergeCell ref="C102:C105"/>
    <mergeCell ref="C106:C108"/>
    <mergeCell ref="C109:C112"/>
    <mergeCell ref="C113:C116"/>
    <mergeCell ref="C94:C97"/>
    <mergeCell ref="C21:C22"/>
    <mergeCell ref="D133:D136"/>
    <mergeCell ref="D109:D112"/>
    <mergeCell ref="D78:D81"/>
    <mergeCell ref="D62:D65"/>
    <mergeCell ref="D47:D49"/>
    <mergeCell ref="D36:D39"/>
    <mergeCell ref="D21:D22"/>
    <mergeCell ref="C62:C65"/>
    <mergeCell ref="C66:C69"/>
    <mergeCell ref="C70:C73"/>
    <mergeCell ref="C74:C77"/>
    <mergeCell ref="C78:C81"/>
    <mergeCell ref="C117:C120"/>
    <mergeCell ref="C121:C124"/>
    <mergeCell ref="C125:C128"/>
    <mergeCell ref="C54:C57"/>
  </mergeCells>
  <pageMargins left="0.71" right="0.27559055118110237" top="0.47244094488188981" bottom="0.51181102362204722" header="0.31496062992125984" footer="0.31496062992125984"/>
  <pageSetup paperSize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5"/>
  <sheetViews>
    <sheetView workbookViewId="0">
      <selection activeCell="H3" sqref="H3"/>
    </sheetView>
  </sheetViews>
  <sheetFormatPr defaultRowHeight="14.5" x14ac:dyDescent="0.35"/>
  <sheetData>
    <row r="1" spans="1:9" x14ac:dyDescent="0.35">
      <c r="H1" s="844" t="s">
        <v>763</v>
      </c>
      <c r="I1" s="845"/>
    </row>
    <row r="2" spans="1:9" x14ac:dyDescent="0.35">
      <c r="H2" s="846">
        <v>45117</v>
      </c>
      <c r="I2" s="847"/>
    </row>
    <row r="4" spans="1:9" ht="31" x14ac:dyDescent="0.7">
      <c r="A4" s="851" t="s">
        <v>405</v>
      </c>
      <c r="B4" s="851"/>
      <c r="C4" s="851"/>
      <c r="D4" s="851"/>
      <c r="E4" s="851"/>
      <c r="F4" s="851"/>
      <c r="G4" s="851"/>
      <c r="H4" s="851"/>
      <c r="I4" s="851"/>
    </row>
    <row r="5" spans="1:9" ht="31" x14ac:dyDescent="0.7">
      <c r="A5" s="294" t="s">
        <v>452</v>
      </c>
      <c r="B5" s="247"/>
      <c r="D5" s="294"/>
      <c r="E5" s="294"/>
      <c r="F5" s="294"/>
      <c r="G5" s="294"/>
      <c r="H5" s="294"/>
      <c r="I5" s="294"/>
    </row>
  </sheetData>
  <mergeCells count="3">
    <mergeCell ref="A4:I4"/>
    <mergeCell ref="H1:I1"/>
    <mergeCell ref="H2:I2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AW57"/>
  <sheetViews>
    <sheetView topLeftCell="A3" workbookViewId="0">
      <selection activeCell="M8" sqref="M8"/>
    </sheetView>
  </sheetViews>
  <sheetFormatPr defaultColWidth="9.1796875" defaultRowHeight="13" x14ac:dyDescent="0.3"/>
  <cols>
    <col min="1" max="1" width="3.54296875" style="60" customWidth="1"/>
    <col min="2" max="2" width="26.26953125" style="60" customWidth="1"/>
    <col min="3" max="3" width="4.26953125" style="60" customWidth="1"/>
    <col min="4" max="18" width="3.26953125" style="60" customWidth="1"/>
    <col min="19" max="20" width="6.1796875" style="60" customWidth="1"/>
    <col min="21" max="21" width="7.453125" style="60" customWidth="1"/>
    <col min="22" max="22" width="8.453125" style="60" customWidth="1"/>
    <col min="23" max="23" width="3.453125" style="60" customWidth="1"/>
    <col min="24" max="24" width="3.1796875" style="60" customWidth="1"/>
    <col min="25" max="25" width="9.7265625" style="60" customWidth="1"/>
    <col min="26" max="26" width="3" style="60" customWidth="1"/>
    <col min="27" max="27" width="5" style="60" customWidth="1"/>
    <col min="28" max="28" width="4.453125" style="60" customWidth="1"/>
    <col min="29" max="29" width="4.7265625" style="60" customWidth="1"/>
    <col min="30" max="30" width="13.54296875" style="60" customWidth="1"/>
    <col min="31" max="31" width="6.453125" style="60" customWidth="1"/>
    <col min="32" max="32" width="5.453125" style="60" customWidth="1"/>
    <col min="33" max="38" width="9.1796875" style="60"/>
    <col min="39" max="39" width="3.1796875" style="60" customWidth="1"/>
    <col min="40" max="40" width="7.26953125" style="60" customWidth="1"/>
    <col min="41" max="41" width="5" style="60" customWidth="1"/>
    <col min="42" max="42" width="7.1796875" style="60" customWidth="1"/>
    <col min="43" max="16384" width="9.1796875" style="60"/>
  </cols>
  <sheetData>
    <row r="1" spans="1:32" x14ac:dyDescent="0.3">
      <c r="AB1" s="628" t="s">
        <v>764</v>
      </c>
      <c r="AC1" s="628"/>
      <c r="AD1" s="628"/>
    </row>
    <row r="2" spans="1:32" x14ac:dyDescent="0.3">
      <c r="AB2" s="629">
        <v>45117</v>
      </c>
      <c r="AC2" s="629"/>
      <c r="AD2" s="629"/>
    </row>
    <row r="3" spans="1:32" ht="15" x14ac:dyDescent="0.3">
      <c r="A3" s="853" t="s">
        <v>449</v>
      </c>
      <c r="B3" s="853"/>
      <c r="C3" s="853"/>
      <c r="D3" s="853"/>
      <c r="E3" s="853"/>
      <c r="F3" s="853"/>
      <c r="G3" s="853"/>
      <c r="H3" s="853"/>
      <c r="I3" s="853"/>
      <c r="J3" s="853"/>
      <c r="K3" s="853"/>
      <c r="L3" s="853"/>
      <c r="M3" s="853"/>
      <c r="N3" s="853"/>
      <c r="O3" s="853"/>
      <c r="P3" s="853"/>
      <c r="Q3" s="853"/>
      <c r="R3" s="853"/>
      <c r="S3" s="853"/>
      <c r="T3" s="853"/>
      <c r="U3" s="853"/>
      <c r="V3" s="853"/>
    </row>
    <row r="4" spans="1:32" ht="9" customHeight="1" x14ac:dyDescent="0.3">
      <c r="A4" s="163"/>
      <c r="B4" s="163"/>
      <c r="C4" s="163"/>
      <c r="D4" s="163"/>
      <c r="E4" s="163"/>
    </row>
    <row r="5" spans="1:32" x14ac:dyDescent="0.3">
      <c r="A5" s="60" t="s">
        <v>61</v>
      </c>
      <c r="C5" s="60" t="s">
        <v>210</v>
      </c>
      <c r="D5" s="170"/>
      <c r="M5" s="60" t="s">
        <v>70</v>
      </c>
      <c r="S5" s="60" t="s">
        <v>211</v>
      </c>
      <c r="W5" s="218" t="s">
        <v>684</v>
      </c>
      <c r="X5" s="218"/>
      <c r="Z5" s="60" t="s">
        <v>212</v>
      </c>
    </row>
    <row r="6" spans="1:32" x14ac:dyDescent="0.3">
      <c r="A6" s="60" t="s">
        <v>62</v>
      </c>
      <c r="C6" s="60" t="s">
        <v>210</v>
      </c>
      <c r="D6" s="170"/>
      <c r="M6" s="60" t="s">
        <v>69</v>
      </c>
      <c r="S6" s="60" t="s">
        <v>211</v>
      </c>
      <c r="W6" s="60" t="s">
        <v>67</v>
      </c>
      <c r="Z6" s="60" t="s">
        <v>212</v>
      </c>
    </row>
    <row r="7" spans="1:32" x14ac:dyDescent="0.3">
      <c r="A7" s="60" t="s">
        <v>63</v>
      </c>
      <c r="C7" s="60" t="s">
        <v>210</v>
      </c>
      <c r="M7" s="60" t="s">
        <v>770</v>
      </c>
      <c r="S7" s="60" t="s">
        <v>211</v>
      </c>
    </row>
    <row r="8" spans="1:32" ht="6.75" customHeight="1" x14ac:dyDescent="0.3"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</row>
    <row r="9" spans="1:32" ht="13.5" customHeight="1" x14ac:dyDescent="0.3">
      <c r="A9" s="854" t="s">
        <v>1</v>
      </c>
      <c r="B9" s="854" t="s">
        <v>28</v>
      </c>
      <c r="C9" s="857" t="s">
        <v>448</v>
      </c>
      <c r="D9" s="858"/>
      <c r="E9" s="858"/>
      <c r="F9" s="858"/>
      <c r="G9" s="858"/>
      <c r="H9" s="858"/>
      <c r="I9" s="858"/>
      <c r="J9" s="858"/>
      <c r="K9" s="858"/>
      <c r="L9" s="858"/>
      <c r="M9" s="858"/>
      <c r="N9" s="858"/>
      <c r="O9" s="858"/>
      <c r="P9" s="858"/>
      <c r="Q9" s="858"/>
      <c r="R9" s="859"/>
      <c r="S9" s="860" t="s">
        <v>60</v>
      </c>
      <c r="T9" s="863" t="s">
        <v>32</v>
      </c>
      <c r="U9" s="866" t="s">
        <v>404</v>
      </c>
      <c r="V9" s="855" t="s">
        <v>55</v>
      </c>
    </row>
    <row r="10" spans="1:32" ht="13.5" customHeight="1" x14ac:dyDescent="0.3">
      <c r="A10" s="855"/>
      <c r="B10" s="855"/>
      <c r="C10" s="219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861"/>
      <c r="T10" s="864"/>
      <c r="U10" s="867"/>
      <c r="V10" s="869"/>
    </row>
    <row r="11" spans="1:32" ht="12.75" customHeight="1" thickBot="1" x14ac:dyDescent="0.35">
      <c r="A11" s="856"/>
      <c r="B11" s="856"/>
      <c r="C11" s="221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862"/>
      <c r="T11" s="865"/>
      <c r="U11" s="868"/>
      <c r="V11" s="870"/>
      <c r="W11" s="223" t="s">
        <v>17</v>
      </c>
      <c r="X11" s="224"/>
      <c r="Y11" s="223"/>
      <c r="Z11" s="224"/>
      <c r="AC11" s="224"/>
      <c r="AF11" s="61"/>
    </row>
    <row r="12" spans="1:32" ht="11.15" customHeight="1" thickTop="1" x14ac:dyDescent="0.3">
      <c r="A12" s="225">
        <v>1</v>
      </c>
      <c r="B12" s="226"/>
      <c r="C12" s="226"/>
      <c r="D12" s="227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9"/>
      <c r="T12" s="229"/>
      <c r="U12" s="230"/>
      <c r="V12" s="231"/>
      <c r="W12" s="61">
        <v>1</v>
      </c>
      <c r="X12" s="60" t="s">
        <v>401</v>
      </c>
      <c r="Y12" s="61"/>
      <c r="AC12" s="61"/>
    </row>
    <row r="13" spans="1:32" ht="11.15" customHeight="1" x14ac:dyDescent="0.3">
      <c r="A13" s="232">
        <v>2</v>
      </c>
      <c r="B13" s="233"/>
      <c r="C13" s="233"/>
      <c r="D13" s="234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29"/>
      <c r="T13" s="229"/>
      <c r="U13" s="236"/>
      <c r="V13" s="231"/>
      <c r="W13" s="224"/>
      <c r="X13" s="237"/>
      <c r="Y13" s="237" t="s">
        <v>213</v>
      </c>
      <c r="AC13" s="237"/>
    </row>
    <row r="14" spans="1:32" ht="11.15" customHeight="1" x14ac:dyDescent="0.3">
      <c r="A14" s="232">
        <v>3</v>
      </c>
      <c r="B14" s="238"/>
      <c r="C14" s="238"/>
      <c r="D14" s="234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29"/>
      <c r="T14" s="229"/>
      <c r="U14" s="236"/>
      <c r="V14" s="231"/>
    </row>
    <row r="15" spans="1:32" ht="11.15" customHeight="1" x14ac:dyDescent="0.3">
      <c r="A15" s="225">
        <v>4</v>
      </c>
      <c r="B15" s="238"/>
      <c r="C15" s="238"/>
      <c r="D15" s="234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29"/>
      <c r="T15" s="229"/>
      <c r="U15" s="236"/>
      <c r="V15" s="231"/>
      <c r="X15" s="176" t="s">
        <v>402</v>
      </c>
      <c r="Y15" s="176"/>
      <c r="Z15" s="176"/>
      <c r="AA15" s="176"/>
      <c r="AB15" s="176"/>
      <c r="AC15" s="176"/>
      <c r="AD15" s="176"/>
      <c r="AE15" s="176"/>
    </row>
    <row r="16" spans="1:32" ht="11.15" customHeight="1" x14ac:dyDescent="0.3">
      <c r="A16" s="232">
        <v>5</v>
      </c>
      <c r="B16" s="238"/>
      <c r="C16" s="238"/>
      <c r="D16" s="234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29"/>
      <c r="T16" s="229"/>
      <c r="U16" s="236"/>
      <c r="V16" s="231"/>
      <c r="X16" s="176"/>
      <c r="Y16" s="176"/>
      <c r="Z16" s="239" t="s">
        <v>214</v>
      </c>
      <c r="AA16" s="239"/>
      <c r="AB16" s="239"/>
      <c r="AC16" s="239"/>
      <c r="AD16" s="176"/>
      <c r="AE16" s="176"/>
    </row>
    <row r="17" spans="1:34" ht="11.15" customHeight="1" x14ac:dyDescent="0.3">
      <c r="A17" s="232">
        <v>6</v>
      </c>
      <c r="B17" s="238"/>
      <c r="C17" s="238"/>
      <c r="D17" s="234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29"/>
      <c r="T17" s="229"/>
      <c r="U17" s="236"/>
      <c r="V17" s="231"/>
      <c r="W17" s="61">
        <v>2</v>
      </c>
      <c r="X17" s="239" t="s">
        <v>64</v>
      </c>
      <c r="Y17" s="239"/>
      <c r="Z17" s="239"/>
      <c r="AA17" s="239"/>
      <c r="AB17" s="239"/>
      <c r="AC17" s="239"/>
      <c r="AD17" s="239"/>
      <c r="AH17" s="60" t="s">
        <v>37</v>
      </c>
    </row>
    <row r="18" spans="1:34" ht="11.15" customHeight="1" x14ac:dyDescent="0.3">
      <c r="A18" s="225">
        <v>7</v>
      </c>
      <c r="B18" s="238"/>
      <c r="C18" s="238"/>
      <c r="D18" s="234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29"/>
      <c r="T18" s="229"/>
      <c r="U18" s="236"/>
      <c r="V18" s="231"/>
      <c r="X18" s="224" t="s">
        <v>56</v>
      </c>
      <c r="Z18" s="224"/>
      <c r="AC18" s="239"/>
      <c r="AD18" s="239"/>
    </row>
    <row r="19" spans="1:34" ht="11.15" customHeight="1" x14ac:dyDescent="0.3">
      <c r="A19" s="232">
        <v>8</v>
      </c>
      <c r="B19" s="238"/>
      <c r="C19" s="238"/>
      <c r="D19" s="234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29"/>
      <c r="T19" s="229"/>
      <c r="U19" s="236"/>
      <c r="V19" s="231"/>
      <c r="W19" s="61">
        <v>3</v>
      </c>
      <c r="X19" s="852" t="s">
        <v>403</v>
      </c>
      <c r="Y19" s="852"/>
      <c r="Z19" s="852"/>
      <c r="AA19" s="852"/>
      <c r="AB19" s="852"/>
      <c r="AC19" s="852"/>
      <c r="AD19" s="852"/>
    </row>
    <row r="20" spans="1:34" ht="11.15" customHeight="1" x14ac:dyDescent="0.3">
      <c r="A20" s="232">
        <v>9</v>
      </c>
      <c r="B20" s="233"/>
      <c r="C20" s="233"/>
      <c r="D20" s="234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29"/>
      <c r="T20" s="229"/>
      <c r="U20" s="236"/>
      <c r="V20" s="231"/>
      <c r="X20" s="852"/>
      <c r="Y20" s="852"/>
      <c r="Z20" s="852"/>
      <c r="AA20" s="852"/>
      <c r="AB20" s="852"/>
      <c r="AC20" s="852"/>
      <c r="AD20" s="852"/>
    </row>
    <row r="21" spans="1:34" ht="11.15" customHeight="1" x14ac:dyDescent="0.3">
      <c r="A21" s="225">
        <v>10</v>
      </c>
      <c r="B21" s="238"/>
      <c r="C21" s="238"/>
      <c r="D21" s="234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29"/>
      <c r="T21" s="229"/>
      <c r="U21" s="236"/>
      <c r="V21" s="231"/>
    </row>
    <row r="22" spans="1:34" ht="11.15" customHeight="1" x14ac:dyDescent="0.3">
      <c r="A22" s="232">
        <v>11</v>
      </c>
      <c r="B22" s="238"/>
      <c r="C22" s="238"/>
      <c r="D22" s="234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29"/>
      <c r="T22" s="229"/>
      <c r="U22" s="236"/>
      <c r="V22" s="231"/>
      <c r="W22" s="61">
        <v>4</v>
      </c>
      <c r="X22" s="60" t="s">
        <v>215</v>
      </c>
      <c r="Y22" s="61"/>
      <c r="AB22" s="60" t="s">
        <v>138</v>
      </c>
    </row>
    <row r="23" spans="1:34" ht="11.15" customHeight="1" x14ac:dyDescent="0.3">
      <c r="A23" s="232">
        <v>12</v>
      </c>
      <c r="B23" s="233"/>
      <c r="C23" s="233"/>
      <c r="D23" s="234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R23" s="235"/>
      <c r="S23" s="229"/>
      <c r="T23" s="229"/>
      <c r="U23" s="236"/>
      <c r="V23" s="231"/>
      <c r="W23" s="61"/>
      <c r="X23" s="60" t="s">
        <v>57</v>
      </c>
      <c r="Y23" s="61"/>
      <c r="AB23" s="60" t="s">
        <v>138</v>
      </c>
    </row>
    <row r="24" spans="1:34" ht="11.15" customHeight="1" x14ac:dyDescent="0.3">
      <c r="A24" s="225">
        <v>13</v>
      </c>
      <c r="B24" s="238"/>
      <c r="C24" s="238"/>
      <c r="D24" s="234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29"/>
      <c r="T24" s="229"/>
      <c r="U24" s="236"/>
      <c r="V24" s="231"/>
      <c r="X24" s="60" t="s">
        <v>216</v>
      </c>
      <c r="Y24" s="224"/>
      <c r="AB24" s="60" t="s">
        <v>138</v>
      </c>
    </row>
    <row r="25" spans="1:34" ht="11.15" customHeight="1" x14ac:dyDescent="0.3">
      <c r="A25" s="232">
        <v>14</v>
      </c>
      <c r="B25" s="238"/>
      <c r="C25" s="238"/>
      <c r="D25" s="234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29"/>
      <c r="T25" s="229"/>
      <c r="U25" s="236"/>
      <c r="V25" s="231"/>
      <c r="X25" s="60" t="s">
        <v>65</v>
      </c>
      <c r="Z25" s="60" t="s">
        <v>217</v>
      </c>
    </row>
    <row r="26" spans="1:34" ht="11.15" customHeight="1" x14ac:dyDescent="0.3">
      <c r="A26" s="232">
        <v>15</v>
      </c>
      <c r="B26" s="238"/>
      <c r="C26" s="238"/>
      <c r="D26" s="234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29"/>
      <c r="T26" s="229"/>
      <c r="U26" s="236"/>
      <c r="V26" s="231"/>
      <c r="X26" s="60" t="s">
        <v>66</v>
      </c>
      <c r="Z26" s="60" t="s">
        <v>47</v>
      </c>
    </row>
    <row r="27" spans="1:34" ht="11.15" customHeight="1" x14ac:dyDescent="0.3">
      <c r="A27" s="225">
        <v>16</v>
      </c>
      <c r="B27" s="238"/>
      <c r="C27" s="238"/>
      <c r="D27" s="234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29"/>
      <c r="T27" s="229"/>
      <c r="U27" s="236"/>
      <c r="V27" s="231"/>
      <c r="W27" s="170">
        <v>5</v>
      </c>
      <c r="X27" s="60" t="s">
        <v>450</v>
      </c>
    </row>
    <row r="28" spans="1:34" ht="11.15" customHeight="1" x14ac:dyDescent="0.3">
      <c r="A28" s="232">
        <v>17</v>
      </c>
      <c r="B28" s="238"/>
      <c r="C28" s="238"/>
      <c r="D28" s="234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29"/>
      <c r="T28" s="229"/>
      <c r="U28" s="236"/>
      <c r="V28" s="231"/>
      <c r="Y28" s="293" t="s">
        <v>451</v>
      </c>
    </row>
    <row r="29" spans="1:34" ht="11.15" customHeight="1" x14ac:dyDescent="0.3">
      <c r="A29" s="232">
        <v>18</v>
      </c>
      <c r="B29" s="238"/>
      <c r="C29" s="238"/>
      <c r="D29" s="234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29"/>
      <c r="T29" s="229"/>
      <c r="U29" s="236"/>
      <c r="V29" s="231"/>
    </row>
    <row r="30" spans="1:34" ht="11.15" customHeight="1" x14ac:dyDescent="0.3">
      <c r="A30" s="225">
        <v>19</v>
      </c>
      <c r="B30" s="233"/>
      <c r="C30" s="233"/>
      <c r="D30" s="234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29"/>
      <c r="T30" s="229"/>
      <c r="U30" s="236"/>
      <c r="V30" s="231"/>
    </row>
    <row r="31" spans="1:34" ht="11.15" customHeight="1" x14ac:dyDescent="0.3">
      <c r="A31" s="232">
        <v>20</v>
      </c>
      <c r="B31" s="233"/>
      <c r="C31" s="233"/>
      <c r="D31" s="234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29"/>
      <c r="T31" s="229"/>
      <c r="U31" s="236"/>
      <c r="V31" s="231"/>
    </row>
    <row r="32" spans="1:34" ht="11.15" customHeight="1" x14ac:dyDescent="0.3">
      <c r="A32" s="232">
        <v>21</v>
      </c>
      <c r="B32" s="233"/>
      <c r="C32" s="233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29"/>
      <c r="T32" s="229"/>
      <c r="U32" s="236"/>
      <c r="V32" s="231"/>
      <c r="W32" s="223" t="s">
        <v>48</v>
      </c>
    </row>
    <row r="33" spans="1:49" ht="11.15" customHeight="1" x14ac:dyDescent="0.3">
      <c r="A33" s="225">
        <v>22</v>
      </c>
      <c r="B33" s="238"/>
      <c r="C33" s="238"/>
      <c r="D33" s="234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29"/>
      <c r="T33" s="229"/>
      <c r="U33" s="236"/>
      <c r="V33" s="231"/>
      <c r="W33" s="61">
        <v>1</v>
      </c>
      <c r="X33" s="224" t="s">
        <v>58</v>
      </c>
    </row>
    <row r="34" spans="1:49" ht="11.15" customHeight="1" x14ac:dyDescent="0.3">
      <c r="A34" s="232">
        <v>23</v>
      </c>
      <c r="B34" s="238"/>
      <c r="C34" s="238"/>
      <c r="D34" s="234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29"/>
      <c r="T34" s="229"/>
      <c r="U34" s="236"/>
      <c r="V34" s="231"/>
      <c r="W34" s="61"/>
      <c r="X34" s="60" t="s">
        <v>218</v>
      </c>
    </row>
    <row r="35" spans="1:49" ht="11.15" customHeight="1" x14ac:dyDescent="0.3">
      <c r="A35" s="232">
        <v>24</v>
      </c>
      <c r="B35" s="233"/>
      <c r="C35" s="233"/>
      <c r="D35" s="234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29"/>
      <c r="T35" s="229"/>
      <c r="U35" s="236"/>
      <c r="V35" s="231"/>
      <c r="W35" s="61">
        <v>2</v>
      </c>
      <c r="X35" s="224" t="s">
        <v>59</v>
      </c>
    </row>
    <row r="36" spans="1:49" ht="11.15" customHeight="1" x14ac:dyDescent="0.3">
      <c r="A36" s="225">
        <v>25</v>
      </c>
      <c r="B36" s="238"/>
      <c r="C36" s="238"/>
      <c r="D36" s="234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29"/>
      <c r="T36" s="229"/>
      <c r="U36" s="236"/>
      <c r="V36" s="231"/>
      <c r="W36" s="61"/>
      <c r="X36" s="60" t="s">
        <v>219</v>
      </c>
    </row>
    <row r="37" spans="1:49" ht="11.15" customHeight="1" x14ac:dyDescent="0.3">
      <c r="A37" s="232">
        <v>26</v>
      </c>
      <c r="B37" s="238"/>
      <c r="C37" s="238"/>
      <c r="D37" s="234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29"/>
      <c r="T37" s="229"/>
      <c r="U37" s="236"/>
      <c r="V37" s="231"/>
      <c r="W37" s="61"/>
      <c r="X37" s="224" t="s">
        <v>205</v>
      </c>
    </row>
    <row r="38" spans="1:49" ht="11.15" customHeight="1" x14ac:dyDescent="0.3">
      <c r="A38" s="232">
        <v>27</v>
      </c>
      <c r="B38" s="238"/>
      <c r="C38" s="238"/>
      <c r="D38" s="234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29"/>
      <c r="T38" s="229"/>
      <c r="U38" s="236"/>
      <c r="V38" s="231"/>
      <c r="W38" s="61">
        <v>3</v>
      </c>
      <c r="X38" s="224" t="s">
        <v>220</v>
      </c>
    </row>
    <row r="39" spans="1:49" ht="11.15" customHeight="1" x14ac:dyDescent="0.3">
      <c r="A39" s="225">
        <v>28</v>
      </c>
      <c r="B39" s="238"/>
      <c r="C39" s="238"/>
      <c r="D39" s="234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29"/>
      <c r="T39" s="229"/>
      <c r="U39" s="236"/>
      <c r="V39" s="231"/>
      <c r="X39" s="60" t="s">
        <v>221</v>
      </c>
    </row>
    <row r="40" spans="1:49" ht="11.15" customHeight="1" x14ac:dyDescent="0.3">
      <c r="A40" s="232">
        <v>29</v>
      </c>
      <c r="B40" s="238"/>
      <c r="C40" s="238"/>
      <c r="D40" s="234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29"/>
      <c r="T40" s="229"/>
      <c r="U40" s="236"/>
      <c r="V40" s="231"/>
    </row>
    <row r="41" spans="1:49" ht="11.15" customHeight="1" x14ac:dyDescent="0.3">
      <c r="A41" s="232">
        <v>32</v>
      </c>
      <c r="B41" s="244"/>
      <c r="C41" s="244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29"/>
      <c r="T41" s="229"/>
      <c r="U41" s="235"/>
      <c r="V41" s="231"/>
    </row>
    <row r="42" spans="1:49" ht="11.15" customHeight="1" x14ac:dyDescent="0.3"/>
    <row r="43" spans="1:49" x14ac:dyDescent="0.3">
      <c r="B43" s="60" t="s">
        <v>34</v>
      </c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T43" s="241" t="s">
        <v>381</v>
      </c>
      <c r="AK43" s="223"/>
      <c r="AL43" s="223"/>
    </row>
    <row r="44" spans="1:49" x14ac:dyDescent="0.3">
      <c r="B44" s="60" t="s">
        <v>144</v>
      </c>
      <c r="T44" s="241" t="s">
        <v>43</v>
      </c>
      <c r="AL44" s="61"/>
    </row>
    <row r="45" spans="1:49" x14ac:dyDescent="0.3">
      <c r="T45" s="241"/>
      <c r="AL45" s="61"/>
    </row>
    <row r="46" spans="1:49" x14ac:dyDescent="0.3">
      <c r="T46" s="241"/>
      <c r="AK46" s="61"/>
      <c r="AL46" s="61"/>
      <c r="AW46" s="60" t="s">
        <v>222</v>
      </c>
    </row>
    <row r="47" spans="1:49" x14ac:dyDescent="0.3">
      <c r="B47" s="242" t="s">
        <v>338</v>
      </c>
      <c r="T47" s="241" t="s">
        <v>145</v>
      </c>
      <c r="AK47" s="61"/>
      <c r="AL47" s="61"/>
    </row>
    <row r="48" spans="1:49" x14ac:dyDescent="0.3">
      <c r="B48" s="242" t="s">
        <v>336</v>
      </c>
      <c r="T48" s="241" t="s">
        <v>380</v>
      </c>
    </row>
    <row r="49" spans="2:47" x14ac:dyDescent="0.3">
      <c r="AU49" s="60" t="s">
        <v>223</v>
      </c>
    </row>
    <row r="51" spans="2:47" x14ac:dyDescent="0.3">
      <c r="G51" s="224"/>
      <c r="H51" s="224"/>
      <c r="I51" s="224"/>
      <c r="J51" s="224"/>
      <c r="K51" s="224"/>
    </row>
    <row r="52" spans="2:47" x14ac:dyDescent="0.3">
      <c r="G52" s="61"/>
      <c r="H52" s="61"/>
      <c r="I52" s="61"/>
      <c r="J52" s="61"/>
      <c r="K52" s="61"/>
    </row>
    <row r="53" spans="2:47" x14ac:dyDescent="0.3">
      <c r="G53" s="61"/>
      <c r="H53" s="61"/>
      <c r="I53" s="61"/>
      <c r="J53" s="61"/>
      <c r="K53" s="61"/>
    </row>
    <row r="54" spans="2:47" x14ac:dyDescent="0.3">
      <c r="B54" s="243"/>
      <c r="C54" s="243"/>
      <c r="G54" s="61"/>
      <c r="H54" s="61"/>
      <c r="I54" s="61"/>
      <c r="J54" s="61"/>
      <c r="K54" s="61"/>
    </row>
    <row r="55" spans="2:47" x14ac:dyDescent="0.3">
      <c r="G55" s="224"/>
      <c r="H55" s="224"/>
      <c r="I55" s="224"/>
      <c r="J55" s="224"/>
      <c r="K55" s="224"/>
    </row>
    <row r="56" spans="2:47" x14ac:dyDescent="0.3">
      <c r="G56" s="224"/>
      <c r="H56" s="224"/>
      <c r="I56" s="224"/>
      <c r="J56" s="224"/>
      <c r="K56" s="224"/>
    </row>
    <row r="57" spans="2:47" x14ac:dyDescent="0.3">
      <c r="G57" s="224"/>
      <c r="H57" s="224"/>
      <c r="I57" s="224"/>
      <c r="J57" s="224"/>
      <c r="K57" s="224"/>
    </row>
  </sheetData>
  <mergeCells count="11">
    <mergeCell ref="AB1:AD1"/>
    <mergeCell ref="AB2:AD2"/>
    <mergeCell ref="X19:AD20"/>
    <mergeCell ref="A3:V3"/>
    <mergeCell ref="A9:A11"/>
    <mergeCell ref="B9:B11"/>
    <mergeCell ref="C9:R9"/>
    <mergeCell ref="S9:S11"/>
    <mergeCell ref="T9:T11"/>
    <mergeCell ref="U9:U11"/>
    <mergeCell ref="V9:V11"/>
  </mergeCells>
  <pageMargins left="0.70866141732283472" right="1.4173228346456694" top="0.35433070866141736" bottom="0.39370078740157483" header="0.31496062992125984" footer="0.31496062992125984"/>
  <pageSetup paperSize="5" scale="95" orientation="landscape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I69"/>
  <sheetViews>
    <sheetView workbookViewId="0">
      <selection activeCell="H8" sqref="H8"/>
    </sheetView>
  </sheetViews>
  <sheetFormatPr defaultColWidth="9.1796875" defaultRowHeight="15.5" x14ac:dyDescent="0.35"/>
  <cols>
    <col min="1" max="2" width="9.1796875" style="41"/>
    <col min="3" max="3" width="13" style="41" customWidth="1"/>
    <col min="4" max="16384" width="9.1796875" style="41"/>
  </cols>
  <sheetData>
    <row r="1" spans="1:9" x14ac:dyDescent="0.35">
      <c r="H1" s="680" t="s">
        <v>765</v>
      </c>
      <c r="I1" s="680"/>
    </row>
    <row r="2" spans="1:9" x14ac:dyDescent="0.35">
      <c r="H2" s="882">
        <v>45117</v>
      </c>
      <c r="I2" s="882"/>
    </row>
    <row r="3" spans="1:9" x14ac:dyDescent="0.35">
      <c r="A3" s="897" t="s">
        <v>655</v>
      </c>
      <c r="B3" s="897"/>
      <c r="C3" s="897"/>
      <c r="D3" s="897"/>
      <c r="E3" s="897"/>
      <c r="F3" s="897"/>
      <c r="G3" s="897"/>
      <c r="H3" s="897"/>
      <c r="I3" s="897"/>
    </row>
    <row r="4" spans="1:9" x14ac:dyDescent="0.35">
      <c r="A4" s="41" t="s">
        <v>172</v>
      </c>
    </row>
    <row r="5" spans="1:9" x14ac:dyDescent="0.35">
      <c r="A5" s="41" t="s">
        <v>173</v>
      </c>
    </row>
    <row r="6" spans="1:9" x14ac:dyDescent="0.35">
      <c r="A6" s="41" t="s">
        <v>174</v>
      </c>
    </row>
    <row r="7" spans="1:9" x14ac:dyDescent="0.35">
      <c r="A7" s="41" t="s">
        <v>175</v>
      </c>
    </row>
    <row r="8" spans="1:9" x14ac:dyDescent="0.35">
      <c r="A8" s="41" t="s">
        <v>176</v>
      </c>
    </row>
    <row r="9" spans="1:9" ht="4.5" customHeight="1" x14ac:dyDescent="0.35">
      <c r="A9" s="207"/>
    </row>
    <row r="10" spans="1:9" x14ac:dyDescent="0.35">
      <c r="A10" s="41" t="s">
        <v>177</v>
      </c>
    </row>
    <row r="11" spans="1:9" x14ac:dyDescent="0.35">
      <c r="A11" s="41" t="s">
        <v>295</v>
      </c>
      <c r="C11" s="41" t="s">
        <v>178</v>
      </c>
    </row>
    <row r="12" spans="1:9" x14ac:dyDescent="0.35">
      <c r="A12" s="41" t="s">
        <v>296</v>
      </c>
      <c r="C12" s="41" t="s">
        <v>178</v>
      </c>
    </row>
    <row r="13" spans="1:9" x14ac:dyDescent="0.35">
      <c r="A13" s="41" t="s">
        <v>297</v>
      </c>
      <c r="C13" s="41" t="s">
        <v>178</v>
      </c>
    </row>
    <row r="14" spans="1:9" x14ac:dyDescent="0.35">
      <c r="A14" s="41" t="s">
        <v>298</v>
      </c>
      <c r="C14" s="41" t="s">
        <v>178</v>
      </c>
    </row>
    <row r="15" spans="1:9" ht="5.25" customHeight="1" x14ac:dyDescent="0.35"/>
    <row r="16" spans="1:9" x14ac:dyDescent="0.35">
      <c r="B16" s="898" t="s">
        <v>179</v>
      </c>
      <c r="C16" s="757"/>
      <c r="D16" s="757" t="s">
        <v>180</v>
      </c>
      <c r="E16" s="757"/>
      <c r="F16" s="757" t="s">
        <v>181</v>
      </c>
      <c r="G16" s="757"/>
      <c r="H16" s="899"/>
    </row>
    <row r="17" spans="1:9" x14ac:dyDescent="0.35">
      <c r="B17" s="902" t="s">
        <v>306</v>
      </c>
      <c r="C17" s="878"/>
      <c r="D17" s="878"/>
      <c r="E17" s="878"/>
      <c r="F17" s="878" t="s">
        <v>304</v>
      </c>
      <c r="G17" s="878"/>
      <c r="H17" s="879"/>
    </row>
    <row r="18" spans="1:9" ht="16" thickBot="1" x14ac:dyDescent="0.4">
      <c r="B18" s="903" t="s">
        <v>182</v>
      </c>
      <c r="C18" s="904"/>
      <c r="D18" s="880"/>
      <c r="E18" s="880"/>
      <c r="F18" s="880" t="s">
        <v>305</v>
      </c>
      <c r="G18" s="880"/>
      <c r="H18" s="881"/>
    </row>
    <row r="19" spans="1:9" ht="7.5" customHeight="1" x14ac:dyDescent="0.35"/>
    <row r="20" spans="1:9" ht="6" customHeight="1" x14ac:dyDescent="0.35"/>
    <row r="21" spans="1:9" x14ac:dyDescent="0.35">
      <c r="A21" s="41" t="s">
        <v>183</v>
      </c>
    </row>
    <row r="22" spans="1:9" ht="5.25" customHeight="1" thickBot="1" x14ac:dyDescent="0.4"/>
    <row r="23" spans="1:9" x14ac:dyDescent="0.35">
      <c r="A23" s="357" t="s">
        <v>1</v>
      </c>
      <c r="B23" s="900" t="s">
        <v>28</v>
      </c>
      <c r="C23" s="900"/>
      <c r="D23" s="349" t="s">
        <v>32</v>
      </c>
      <c r="E23" s="900" t="s">
        <v>184</v>
      </c>
      <c r="F23" s="900"/>
      <c r="G23" s="900"/>
      <c r="H23" s="900" t="s">
        <v>181</v>
      </c>
      <c r="I23" s="901"/>
    </row>
    <row r="24" spans="1:9" x14ac:dyDescent="0.35">
      <c r="A24" s="358">
        <v>1</v>
      </c>
      <c r="B24" s="878"/>
      <c r="C24" s="878"/>
      <c r="D24" s="209"/>
      <c r="E24" s="878"/>
      <c r="F24" s="878"/>
      <c r="G24" s="878"/>
      <c r="H24" s="878"/>
      <c r="I24" s="879"/>
    </row>
    <row r="25" spans="1:9" x14ac:dyDescent="0.35">
      <c r="A25" s="358">
        <v>2</v>
      </c>
      <c r="B25" s="878"/>
      <c r="C25" s="878"/>
      <c r="D25" s="209"/>
      <c r="E25" s="878"/>
      <c r="F25" s="878"/>
      <c r="G25" s="878"/>
      <c r="H25" s="878"/>
      <c r="I25" s="879"/>
    </row>
    <row r="26" spans="1:9" x14ac:dyDescent="0.35">
      <c r="A26" s="358">
        <v>3</v>
      </c>
      <c r="B26" s="871"/>
      <c r="C26" s="874"/>
      <c r="D26" s="209"/>
      <c r="E26" s="871"/>
      <c r="F26" s="873"/>
      <c r="G26" s="874"/>
      <c r="H26" s="871"/>
      <c r="I26" s="872"/>
    </row>
    <row r="27" spans="1:9" x14ac:dyDescent="0.35">
      <c r="A27" s="358">
        <v>4</v>
      </c>
      <c r="B27" s="871"/>
      <c r="C27" s="874"/>
      <c r="D27" s="209"/>
      <c r="E27" s="871"/>
      <c r="F27" s="873"/>
      <c r="G27" s="874"/>
      <c r="H27" s="871"/>
      <c r="I27" s="872"/>
    </row>
    <row r="28" spans="1:9" x14ac:dyDescent="0.35">
      <c r="A28" s="358">
        <v>5</v>
      </c>
      <c r="B28" s="871"/>
      <c r="C28" s="874"/>
      <c r="D28" s="209"/>
      <c r="E28" s="871"/>
      <c r="F28" s="873"/>
      <c r="G28" s="874"/>
      <c r="H28" s="871"/>
      <c r="I28" s="872"/>
    </row>
    <row r="29" spans="1:9" x14ac:dyDescent="0.35">
      <c r="A29" s="358">
        <v>6</v>
      </c>
      <c r="B29" s="871"/>
      <c r="C29" s="874"/>
      <c r="D29" s="209"/>
      <c r="E29" s="871"/>
      <c r="F29" s="873"/>
      <c r="G29" s="874"/>
      <c r="H29" s="871"/>
      <c r="I29" s="872"/>
    </row>
    <row r="30" spans="1:9" x14ac:dyDescent="0.35">
      <c r="A30" s="358">
        <v>7</v>
      </c>
      <c r="B30" s="871"/>
      <c r="C30" s="874"/>
      <c r="D30" s="209"/>
      <c r="E30" s="871"/>
      <c r="F30" s="873"/>
      <c r="G30" s="874"/>
      <c r="H30" s="871"/>
      <c r="I30" s="872"/>
    </row>
    <row r="31" spans="1:9" x14ac:dyDescent="0.35">
      <c r="A31" s="358">
        <v>8</v>
      </c>
      <c r="B31" s="871"/>
      <c r="C31" s="874"/>
      <c r="D31" s="209"/>
      <c r="E31" s="871"/>
      <c r="F31" s="873"/>
      <c r="G31" s="874"/>
      <c r="H31" s="871"/>
      <c r="I31" s="872"/>
    </row>
    <row r="32" spans="1:9" x14ac:dyDescent="0.35">
      <c r="A32" s="358">
        <v>9</v>
      </c>
      <c r="B32" s="878"/>
      <c r="C32" s="878"/>
      <c r="D32" s="209"/>
      <c r="E32" s="878"/>
      <c r="F32" s="878"/>
      <c r="G32" s="878"/>
      <c r="H32" s="878"/>
      <c r="I32" s="879"/>
    </row>
    <row r="33" spans="1:9" x14ac:dyDescent="0.35">
      <c r="A33" s="358">
        <v>10</v>
      </c>
      <c r="B33" s="871"/>
      <c r="C33" s="874"/>
      <c r="D33" s="209"/>
      <c r="E33" s="871"/>
      <c r="F33" s="873"/>
      <c r="G33" s="874"/>
      <c r="H33" s="871"/>
      <c r="I33" s="872"/>
    </row>
    <row r="34" spans="1:9" x14ac:dyDescent="0.35">
      <c r="A34" s="358">
        <v>11</v>
      </c>
      <c r="B34" s="871"/>
      <c r="C34" s="874"/>
      <c r="D34" s="209"/>
      <c r="E34" s="871"/>
      <c r="F34" s="873"/>
      <c r="G34" s="874"/>
      <c r="H34" s="871"/>
      <c r="I34" s="872"/>
    </row>
    <row r="35" spans="1:9" x14ac:dyDescent="0.35">
      <c r="A35" s="358">
        <v>12</v>
      </c>
      <c r="B35" s="871"/>
      <c r="C35" s="874"/>
      <c r="D35" s="209"/>
      <c r="E35" s="871"/>
      <c r="F35" s="873"/>
      <c r="G35" s="874"/>
      <c r="H35" s="871"/>
      <c r="I35" s="872"/>
    </row>
    <row r="36" spans="1:9" x14ac:dyDescent="0.35">
      <c r="A36" s="358">
        <v>13</v>
      </c>
      <c r="B36" s="871"/>
      <c r="C36" s="874"/>
      <c r="D36" s="209"/>
      <c r="E36" s="871"/>
      <c r="F36" s="873"/>
      <c r="G36" s="874"/>
      <c r="H36" s="871"/>
      <c r="I36" s="872"/>
    </row>
    <row r="37" spans="1:9" ht="16" thickBot="1" x14ac:dyDescent="0.4">
      <c r="A37" s="348">
        <v>14</v>
      </c>
      <c r="B37" s="880"/>
      <c r="C37" s="880"/>
      <c r="D37" s="359"/>
      <c r="E37" s="880"/>
      <c r="F37" s="880"/>
      <c r="G37" s="880"/>
      <c r="H37" s="880"/>
      <c r="I37" s="881"/>
    </row>
    <row r="38" spans="1:9" x14ac:dyDescent="0.35">
      <c r="A38" s="41" t="s">
        <v>185</v>
      </c>
    </row>
    <row r="39" spans="1:9" x14ac:dyDescent="0.35">
      <c r="A39" s="41" t="s">
        <v>299</v>
      </c>
    </row>
    <row r="40" spans="1:9" x14ac:dyDescent="0.35">
      <c r="A40" s="41" t="s">
        <v>300</v>
      </c>
    </row>
    <row r="41" spans="1:9" x14ac:dyDescent="0.35">
      <c r="A41" s="41" t="s">
        <v>301</v>
      </c>
    </row>
    <row r="42" spans="1:9" x14ac:dyDescent="0.35">
      <c r="A42" s="41" t="s">
        <v>302</v>
      </c>
    </row>
    <row r="43" spans="1:9" x14ac:dyDescent="0.35">
      <c r="A43" s="41" t="s">
        <v>303</v>
      </c>
    </row>
    <row r="44" spans="1:9" x14ac:dyDescent="0.35">
      <c r="A44" s="41" t="s">
        <v>186</v>
      </c>
    </row>
    <row r="45" spans="1:9" ht="5.25" customHeight="1" thickBot="1" x14ac:dyDescent="0.4"/>
    <row r="46" spans="1:9" x14ac:dyDescent="0.35">
      <c r="A46" s="883" t="s">
        <v>1</v>
      </c>
      <c r="B46" s="886" t="s">
        <v>28</v>
      </c>
      <c r="C46" s="887"/>
      <c r="D46" s="892" t="s">
        <v>32</v>
      </c>
      <c r="E46" s="892"/>
      <c r="F46" s="892"/>
      <c r="G46" s="892"/>
      <c r="H46" s="886" t="s">
        <v>181</v>
      </c>
      <c r="I46" s="893"/>
    </row>
    <row r="47" spans="1:9" x14ac:dyDescent="0.35">
      <c r="A47" s="884"/>
      <c r="B47" s="888"/>
      <c r="C47" s="889"/>
      <c r="D47" s="896" t="s">
        <v>187</v>
      </c>
      <c r="E47" s="757" t="s">
        <v>188</v>
      </c>
      <c r="F47" s="757"/>
      <c r="G47" s="757"/>
      <c r="H47" s="888"/>
      <c r="I47" s="894"/>
    </row>
    <row r="48" spans="1:9" x14ac:dyDescent="0.35">
      <c r="A48" s="885"/>
      <c r="B48" s="890"/>
      <c r="C48" s="891"/>
      <c r="D48" s="896"/>
      <c r="E48" s="213" t="s">
        <v>189</v>
      </c>
      <c r="F48" s="213" t="s">
        <v>189</v>
      </c>
      <c r="G48" s="213" t="s">
        <v>189</v>
      </c>
      <c r="H48" s="890"/>
      <c r="I48" s="895"/>
    </row>
    <row r="49" spans="1:9" x14ac:dyDescent="0.35">
      <c r="A49" s="214">
        <v>1</v>
      </c>
      <c r="B49" s="878"/>
      <c r="C49" s="878"/>
      <c r="D49" s="209"/>
      <c r="E49" s="209"/>
      <c r="F49" s="209"/>
      <c r="G49" s="209"/>
      <c r="H49" s="878"/>
      <c r="I49" s="879"/>
    </row>
    <row r="50" spans="1:9" x14ac:dyDescent="0.35">
      <c r="A50" s="214">
        <v>2</v>
      </c>
      <c r="B50" s="871"/>
      <c r="C50" s="874"/>
      <c r="D50" s="209"/>
      <c r="E50" s="209"/>
      <c r="F50" s="209"/>
      <c r="G50" s="209"/>
      <c r="H50" s="871"/>
      <c r="I50" s="872"/>
    </row>
    <row r="51" spans="1:9" x14ac:dyDescent="0.35">
      <c r="A51" s="214">
        <v>3</v>
      </c>
      <c r="B51" s="871"/>
      <c r="C51" s="874"/>
      <c r="D51" s="209"/>
      <c r="E51" s="209"/>
      <c r="F51" s="209"/>
      <c r="G51" s="209"/>
      <c r="H51" s="871"/>
      <c r="I51" s="872"/>
    </row>
    <row r="52" spans="1:9" x14ac:dyDescent="0.35">
      <c r="A52" s="214">
        <v>4</v>
      </c>
      <c r="B52" s="871"/>
      <c r="C52" s="874"/>
      <c r="D52" s="209"/>
      <c r="E52" s="209"/>
      <c r="F52" s="209"/>
      <c r="G52" s="209"/>
      <c r="H52" s="871"/>
      <c r="I52" s="872"/>
    </row>
    <row r="53" spans="1:9" x14ac:dyDescent="0.35">
      <c r="A53" s="214">
        <v>5</v>
      </c>
      <c r="B53" s="871"/>
      <c r="C53" s="874"/>
      <c r="D53" s="209"/>
      <c r="E53" s="209"/>
      <c r="F53" s="209"/>
      <c r="G53" s="209"/>
      <c r="H53" s="871"/>
      <c r="I53" s="872"/>
    </row>
    <row r="54" spans="1:9" x14ac:dyDescent="0.35">
      <c r="A54" s="214">
        <v>6</v>
      </c>
      <c r="B54" s="871"/>
      <c r="C54" s="874"/>
      <c r="D54" s="209"/>
      <c r="E54" s="209"/>
      <c r="F54" s="209"/>
      <c r="G54" s="209"/>
      <c r="H54" s="871"/>
      <c r="I54" s="872"/>
    </row>
    <row r="55" spans="1:9" x14ac:dyDescent="0.35">
      <c r="A55" s="214">
        <v>7</v>
      </c>
      <c r="B55" s="878"/>
      <c r="C55" s="878"/>
      <c r="D55" s="209"/>
      <c r="E55" s="209"/>
      <c r="F55" s="209"/>
      <c r="G55" s="209"/>
      <c r="H55" s="878"/>
      <c r="I55" s="879"/>
    </row>
    <row r="56" spans="1:9" x14ac:dyDescent="0.35">
      <c r="A56" s="214">
        <v>8</v>
      </c>
      <c r="B56" s="871"/>
      <c r="C56" s="874"/>
      <c r="D56" s="209"/>
      <c r="E56" s="209"/>
      <c r="F56" s="209"/>
      <c r="G56" s="209"/>
      <c r="H56" s="871"/>
      <c r="I56" s="872"/>
    </row>
    <row r="57" spans="1:9" x14ac:dyDescent="0.35">
      <c r="A57" s="214">
        <v>9</v>
      </c>
      <c r="B57" s="878"/>
      <c r="C57" s="878"/>
      <c r="D57" s="209"/>
      <c r="E57" s="209"/>
      <c r="F57" s="209"/>
      <c r="G57" s="209"/>
      <c r="H57" s="878"/>
      <c r="I57" s="879"/>
    </row>
    <row r="58" spans="1:9" x14ac:dyDescent="0.35">
      <c r="A58" s="214">
        <v>10</v>
      </c>
      <c r="B58" s="878"/>
      <c r="C58" s="878"/>
      <c r="D58" s="209"/>
      <c r="E58" s="209"/>
      <c r="F58" s="209"/>
      <c r="G58" s="209"/>
      <c r="H58" s="878"/>
      <c r="I58" s="879"/>
    </row>
    <row r="59" spans="1:9" x14ac:dyDescent="0.35">
      <c r="A59" s="214">
        <v>11</v>
      </c>
      <c r="B59" s="878"/>
      <c r="C59" s="878"/>
      <c r="D59" s="209"/>
      <c r="E59" s="209"/>
      <c r="F59" s="209"/>
      <c r="G59" s="209"/>
      <c r="H59" s="878"/>
      <c r="I59" s="879"/>
    </row>
    <row r="60" spans="1:9" x14ac:dyDescent="0.35">
      <c r="A60" s="214">
        <v>12</v>
      </c>
      <c r="B60" s="210"/>
      <c r="C60" s="211"/>
      <c r="D60" s="209"/>
      <c r="E60" s="209"/>
      <c r="F60" s="209"/>
      <c r="G60" s="209"/>
      <c r="H60" s="210"/>
      <c r="I60" s="215"/>
    </row>
    <row r="61" spans="1:9" x14ac:dyDescent="0.35">
      <c r="A61" s="214">
        <v>13</v>
      </c>
      <c r="B61" s="210"/>
      <c r="C61" s="211"/>
      <c r="D61" s="209"/>
      <c r="E61" s="209"/>
      <c r="F61" s="209"/>
      <c r="G61" s="209"/>
      <c r="H61" s="210"/>
      <c r="I61" s="215"/>
    </row>
    <row r="62" spans="1:9" ht="16" thickBot="1" x14ac:dyDescent="0.4">
      <c r="A62" s="360">
        <v>14</v>
      </c>
      <c r="B62" s="875"/>
      <c r="C62" s="876"/>
      <c r="D62" s="359"/>
      <c r="E62" s="359"/>
      <c r="F62" s="359"/>
      <c r="G62" s="359"/>
      <c r="H62" s="875"/>
      <c r="I62" s="877"/>
    </row>
    <row r="63" spans="1:9" ht="6.75" customHeight="1" x14ac:dyDescent="0.35"/>
    <row r="64" spans="1:9" x14ac:dyDescent="0.35">
      <c r="B64" s="41" t="s">
        <v>190</v>
      </c>
      <c r="G64" s="41" t="s">
        <v>191</v>
      </c>
    </row>
    <row r="65" spans="2:7" x14ac:dyDescent="0.35">
      <c r="B65" s="41" t="s">
        <v>192</v>
      </c>
      <c r="G65" s="41" t="s">
        <v>193</v>
      </c>
    </row>
    <row r="68" spans="2:7" x14ac:dyDescent="0.35">
      <c r="B68" s="42" t="s">
        <v>322</v>
      </c>
      <c r="G68" s="216" t="s">
        <v>194</v>
      </c>
    </row>
    <row r="69" spans="2:7" x14ac:dyDescent="0.35">
      <c r="B69" s="42" t="s">
        <v>323</v>
      </c>
      <c r="G69" s="41" t="s">
        <v>166</v>
      </c>
    </row>
  </sheetData>
  <mergeCells count="87">
    <mergeCell ref="B24:C24"/>
    <mergeCell ref="E24:G24"/>
    <mergeCell ref="H24:I24"/>
    <mergeCell ref="B17:C17"/>
    <mergeCell ref="D17:E17"/>
    <mergeCell ref="F17:H17"/>
    <mergeCell ref="B18:C18"/>
    <mergeCell ref="D18:E18"/>
    <mergeCell ref="F18:H18"/>
    <mergeCell ref="A3:I3"/>
    <mergeCell ref="B16:C16"/>
    <mergeCell ref="D16:E16"/>
    <mergeCell ref="F16:H16"/>
    <mergeCell ref="B23:C23"/>
    <mergeCell ref="E23:G23"/>
    <mergeCell ref="H23:I23"/>
    <mergeCell ref="A46:A48"/>
    <mergeCell ref="B46:C48"/>
    <mergeCell ref="D46:G46"/>
    <mergeCell ref="H46:I48"/>
    <mergeCell ref="D47:D48"/>
    <mergeCell ref="E47:G47"/>
    <mergeCell ref="H1:I1"/>
    <mergeCell ref="H2:I2"/>
    <mergeCell ref="B57:C57"/>
    <mergeCell ref="B58:C58"/>
    <mergeCell ref="H57:I57"/>
    <mergeCell ref="H58:I58"/>
    <mergeCell ref="B49:C49"/>
    <mergeCell ref="H49:I49"/>
    <mergeCell ref="B55:C55"/>
    <mergeCell ref="H55:I55"/>
    <mergeCell ref="B25:C25"/>
    <mergeCell ref="E25:G25"/>
    <mergeCell ref="H25:I25"/>
    <mergeCell ref="B32:C32"/>
    <mergeCell ref="E32:G32"/>
    <mergeCell ref="H32:I32"/>
    <mergeCell ref="B62:C62"/>
    <mergeCell ref="H62:I62"/>
    <mergeCell ref="B33:C33"/>
    <mergeCell ref="B36:C36"/>
    <mergeCell ref="E33:G33"/>
    <mergeCell ref="B59:C59"/>
    <mergeCell ref="H59:I59"/>
    <mergeCell ref="B37:C37"/>
    <mergeCell ref="E37:G37"/>
    <mergeCell ref="H37:I37"/>
    <mergeCell ref="B34:C34"/>
    <mergeCell ref="B35:C35"/>
    <mergeCell ref="E34:G34"/>
    <mergeCell ref="E35:G35"/>
    <mergeCell ref="H34:I34"/>
    <mergeCell ref="H35:I35"/>
    <mergeCell ref="B30:C30"/>
    <mergeCell ref="B31:C31"/>
    <mergeCell ref="E26:G26"/>
    <mergeCell ref="E27:G27"/>
    <mergeCell ref="E28:G28"/>
    <mergeCell ref="E29:G29"/>
    <mergeCell ref="B26:C26"/>
    <mergeCell ref="B27:C27"/>
    <mergeCell ref="B28:C28"/>
    <mergeCell ref="B29:C29"/>
    <mergeCell ref="E30:G30"/>
    <mergeCell ref="E31:G31"/>
    <mergeCell ref="H26:I26"/>
    <mergeCell ref="H27:I27"/>
    <mergeCell ref="H28:I28"/>
    <mergeCell ref="H29:I29"/>
    <mergeCell ref="H30:I30"/>
    <mergeCell ref="H31:I31"/>
    <mergeCell ref="E36:G36"/>
    <mergeCell ref="H33:I33"/>
    <mergeCell ref="H36:I36"/>
    <mergeCell ref="B56:C56"/>
    <mergeCell ref="H50:I50"/>
    <mergeCell ref="H51:I51"/>
    <mergeCell ref="H52:I52"/>
    <mergeCell ref="H53:I53"/>
    <mergeCell ref="H54:I54"/>
    <mergeCell ref="H56:I56"/>
    <mergeCell ref="B50:C50"/>
    <mergeCell ref="B51:C51"/>
    <mergeCell ref="B52:C52"/>
    <mergeCell ref="B53:C53"/>
    <mergeCell ref="B54:C54"/>
  </mergeCells>
  <pageMargins left="1.1811023622047245" right="0.39370078740157483" top="0.39370078740157483" bottom="1.3779527559055118" header="0.31496062992125984" footer="0.31496062992125984"/>
  <pageSetup paperSize="5" scale="90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67"/>
  <sheetViews>
    <sheetView topLeftCell="A26" workbookViewId="0">
      <selection activeCell="A3" sqref="A3:I3"/>
    </sheetView>
  </sheetViews>
  <sheetFormatPr defaultColWidth="9.1796875" defaultRowHeight="15.5" x14ac:dyDescent="0.35"/>
  <cols>
    <col min="1" max="1" width="5.1796875" style="41" customWidth="1"/>
    <col min="2" max="2" width="14" style="41" customWidth="1"/>
    <col min="3" max="3" width="23.1796875" style="41" customWidth="1"/>
    <col min="4" max="6" width="9.1796875" style="41"/>
    <col min="7" max="7" width="10.1796875" style="41" customWidth="1"/>
    <col min="8" max="8" width="9.1796875" style="41"/>
    <col min="9" max="9" width="17.453125" style="41" customWidth="1"/>
    <col min="10" max="16384" width="9.1796875" style="41"/>
  </cols>
  <sheetData>
    <row r="1" spans="1:9" x14ac:dyDescent="0.35">
      <c r="H1" s="680" t="s">
        <v>766</v>
      </c>
      <c r="I1" s="680"/>
    </row>
    <row r="2" spans="1:9" x14ac:dyDescent="0.35">
      <c r="H2" s="882">
        <v>45117</v>
      </c>
      <c r="I2" s="882"/>
    </row>
    <row r="3" spans="1:9" ht="13.5" customHeight="1" x14ac:dyDescent="0.35">
      <c r="A3" s="911" t="s">
        <v>307</v>
      </c>
      <c r="B3" s="911"/>
      <c r="C3" s="911"/>
      <c r="D3" s="911"/>
      <c r="E3" s="911"/>
      <c r="F3" s="911"/>
      <c r="G3" s="911"/>
      <c r="H3" s="911"/>
      <c r="I3" s="911"/>
    </row>
    <row r="4" spans="1:9" x14ac:dyDescent="0.35">
      <c r="A4" s="41" t="s">
        <v>172</v>
      </c>
    </row>
    <row r="5" spans="1:9" x14ac:dyDescent="0.35">
      <c r="A5" s="41" t="s">
        <v>173</v>
      </c>
    </row>
    <row r="6" spans="1:9" x14ac:dyDescent="0.35">
      <c r="A6" s="41" t="s">
        <v>174</v>
      </c>
    </row>
    <row r="7" spans="1:9" x14ac:dyDescent="0.35">
      <c r="A7" s="41" t="s">
        <v>175</v>
      </c>
    </row>
    <row r="8" spans="1:9" x14ac:dyDescent="0.35">
      <c r="A8" s="41" t="s">
        <v>176</v>
      </c>
    </row>
    <row r="9" spans="1:9" x14ac:dyDescent="0.35">
      <c r="A9" s="207"/>
    </row>
    <row r="10" spans="1:9" x14ac:dyDescent="0.35">
      <c r="A10" s="41" t="s">
        <v>177</v>
      </c>
    </row>
    <row r="11" spans="1:9" x14ac:dyDescent="0.35">
      <c r="A11" s="912" t="s">
        <v>295</v>
      </c>
      <c r="B11" s="912"/>
      <c r="C11" s="41" t="s">
        <v>178</v>
      </c>
    </row>
    <row r="12" spans="1:9" x14ac:dyDescent="0.35">
      <c r="A12" s="912" t="s">
        <v>296</v>
      </c>
      <c r="B12" s="912"/>
      <c r="C12" s="41" t="s">
        <v>178</v>
      </c>
    </row>
    <row r="13" spans="1:9" x14ac:dyDescent="0.35">
      <c r="A13" s="912" t="s">
        <v>297</v>
      </c>
      <c r="B13" s="912"/>
      <c r="C13" s="41" t="s">
        <v>178</v>
      </c>
    </row>
    <row r="14" spans="1:9" x14ac:dyDescent="0.35">
      <c r="A14" s="41" t="s">
        <v>298</v>
      </c>
      <c r="C14" s="41" t="s">
        <v>178</v>
      </c>
    </row>
    <row r="16" spans="1:9" x14ac:dyDescent="0.35">
      <c r="B16" s="898" t="s">
        <v>179</v>
      </c>
      <c r="C16" s="757"/>
      <c r="D16" s="757" t="s">
        <v>180</v>
      </c>
      <c r="E16" s="757"/>
      <c r="F16" s="757" t="s">
        <v>181</v>
      </c>
      <c r="G16" s="757"/>
      <c r="H16" s="899"/>
    </row>
    <row r="17" spans="1:9" x14ac:dyDescent="0.35">
      <c r="B17" s="902" t="s">
        <v>306</v>
      </c>
      <c r="C17" s="878"/>
      <c r="D17" s="878"/>
      <c r="E17" s="878"/>
      <c r="F17" s="878" t="s">
        <v>304</v>
      </c>
      <c r="G17" s="878"/>
      <c r="H17" s="879"/>
    </row>
    <row r="18" spans="1:9" ht="16" thickBot="1" x14ac:dyDescent="0.4">
      <c r="B18" s="903" t="s">
        <v>182</v>
      </c>
      <c r="C18" s="904"/>
      <c r="D18" s="880"/>
      <c r="E18" s="880"/>
      <c r="F18" s="880" t="s">
        <v>305</v>
      </c>
      <c r="G18" s="880"/>
      <c r="H18" s="881"/>
    </row>
    <row r="20" spans="1:9" x14ac:dyDescent="0.35">
      <c r="A20" s="41" t="s">
        <v>308</v>
      </c>
    </row>
    <row r="21" spans="1:9" ht="16" thickBot="1" x14ac:dyDescent="0.4"/>
    <row r="22" spans="1:9" ht="23.25" customHeight="1" x14ac:dyDescent="0.35">
      <c r="A22" s="292" t="s">
        <v>1</v>
      </c>
      <c r="B22" s="905" t="s">
        <v>28</v>
      </c>
      <c r="C22" s="906"/>
      <c r="D22" s="291" t="s">
        <v>32</v>
      </c>
      <c r="E22" s="907" t="s">
        <v>310</v>
      </c>
      <c r="F22" s="908"/>
      <c r="G22" s="909"/>
      <c r="H22" s="905" t="s">
        <v>181</v>
      </c>
      <c r="I22" s="910"/>
    </row>
    <row r="23" spans="1:9" x14ac:dyDescent="0.35">
      <c r="A23" s="208">
        <v>1</v>
      </c>
      <c r="B23" s="878"/>
      <c r="C23" s="878"/>
      <c r="D23" s="209"/>
      <c r="E23" s="878"/>
      <c r="F23" s="878"/>
      <c r="G23" s="878"/>
      <c r="H23" s="878"/>
      <c r="I23" s="878"/>
    </row>
    <row r="24" spans="1:9" x14ac:dyDescent="0.35">
      <c r="A24" s="208">
        <v>2</v>
      </c>
      <c r="B24" s="878"/>
      <c r="C24" s="878"/>
      <c r="D24" s="209"/>
      <c r="E24" s="878"/>
      <c r="F24" s="878"/>
      <c r="G24" s="878"/>
      <c r="H24" s="878"/>
      <c r="I24" s="878"/>
    </row>
    <row r="25" spans="1:9" x14ac:dyDescent="0.35">
      <c r="A25" s="208">
        <v>3</v>
      </c>
      <c r="B25" s="871"/>
      <c r="C25" s="874"/>
      <c r="D25" s="209"/>
      <c r="E25" s="871"/>
      <c r="F25" s="873"/>
      <c r="G25" s="874"/>
      <c r="H25" s="871"/>
      <c r="I25" s="874"/>
    </row>
    <row r="26" spans="1:9" x14ac:dyDescent="0.35">
      <c r="A26" s="208">
        <v>4</v>
      </c>
      <c r="B26" s="871"/>
      <c r="C26" s="874"/>
      <c r="D26" s="209"/>
      <c r="E26" s="871"/>
      <c r="F26" s="873"/>
      <c r="G26" s="874"/>
      <c r="H26" s="871"/>
      <c r="I26" s="874"/>
    </row>
    <row r="27" spans="1:9" x14ac:dyDescent="0.35">
      <c r="A27" s="208">
        <v>5</v>
      </c>
      <c r="B27" s="871"/>
      <c r="C27" s="874"/>
      <c r="D27" s="209"/>
      <c r="E27" s="871"/>
      <c r="F27" s="873"/>
      <c r="G27" s="874"/>
      <c r="H27" s="871"/>
      <c r="I27" s="874"/>
    </row>
    <row r="28" spans="1:9" x14ac:dyDescent="0.35">
      <c r="A28" s="208">
        <v>6</v>
      </c>
      <c r="B28" s="871"/>
      <c r="C28" s="874"/>
      <c r="D28" s="209"/>
      <c r="E28" s="871"/>
      <c r="F28" s="873"/>
      <c r="G28" s="874"/>
      <c r="H28" s="871"/>
      <c r="I28" s="874"/>
    </row>
    <row r="29" spans="1:9" x14ac:dyDescent="0.35">
      <c r="A29" s="208">
        <v>7</v>
      </c>
      <c r="B29" s="871"/>
      <c r="C29" s="874"/>
      <c r="D29" s="209"/>
      <c r="E29" s="871"/>
      <c r="F29" s="873"/>
      <c r="G29" s="874"/>
      <c r="H29" s="871"/>
      <c r="I29" s="874"/>
    </row>
    <row r="30" spans="1:9" x14ac:dyDescent="0.35">
      <c r="A30" s="208">
        <v>8</v>
      </c>
      <c r="B30" s="871"/>
      <c r="C30" s="874"/>
      <c r="D30" s="209"/>
      <c r="E30" s="871"/>
      <c r="F30" s="873"/>
      <c r="G30" s="874"/>
      <c r="H30" s="871"/>
      <c r="I30" s="874"/>
    </row>
    <row r="31" spans="1:9" x14ac:dyDescent="0.35">
      <c r="A31" s="208">
        <v>9</v>
      </c>
      <c r="B31" s="878"/>
      <c r="C31" s="878"/>
      <c r="D31" s="209"/>
      <c r="E31" s="878"/>
      <c r="F31" s="878"/>
      <c r="G31" s="878"/>
      <c r="H31" s="878"/>
      <c r="I31" s="878"/>
    </row>
    <row r="32" spans="1:9" x14ac:dyDescent="0.35">
      <c r="A32" s="208">
        <v>10</v>
      </c>
      <c r="B32" s="871"/>
      <c r="C32" s="874"/>
      <c r="D32" s="209"/>
      <c r="E32" s="871"/>
      <c r="F32" s="873"/>
      <c r="G32" s="874"/>
      <c r="H32" s="871"/>
      <c r="I32" s="874"/>
    </row>
    <row r="33" spans="1:9" x14ac:dyDescent="0.35">
      <c r="A33" s="208">
        <v>11</v>
      </c>
      <c r="B33" s="210"/>
      <c r="C33" s="211"/>
      <c r="D33" s="209"/>
      <c r="E33" s="210"/>
      <c r="F33" s="212"/>
      <c r="G33" s="211"/>
      <c r="H33" s="210"/>
      <c r="I33" s="211"/>
    </row>
    <row r="34" spans="1:9" x14ac:dyDescent="0.35">
      <c r="A34" s="208">
        <v>12</v>
      </c>
      <c r="B34" s="210"/>
      <c r="C34" s="211"/>
      <c r="D34" s="209"/>
      <c r="E34" s="210"/>
      <c r="F34" s="212"/>
      <c r="G34" s="211"/>
      <c r="H34" s="210"/>
      <c r="I34" s="211"/>
    </row>
    <row r="35" spans="1:9" x14ac:dyDescent="0.35">
      <c r="A35" s="208">
        <v>13</v>
      </c>
      <c r="B35" s="871"/>
      <c r="C35" s="874"/>
      <c r="D35" s="209"/>
      <c r="E35" s="871"/>
      <c r="F35" s="873"/>
      <c r="G35" s="874"/>
      <c r="H35" s="871"/>
      <c r="I35" s="874"/>
    </row>
    <row r="36" spans="1:9" x14ac:dyDescent="0.35">
      <c r="A36" s="208">
        <v>14</v>
      </c>
      <c r="B36" s="878"/>
      <c r="C36" s="878"/>
      <c r="D36" s="209"/>
      <c r="E36" s="878"/>
      <c r="F36" s="878"/>
      <c r="G36" s="878"/>
      <c r="H36" s="878"/>
      <c r="I36" s="878"/>
    </row>
    <row r="37" spans="1:9" x14ac:dyDescent="0.35">
      <c r="A37" s="41" t="s">
        <v>185</v>
      </c>
    </row>
    <row r="38" spans="1:9" x14ac:dyDescent="0.35">
      <c r="A38" s="41" t="s">
        <v>313</v>
      </c>
    </row>
    <row r="39" spans="1:9" x14ac:dyDescent="0.35">
      <c r="A39" s="41" t="s">
        <v>311</v>
      </c>
    </row>
    <row r="40" spans="1:9" x14ac:dyDescent="0.35">
      <c r="A40" s="41" t="s">
        <v>312</v>
      </c>
    </row>
    <row r="41" spans="1:9" x14ac:dyDescent="0.35">
      <c r="A41" s="41" t="s">
        <v>303</v>
      </c>
    </row>
    <row r="42" spans="1:9" x14ac:dyDescent="0.35">
      <c r="A42" s="41" t="s">
        <v>309</v>
      </c>
    </row>
    <row r="43" spans="1:9" ht="7.5" customHeight="1" thickBot="1" x14ac:dyDescent="0.4"/>
    <row r="44" spans="1:9" x14ac:dyDescent="0.35">
      <c r="A44" s="883" t="s">
        <v>1</v>
      </c>
      <c r="B44" s="886" t="s">
        <v>28</v>
      </c>
      <c r="C44" s="887"/>
      <c r="D44" s="892" t="s">
        <v>32</v>
      </c>
      <c r="E44" s="892"/>
      <c r="F44" s="892"/>
      <c r="G44" s="892"/>
      <c r="H44" s="886" t="s">
        <v>181</v>
      </c>
      <c r="I44" s="893"/>
    </row>
    <row r="45" spans="1:9" x14ac:dyDescent="0.35">
      <c r="A45" s="884"/>
      <c r="B45" s="888"/>
      <c r="C45" s="889"/>
      <c r="D45" s="896" t="s">
        <v>187</v>
      </c>
      <c r="E45" s="757" t="s">
        <v>188</v>
      </c>
      <c r="F45" s="757"/>
      <c r="G45" s="757"/>
      <c r="H45" s="888"/>
      <c r="I45" s="894"/>
    </row>
    <row r="46" spans="1:9" x14ac:dyDescent="0.35">
      <c r="A46" s="885"/>
      <c r="B46" s="890"/>
      <c r="C46" s="891"/>
      <c r="D46" s="896"/>
      <c r="E46" s="213" t="s">
        <v>189</v>
      </c>
      <c r="F46" s="213" t="s">
        <v>189</v>
      </c>
      <c r="G46" s="213" t="s">
        <v>189</v>
      </c>
      <c r="H46" s="890"/>
      <c r="I46" s="895"/>
    </row>
    <row r="47" spans="1:9" x14ac:dyDescent="0.35">
      <c r="A47" s="214">
        <v>1</v>
      </c>
      <c r="B47" s="878"/>
      <c r="C47" s="878"/>
      <c r="D47" s="209"/>
      <c r="E47" s="209"/>
      <c r="F47" s="209"/>
      <c r="G47" s="209"/>
      <c r="H47" s="878"/>
      <c r="I47" s="879"/>
    </row>
    <row r="48" spans="1:9" x14ac:dyDescent="0.35">
      <c r="A48" s="214">
        <v>2</v>
      </c>
      <c r="B48" s="871"/>
      <c r="C48" s="874"/>
      <c r="D48" s="209"/>
      <c r="E48" s="209"/>
      <c r="F48" s="209"/>
      <c r="G48" s="209"/>
      <c r="H48" s="871"/>
      <c r="I48" s="872"/>
    </row>
    <row r="49" spans="1:9" x14ac:dyDescent="0.35">
      <c r="A49" s="214">
        <v>3</v>
      </c>
      <c r="B49" s="871"/>
      <c r="C49" s="874"/>
      <c r="D49" s="209"/>
      <c r="E49" s="209"/>
      <c r="F49" s="209"/>
      <c r="G49" s="209"/>
      <c r="H49" s="871"/>
      <c r="I49" s="872"/>
    </row>
    <row r="50" spans="1:9" x14ac:dyDescent="0.35">
      <c r="A50" s="214">
        <v>4</v>
      </c>
      <c r="B50" s="871"/>
      <c r="C50" s="874"/>
      <c r="D50" s="209"/>
      <c r="E50" s="209"/>
      <c r="F50" s="209"/>
      <c r="G50" s="209"/>
      <c r="H50" s="871"/>
      <c r="I50" s="872"/>
    </row>
    <row r="51" spans="1:9" x14ac:dyDescent="0.35">
      <c r="A51" s="214">
        <v>5</v>
      </c>
      <c r="B51" s="871"/>
      <c r="C51" s="874"/>
      <c r="D51" s="209"/>
      <c r="E51" s="209"/>
      <c r="F51" s="209"/>
      <c r="G51" s="209"/>
      <c r="H51" s="871"/>
      <c r="I51" s="872"/>
    </row>
    <row r="52" spans="1:9" x14ac:dyDescent="0.35">
      <c r="A52" s="214">
        <v>6</v>
      </c>
      <c r="B52" s="871"/>
      <c r="C52" s="874"/>
      <c r="D52" s="209"/>
      <c r="E52" s="209"/>
      <c r="F52" s="209"/>
      <c r="G52" s="209"/>
      <c r="H52" s="871"/>
      <c r="I52" s="872"/>
    </row>
    <row r="53" spans="1:9" x14ac:dyDescent="0.35">
      <c r="A53" s="214">
        <v>7</v>
      </c>
      <c r="B53" s="878"/>
      <c r="C53" s="878"/>
      <c r="D53" s="209"/>
      <c r="E53" s="209"/>
      <c r="F53" s="209"/>
      <c r="G53" s="209"/>
      <c r="H53" s="878"/>
      <c r="I53" s="879"/>
    </row>
    <row r="54" spans="1:9" x14ac:dyDescent="0.35">
      <c r="A54" s="214">
        <v>8</v>
      </c>
      <c r="B54" s="871"/>
      <c r="C54" s="874"/>
      <c r="D54" s="209"/>
      <c r="E54" s="209"/>
      <c r="F54" s="209"/>
      <c r="G54" s="209"/>
      <c r="H54" s="871"/>
      <c r="I54" s="872"/>
    </row>
    <row r="55" spans="1:9" x14ac:dyDescent="0.35">
      <c r="A55" s="214">
        <v>9</v>
      </c>
      <c r="B55" s="878"/>
      <c r="C55" s="878"/>
      <c r="D55" s="209"/>
      <c r="E55" s="209"/>
      <c r="F55" s="209"/>
      <c r="G55" s="209"/>
      <c r="H55" s="878"/>
      <c r="I55" s="879"/>
    </row>
    <row r="56" spans="1:9" x14ac:dyDescent="0.35">
      <c r="A56" s="214">
        <v>10</v>
      </c>
      <c r="B56" s="878"/>
      <c r="C56" s="878"/>
      <c r="D56" s="209"/>
      <c r="E56" s="209"/>
      <c r="F56" s="209"/>
      <c r="G56" s="209"/>
      <c r="H56" s="878"/>
      <c r="I56" s="879"/>
    </row>
    <row r="57" spans="1:9" x14ac:dyDescent="0.35">
      <c r="A57" s="214">
        <v>11</v>
      </c>
      <c r="B57" s="878"/>
      <c r="C57" s="878"/>
      <c r="D57" s="209"/>
      <c r="E57" s="209"/>
      <c r="F57" s="209"/>
      <c r="G57" s="209"/>
      <c r="H57" s="878"/>
      <c r="I57" s="879"/>
    </row>
    <row r="58" spans="1:9" x14ac:dyDescent="0.35">
      <c r="A58" s="214">
        <v>12</v>
      </c>
      <c r="B58" s="210"/>
      <c r="C58" s="211"/>
      <c r="D58" s="209"/>
      <c r="E58" s="209"/>
      <c r="F58" s="209"/>
      <c r="G58" s="209"/>
      <c r="H58" s="210"/>
      <c r="I58" s="215"/>
    </row>
    <row r="59" spans="1:9" x14ac:dyDescent="0.35">
      <c r="A59" s="214">
        <v>13</v>
      </c>
      <c r="B59" s="210"/>
      <c r="C59" s="211"/>
      <c r="D59" s="209"/>
      <c r="E59" s="209"/>
      <c r="F59" s="209"/>
      <c r="G59" s="209"/>
      <c r="H59" s="210"/>
      <c r="I59" s="215"/>
    </row>
    <row r="60" spans="1:9" x14ac:dyDescent="0.35">
      <c r="A60" s="214">
        <v>14</v>
      </c>
      <c r="B60" s="871"/>
      <c r="C60" s="874"/>
      <c r="D60" s="209"/>
      <c r="E60" s="209"/>
      <c r="F60" s="209"/>
      <c r="G60" s="209"/>
      <c r="H60" s="871"/>
      <c r="I60" s="872"/>
    </row>
    <row r="61" spans="1:9" ht="6.75" customHeight="1" x14ac:dyDescent="0.35"/>
    <row r="62" spans="1:9" x14ac:dyDescent="0.35">
      <c r="B62" s="41" t="s">
        <v>190</v>
      </c>
      <c r="G62" s="41" t="s">
        <v>191</v>
      </c>
    </row>
    <row r="63" spans="1:9" x14ac:dyDescent="0.35">
      <c r="B63" s="41" t="s">
        <v>192</v>
      </c>
      <c r="G63" s="41" t="s">
        <v>193</v>
      </c>
    </row>
    <row r="66" spans="2:7" x14ac:dyDescent="0.35">
      <c r="B66" s="42" t="s">
        <v>329</v>
      </c>
      <c r="C66" s="42"/>
      <c r="G66" s="216" t="s">
        <v>194</v>
      </c>
    </row>
    <row r="67" spans="2:7" x14ac:dyDescent="0.35">
      <c r="B67" s="42" t="s">
        <v>323</v>
      </c>
      <c r="C67" s="42"/>
      <c r="G67" s="41" t="s">
        <v>166</v>
      </c>
    </row>
  </sheetData>
  <mergeCells count="84">
    <mergeCell ref="H1:I1"/>
    <mergeCell ref="H2:I2"/>
    <mergeCell ref="A3:I3"/>
    <mergeCell ref="B16:C16"/>
    <mergeCell ref="D16:E16"/>
    <mergeCell ref="F16:H16"/>
    <mergeCell ref="A11:B11"/>
    <mergeCell ref="A12:B12"/>
    <mergeCell ref="A13:B13"/>
    <mergeCell ref="B17:C17"/>
    <mergeCell ref="D17:E17"/>
    <mergeCell ref="F17:H17"/>
    <mergeCell ref="B18:C18"/>
    <mergeCell ref="D18:E18"/>
    <mergeCell ref="F18:H18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B27:C27"/>
    <mergeCell ref="E27:G27"/>
    <mergeCell ref="H27:I27"/>
    <mergeCell ref="B28:C28"/>
    <mergeCell ref="E28:G28"/>
    <mergeCell ref="H28:I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5:C35"/>
    <mergeCell ref="E35:G35"/>
    <mergeCell ref="H35:I35"/>
    <mergeCell ref="B36:C36"/>
    <mergeCell ref="E36:G36"/>
    <mergeCell ref="H36:I36"/>
    <mergeCell ref="A44:A46"/>
    <mergeCell ref="B44:C46"/>
    <mergeCell ref="D44:G44"/>
    <mergeCell ref="H44:I46"/>
    <mergeCell ref="D45:D46"/>
    <mergeCell ref="E45:G45"/>
    <mergeCell ref="B47:C47"/>
    <mergeCell ref="H47:I47"/>
    <mergeCell ref="B48:C48"/>
    <mergeCell ref="H48:I48"/>
    <mergeCell ref="B49:C49"/>
    <mergeCell ref="H49:I49"/>
    <mergeCell ref="B50:C50"/>
    <mergeCell ref="H50:I50"/>
    <mergeCell ref="B51:C51"/>
    <mergeCell ref="H51:I51"/>
    <mergeCell ref="B52:C52"/>
    <mergeCell ref="H52:I52"/>
    <mergeCell ref="B53:C53"/>
    <mergeCell ref="H53:I53"/>
    <mergeCell ref="B54:C54"/>
    <mergeCell ref="H54:I54"/>
    <mergeCell ref="B55:C55"/>
    <mergeCell ref="H55:I55"/>
    <mergeCell ref="B56:C56"/>
    <mergeCell ref="H56:I56"/>
    <mergeCell ref="B57:C57"/>
    <mergeCell ref="H57:I57"/>
    <mergeCell ref="B60:C60"/>
    <mergeCell ref="H60:I60"/>
  </mergeCells>
  <pageMargins left="0.70866141732283472" right="0.59055118110236227" top="0.35433070866141736" bottom="1.3385826771653544" header="0.31496062992125984" footer="0.31496062992125984"/>
  <pageSetup paperSize="5" scale="85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G113"/>
  <sheetViews>
    <sheetView workbookViewId="0">
      <selection activeCell="D9" sqref="D9"/>
    </sheetView>
  </sheetViews>
  <sheetFormatPr defaultColWidth="9.1796875" defaultRowHeight="14" x14ac:dyDescent="0.3"/>
  <cols>
    <col min="1" max="1" width="12.81640625" style="43" customWidth="1"/>
    <col min="2" max="2" width="9.7265625" style="43" customWidth="1"/>
    <col min="3" max="3" width="6.26953125" style="43" customWidth="1"/>
    <col min="4" max="4" width="41" style="43" customWidth="1"/>
    <col min="5" max="5" width="15.26953125" style="43" customWidth="1"/>
    <col min="6" max="6" width="21.54296875" style="43" customWidth="1"/>
    <col min="7" max="7" width="2.1796875" style="43" customWidth="1"/>
    <col min="8" max="16384" width="9.1796875" style="43"/>
  </cols>
  <sheetData>
    <row r="1" spans="1:6" x14ac:dyDescent="0.3">
      <c r="F1" s="298" t="s">
        <v>767</v>
      </c>
    </row>
    <row r="2" spans="1:6" ht="21.75" customHeight="1" x14ac:dyDescent="0.3">
      <c r="A2" s="682" t="s">
        <v>167</v>
      </c>
      <c r="B2" s="682"/>
      <c r="C2" s="682"/>
      <c r="D2" s="682"/>
      <c r="E2" s="913"/>
      <c r="F2" s="197">
        <v>45117</v>
      </c>
    </row>
    <row r="3" spans="1:6" ht="16.5" customHeight="1" x14ac:dyDescent="0.3">
      <c r="B3" s="198"/>
      <c r="C3" s="198"/>
      <c r="D3" s="198"/>
      <c r="E3" s="198"/>
    </row>
    <row r="4" spans="1:6" ht="20.149999999999999" customHeight="1" x14ac:dyDescent="0.35">
      <c r="A4" s="43" t="s">
        <v>133</v>
      </c>
      <c r="B4" s="47"/>
      <c r="C4" s="43" t="s">
        <v>382</v>
      </c>
      <c r="D4" s="42"/>
      <c r="E4" s="43" t="s">
        <v>383</v>
      </c>
    </row>
    <row r="5" spans="1:6" ht="20.149999999999999" customHeight="1" x14ac:dyDescent="0.35">
      <c r="A5" s="43" t="s">
        <v>168</v>
      </c>
      <c r="B5" s="47"/>
      <c r="C5" s="43" t="s">
        <v>382</v>
      </c>
      <c r="D5" s="42"/>
      <c r="E5" s="43" t="s">
        <v>670</v>
      </c>
    </row>
    <row r="6" spans="1:6" ht="20.149999999999999" customHeight="1" x14ac:dyDescent="0.35">
      <c r="A6" s="43" t="s">
        <v>40</v>
      </c>
      <c r="B6" s="47"/>
      <c r="C6" s="43" t="s">
        <v>382</v>
      </c>
      <c r="D6" s="42"/>
    </row>
    <row r="7" spans="1:6" ht="12.75" customHeight="1" x14ac:dyDescent="0.35">
      <c r="A7" s="47"/>
      <c r="B7" s="47"/>
      <c r="D7" s="42"/>
      <c r="E7" s="42"/>
    </row>
    <row r="8" spans="1:6" s="201" customFormat="1" ht="21.75" customHeight="1" thickBot="1" x14ac:dyDescent="0.35">
      <c r="A8" s="199" t="s">
        <v>132</v>
      </c>
      <c r="B8" s="199" t="s">
        <v>41</v>
      </c>
      <c r="C8" s="199" t="s">
        <v>169</v>
      </c>
      <c r="D8" s="199" t="s">
        <v>771</v>
      </c>
      <c r="E8" s="199" t="s">
        <v>671</v>
      </c>
      <c r="F8" s="200" t="s">
        <v>131</v>
      </c>
    </row>
    <row r="9" spans="1:6" ht="18" customHeight="1" thickTop="1" x14ac:dyDescent="0.3">
      <c r="A9" s="191"/>
      <c r="B9" s="191"/>
      <c r="C9" s="202"/>
      <c r="D9" s="203"/>
      <c r="E9" s="191"/>
      <c r="F9" s="191"/>
    </row>
    <row r="10" spans="1:6" ht="18" customHeight="1" x14ac:dyDescent="0.3">
      <c r="A10" s="45"/>
      <c r="B10" s="45"/>
      <c r="C10" s="63"/>
      <c r="D10" s="204"/>
      <c r="E10" s="45"/>
      <c r="F10" s="45"/>
    </row>
    <row r="11" spans="1:6" ht="18" customHeight="1" x14ac:dyDescent="0.3">
      <c r="A11" s="45"/>
      <c r="B11" s="45"/>
      <c r="C11" s="63"/>
      <c r="D11" s="45"/>
      <c r="E11" s="45"/>
      <c r="F11" s="45"/>
    </row>
    <row r="12" spans="1:6" ht="18" customHeight="1" x14ac:dyDescent="0.3">
      <c r="A12" s="45"/>
      <c r="B12" s="45"/>
      <c r="C12" s="45"/>
      <c r="D12" s="45"/>
      <c r="E12" s="45"/>
      <c r="F12" s="45"/>
    </row>
    <row r="13" spans="1:6" ht="18" customHeight="1" x14ac:dyDescent="0.3">
      <c r="A13" s="45"/>
      <c r="B13" s="45"/>
      <c r="C13" s="45"/>
      <c r="D13" s="45"/>
      <c r="E13" s="45"/>
      <c r="F13" s="45"/>
    </row>
    <row r="14" spans="1:6" ht="18" customHeight="1" x14ac:dyDescent="0.3">
      <c r="A14" s="45"/>
      <c r="B14" s="45"/>
      <c r="C14" s="45"/>
      <c r="D14" s="45"/>
      <c r="E14" s="45"/>
      <c r="F14" s="45"/>
    </row>
    <row r="15" spans="1:6" ht="18" customHeight="1" x14ac:dyDescent="0.3">
      <c r="A15" s="45"/>
      <c r="B15" s="45"/>
      <c r="C15" s="45"/>
      <c r="D15" s="45"/>
      <c r="E15" s="45"/>
      <c r="F15" s="45"/>
    </row>
    <row r="16" spans="1:6" ht="18" customHeight="1" x14ac:dyDescent="0.3">
      <c r="A16" s="45"/>
      <c r="B16" s="45"/>
      <c r="C16" s="45"/>
      <c r="D16" s="45"/>
      <c r="E16" s="45"/>
      <c r="F16" s="45"/>
    </row>
    <row r="17" spans="1:6" ht="18" customHeight="1" x14ac:dyDescent="0.3">
      <c r="A17" s="45"/>
      <c r="B17" s="45"/>
      <c r="C17" s="45"/>
      <c r="D17" s="45"/>
      <c r="E17" s="45"/>
      <c r="F17" s="45"/>
    </row>
    <row r="18" spans="1:6" ht="18" customHeight="1" x14ac:dyDescent="0.3">
      <c r="A18" s="45"/>
      <c r="B18" s="45"/>
      <c r="C18" s="45"/>
      <c r="D18" s="45"/>
      <c r="E18" s="45"/>
      <c r="F18" s="45"/>
    </row>
    <row r="19" spans="1:6" ht="18" customHeight="1" x14ac:dyDescent="0.3">
      <c r="A19" s="45"/>
      <c r="B19" s="45"/>
      <c r="C19" s="45"/>
      <c r="D19" s="45"/>
      <c r="E19" s="45"/>
      <c r="F19" s="45"/>
    </row>
    <row r="20" spans="1:6" ht="18" customHeight="1" x14ac:dyDescent="0.3">
      <c r="A20" s="45"/>
      <c r="B20" s="45"/>
      <c r="C20" s="45"/>
      <c r="D20" s="45"/>
      <c r="E20" s="45"/>
      <c r="F20" s="45"/>
    </row>
    <row r="21" spans="1:6" ht="18" customHeight="1" x14ac:dyDescent="0.3">
      <c r="A21" s="45"/>
      <c r="B21" s="45"/>
      <c r="C21" s="45"/>
      <c r="D21" s="45"/>
      <c r="E21" s="45"/>
      <c r="F21" s="45"/>
    </row>
    <row r="22" spans="1:6" ht="18" customHeight="1" x14ac:dyDescent="0.3">
      <c r="A22" s="45"/>
      <c r="B22" s="45"/>
      <c r="C22" s="45"/>
      <c r="D22" s="45"/>
      <c r="E22" s="45"/>
      <c r="F22" s="45"/>
    </row>
    <row r="23" spans="1:6" ht="18" customHeight="1" x14ac:dyDescent="0.3">
      <c r="A23" s="45"/>
      <c r="B23" s="45"/>
      <c r="C23" s="45"/>
      <c r="D23" s="45"/>
      <c r="E23" s="45"/>
      <c r="F23" s="45"/>
    </row>
    <row r="24" spans="1:6" ht="18" customHeight="1" x14ac:dyDescent="0.3">
      <c r="A24" s="45"/>
      <c r="B24" s="45"/>
      <c r="C24" s="45"/>
      <c r="D24" s="45"/>
      <c r="E24" s="45"/>
      <c r="F24" s="45"/>
    </row>
    <row r="25" spans="1:6" ht="18" customHeight="1" x14ac:dyDescent="0.3">
      <c r="A25" s="45"/>
      <c r="B25" s="45"/>
      <c r="C25" s="45"/>
      <c r="D25" s="45"/>
      <c r="E25" s="45"/>
      <c r="F25" s="45"/>
    </row>
    <row r="26" spans="1:6" ht="18" customHeight="1" x14ac:dyDescent="0.3">
      <c r="A26" s="45"/>
      <c r="B26" s="45"/>
      <c r="C26" s="45"/>
      <c r="D26" s="45"/>
      <c r="E26" s="45"/>
      <c r="F26" s="45"/>
    </row>
    <row r="27" spans="1:6" ht="18" customHeight="1" x14ac:dyDescent="0.3">
      <c r="A27" s="45"/>
      <c r="B27" s="45"/>
      <c r="C27" s="45"/>
      <c r="D27" s="45"/>
      <c r="E27" s="45"/>
      <c r="F27" s="45"/>
    </row>
    <row r="28" spans="1:6" ht="18" customHeight="1" x14ac:dyDescent="0.3">
      <c r="A28" s="45"/>
      <c r="B28" s="45"/>
      <c r="C28" s="45"/>
      <c r="D28" s="45"/>
      <c r="E28" s="45"/>
      <c r="F28" s="45"/>
    </row>
    <row r="29" spans="1:6" ht="18" customHeight="1" x14ac:dyDescent="0.3">
      <c r="A29" s="45"/>
      <c r="B29" s="45"/>
      <c r="C29" s="45"/>
      <c r="D29" s="45"/>
      <c r="E29" s="45"/>
      <c r="F29" s="45"/>
    </row>
    <row r="30" spans="1:6" ht="18" customHeight="1" x14ac:dyDescent="0.3">
      <c r="A30" s="45"/>
      <c r="B30" s="45"/>
      <c r="C30" s="45"/>
      <c r="D30" s="45"/>
      <c r="E30" s="45"/>
      <c r="F30" s="45"/>
    </row>
    <row r="31" spans="1:6" ht="18" customHeight="1" x14ac:dyDescent="0.3">
      <c r="A31" s="45"/>
      <c r="B31" s="45"/>
      <c r="C31" s="63"/>
      <c r="D31" s="204"/>
      <c r="E31" s="45"/>
      <c r="F31" s="45"/>
    </row>
    <row r="32" spans="1:6" ht="18" customHeight="1" x14ac:dyDescent="0.3">
      <c r="A32" s="45"/>
      <c r="B32" s="45"/>
      <c r="C32" s="63"/>
      <c r="D32" s="45"/>
      <c r="E32" s="45"/>
      <c r="F32" s="45"/>
    </row>
    <row r="33" spans="1:6" ht="18" customHeight="1" x14ac:dyDescent="0.3">
      <c r="A33" s="45"/>
      <c r="B33" s="45"/>
      <c r="C33" s="45"/>
      <c r="D33" s="45"/>
      <c r="E33" s="45"/>
      <c r="F33" s="45"/>
    </row>
    <row r="34" spans="1:6" ht="18" customHeight="1" x14ac:dyDescent="0.3">
      <c r="A34" s="45"/>
      <c r="B34" s="45"/>
      <c r="C34" s="45"/>
      <c r="D34" s="45"/>
      <c r="E34" s="45"/>
      <c r="F34" s="45"/>
    </row>
    <row r="35" spans="1:6" ht="18" customHeight="1" x14ac:dyDescent="0.3">
      <c r="A35" s="45"/>
      <c r="B35" s="45"/>
      <c r="C35" s="45"/>
      <c r="D35" s="45"/>
      <c r="E35" s="45"/>
      <c r="F35" s="45"/>
    </row>
    <row r="36" spans="1:6" ht="18" customHeight="1" x14ac:dyDescent="0.3">
      <c r="A36" s="45"/>
      <c r="B36" s="45"/>
      <c r="C36" s="45"/>
      <c r="D36" s="45"/>
      <c r="E36" s="45"/>
      <c r="F36" s="45"/>
    </row>
    <row r="37" spans="1:6" ht="18" customHeight="1" x14ac:dyDescent="0.3">
      <c r="A37" s="45"/>
      <c r="B37" s="45"/>
      <c r="C37" s="45"/>
      <c r="D37" s="45"/>
      <c r="E37" s="45"/>
      <c r="F37" s="45"/>
    </row>
    <row r="38" spans="1:6" ht="18" customHeight="1" x14ac:dyDescent="0.3">
      <c r="A38" s="45"/>
      <c r="B38" s="45"/>
      <c r="C38" s="45"/>
      <c r="D38" s="45"/>
      <c r="E38" s="45"/>
      <c r="F38" s="45"/>
    </row>
    <row r="39" spans="1:6" ht="18" customHeight="1" x14ac:dyDescent="0.3">
      <c r="A39" s="45"/>
      <c r="B39" s="45"/>
      <c r="C39" s="45"/>
      <c r="D39" s="45"/>
      <c r="E39" s="45"/>
      <c r="F39" s="45"/>
    </row>
    <row r="40" spans="1:6" ht="18" customHeight="1" x14ac:dyDescent="0.3">
      <c r="A40" s="45"/>
      <c r="B40" s="45"/>
      <c r="C40" s="45"/>
      <c r="D40" s="45"/>
      <c r="E40" s="45"/>
      <c r="F40" s="45"/>
    </row>
    <row r="41" spans="1:6" ht="18" customHeight="1" x14ac:dyDescent="0.3">
      <c r="A41" s="45"/>
      <c r="B41" s="45"/>
      <c r="C41" s="45"/>
      <c r="D41" s="45"/>
      <c r="E41" s="45"/>
      <c r="F41" s="45"/>
    </row>
    <row r="42" spans="1:6" ht="18" customHeight="1" x14ac:dyDescent="0.3">
      <c r="A42" s="45"/>
      <c r="B42" s="45"/>
      <c r="C42" s="45"/>
      <c r="D42" s="45"/>
      <c r="E42" s="45"/>
      <c r="F42" s="45"/>
    </row>
    <row r="43" spans="1:6" ht="18" customHeight="1" x14ac:dyDescent="0.3">
      <c r="A43" s="45"/>
      <c r="B43" s="45"/>
      <c r="C43" s="45"/>
      <c r="D43" s="45"/>
      <c r="E43" s="45"/>
      <c r="F43" s="45"/>
    </row>
    <row r="44" spans="1:6" ht="18" customHeight="1" x14ac:dyDescent="0.3">
      <c r="A44" s="45"/>
      <c r="B44" s="45"/>
      <c r="C44" s="45"/>
      <c r="D44" s="45"/>
      <c r="E44" s="45"/>
      <c r="F44" s="45"/>
    </row>
    <row r="45" spans="1:6" ht="18" customHeight="1" x14ac:dyDescent="0.3">
      <c r="A45" s="45"/>
      <c r="B45" s="45"/>
      <c r="C45" s="45"/>
      <c r="D45" s="45"/>
      <c r="E45" s="45"/>
      <c r="F45" s="45"/>
    </row>
    <row r="46" spans="1:6" ht="18" customHeight="1" x14ac:dyDescent="0.3">
      <c r="A46" s="45"/>
      <c r="B46" s="45"/>
      <c r="C46" s="45"/>
      <c r="D46" s="45"/>
      <c r="E46" s="45"/>
      <c r="F46" s="45"/>
    </row>
    <row r="47" spans="1:6" ht="18" customHeight="1" x14ac:dyDescent="0.3">
      <c r="A47" s="45"/>
      <c r="B47" s="45"/>
      <c r="C47" s="45"/>
      <c r="D47" s="45"/>
      <c r="E47" s="45"/>
      <c r="F47" s="45"/>
    </row>
    <row r="48" spans="1:6" ht="18" customHeight="1" x14ac:dyDescent="0.3">
      <c r="A48" s="45"/>
      <c r="B48" s="45"/>
      <c r="C48" s="45"/>
      <c r="D48" s="45"/>
      <c r="E48" s="45"/>
      <c r="F48" s="45"/>
    </row>
    <row r="49" spans="1:7" ht="18" customHeight="1" x14ac:dyDescent="0.3">
      <c r="A49" s="45"/>
      <c r="B49" s="45"/>
      <c r="C49" s="45"/>
      <c r="D49" s="45"/>
      <c r="E49" s="45"/>
      <c r="F49" s="45"/>
    </row>
    <row r="50" spans="1:7" ht="18" customHeight="1" x14ac:dyDescent="0.3">
      <c r="A50" s="45"/>
      <c r="B50" s="45"/>
      <c r="C50" s="45"/>
      <c r="D50" s="45"/>
      <c r="E50" s="45"/>
      <c r="F50" s="45"/>
    </row>
    <row r="51" spans="1:7" ht="18" customHeight="1" x14ac:dyDescent="0.3">
      <c r="A51" s="45"/>
      <c r="B51" s="45"/>
      <c r="C51" s="45"/>
      <c r="D51" s="45"/>
      <c r="E51" s="45"/>
      <c r="F51" s="45"/>
    </row>
    <row r="52" spans="1:7" ht="18" customHeight="1" x14ac:dyDescent="0.3">
      <c r="A52" s="45"/>
      <c r="B52" s="45"/>
      <c r="C52" s="45"/>
      <c r="D52" s="45"/>
      <c r="E52" s="45"/>
      <c r="F52" s="45"/>
    </row>
    <row r="53" spans="1:7" ht="18" customHeight="1" x14ac:dyDescent="0.3">
      <c r="A53" s="45"/>
      <c r="B53" s="45"/>
      <c r="C53" s="45"/>
      <c r="D53" s="45"/>
      <c r="E53" s="45"/>
      <c r="F53" s="45"/>
    </row>
    <row r="54" spans="1:7" ht="18" customHeight="1" x14ac:dyDescent="0.3">
      <c r="A54" s="45"/>
      <c r="B54" s="45"/>
      <c r="C54" s="45"/>
      <c r="D54" s="45"/>
      <c r="E54" s="45"/>
      <c r="F54" s="45"/>
    </row>
    <row r="55" spans="1:7" ht="18" customHeight="1" x14ac:dyDescent="0.3"/>
    <row r="56" spans="1:7" ht="30" customHeight="1" thickBot="1" x14ac:dyDescent="0.35">
      <c r="A56" s="199" t="s">
        <v>132</v>
      </c>
      <c r="B56" s="199" t="s">
        <v>41</v>
      </c>
      <c r="C56" s="199" t="s">
        <v>169</v>
      </c>
      <c r="D56" s="199" t="s">
        <v>170</v>
      </c>
      <c r="E56" s="199" t="s">
        <v>671</v>
      </c>
      <c r="F56" s="200" t="s">
        <v>131</v>
      </c>
      <c r="G56" s="201"/>
    </row>
    <row r="57" spans="1:7" ht="19.5" customHeight="1" thickTop="1" x14ac:dyDescent="0.3">
      <c r="A57" s="191"/>
      <c r="B57" s="191"/>
      <c r="C57" s="202"/>
      <c r="D57" s="203"/>
      <c r="E57" s="191"/>
      <c r="F57" s="191"/>
    </row>
    <row r="58" spans="1:7" ht="19.5" customHeight="1" x14ac:dyDescent="0.3">
      <c r="A58" s="45"/>
      <c r="B58" s="45"/>
      <c r="C58" s="63"/>
      <c r="D58" s="204"/>
      <c r="E58" s="45"/>
      <c r="F58" s="45"/>
    </row>
    <row r="59" spans="1:7" ht="19.5" customHeight="1" x14ac:dyDescent="0.3">
      <c r="A59" s="45"/>
      <c r="B59" s="45"/>
      <c r="C59" s="63"/>
      <c r="D59" s="45"/>
      <c r="E59" s="45"/>
      <c r="F59" s="45"/>
    </row>
    <row r="60" spans="1:7" ht="19.5" customHeight="1" x14ac:dyDescent="0.3">
      <c r="A60" s="45"/>
      <c r="B60" s="45"/>
      <c r="C60" s="45"/>
      <c r="D60" s="45"/>
      <c r="E60" s="45"/>
      <c r="F60" s="45"/>
    </row>
    <row r="61" spans="1:7" ht="19.5" customHeight="1" x14ac:dyDescent="0.3">
      <c r="A61" s="45"/>
      <c r="B61" s="45"/>
      <c r="C61" s="45"/>
      <c r="D61" s="45"/>
      <c r="E61" s="45"/>
      <c r="F61" s="45"/>
    </row>
    <row r="62" spans="1:7" ht="19.5" customHeight="1" x14ac:dyDescent="0.3">
      <c r="A62" s="45"/>
      <c r="B62" s="45"/>
      <c r="C62" s="45"/>
      <c r="D62" s="45"/>
      <c r="E62" s="45"/>
      <c r="F62" s="45"/>
    </row>
    <row r="63" spans="1:7" ht="19.5" customHeight="1" x14ac:dyDescent="0.3">
      <c r="A63" s="45"/>
      <c r="B63" s="45"/>
      <c r="C63" s="45"/>
      <c r="D63" s="45"/>
      <c r="E63" s="45"/>
      <c r="F63" s="45"/>
    </row>
    <row r="64" spans="1:7" ht="19.5" customHeight="1" x14ac:dyDescent="0.3">
      <c r="A64" s="45"/>
      <c r="B64" s="45"/>
      <c r="C64" s="45"/>
      <c r="D64" s="45"/>
      <c r="E64" s="45"/>
      <c r="F64" s="45"/>
    </row>
    <row r="65" spans="1:6" ht="19.5" customHeight="1" x14ac:dyDescent="0.3">
      <c r="A65" s="45"/>
      <c r="B65" s="45"/>
      <c r="C65" s="45"/>
      <c r="D65" s="45"/>
      <c r="E65" s="45"/>
      <c r="F65" s="45"/>
    </row>
    <row r="66" spans="1:6" ht="19.5" customHeight="1" x14ac:dyDescent="0.3">
      <c r="A66" s="45"/>
      <c r="B66" s="45"/>
      <c r="C66" s="45"/>
      <c r="D66" s="45"/>
      <c r="E66" s="45"/>
      <c r="F66" s="45"/>
    </row>
    <row r="67" spans="1:6" ht="19.5" customHeight="1" x14ac:dyDescent="0.3">
      <c r="A67" s="45"/>
      <c r="B67" s="45"/>
      <c r="C67" s="45"/>
      <c r="D67" s="45"/>
      <c r="E67" s="45"/>
      <c r="F67" s="45"/>
    </row>
    <row r="68" spans="1:6" x14ac:dyDescent="0.3">
      <c r="A68" s="45"/>
      <c r="B68" s="45"/>
      <c r="C68" s="45"/>
      <c r="D68" s="45"/>
      <c r="E68" s="45"/>
      <c r="F68" s="45"/>
    </row>
    <row r="69" spans="1:6" x14ac:dyDescent="0.3">
      <c r="A69" s="45"/>
      <c r="B69" s="45"/>
      <c r="C69" s="45"/>
      <c r="D69" s="45"/>
      <c r="E69" s="45"/>
      <c r="F69" s="45"/>
    </row>
    <row r="70" spans="1:6" x14ac:dyDescent="0.3">
      <c r="A70" s="45"/>
      <c r="B70" s="45"/>
      <c r="C70" s="45"/>
      <c r="D70" s="45"/>
      <c r="E70" s="45"/>
      <c r="F70" s="45"/>
    </row>
    <row r="71" spans="1:6" x14ac:dyDescent="0.3">
      <c r="A71" s="45"/>
      <c r="B71" s="45"/>
      <c r="C71" s="45"/>
      <c r="D71" s="45"/>
      <c r="E71" s="45"/>
      <c r="F71" s="45"/>
    </row>
    <row r="72" spans="1:6" x14ac:dyDescent="0.3">
      <c r="A72" s="45"/>
      <c r="B72" s="45"/>
      <c r="C72" s="45"/>
      <c r="D72" s="45"/>
      <c r="E72" s="45"/>
      <c r="F72" s="45"/>
    </row>
    <row r="73" spans="1:6" x14ac:dyDescent="0.3">
      <c r="A73" s="45"/>
      <c r="B73" s="45"/>
      <c r="C73" s="45"/>
      <c r="D73" s="45"/>
      <c r="E73" s="45"/>
      <c r="F73" s="45"/>
    </row>
    <row r="74" spans="1:6" x14ac:dyDescent="0.3">
      <c r="A74" s="45"/>
      <c r="B74" s="45"/>
      <c r="C74" s="45"/>
      <c r="D74" s="45"/>
      <c r="E74" s="45"/>
      <c r="F74" s="45"/>
    </row>
    <row r="75" spans="1:6" x14ac:dyDescent="0.3">
      <c r="A75" s="45"/>
      <c r="B75" s="45"/>
      <c r="C75" s="45"/>
      <c r="D75" s="45"/>
      <c r="E75" s="45"/>
      <c r="F75" s="45"/>
    </row>
    <row r="76" spans="1:6" x14ac:dyDescent="0.3">
      <c r="A76" s="45"/>
      <c r="B76" s="45"/>
      <c r="C76" s="45"/>
      <c r="D76" s="45"/>
      <c r="E76" s="45"/>
      <c r="F76" s="45"/>
    </row>
    <row r="77" spans="1:6" x14ac:dyDescent="0.3">
      <c r="A77" s="45"/>
      <c r="B77" s="45"/>
      <c r="C77" s="45"/>
      <c r="D77" s="45"/>
      <c r="E77" s="45"/>
      <c r="F77" s="45"/>
    </row>
    <row r="78" spans="1:6" x14ac:dyDescent="0.3">
      <c r="A78" s="45"/>
      <c r="B78" s="45"/>
      <c r="C78" s="45"/>
      <c r="D78" s="45"/>
      <c r="E78" s="45"/>
      <c r="F78" s="45"/>
    </row>
    <row r="79" spans="1:6" x14ac:dyDescent="0.3">
      <c r="A79" s="45"/>
      <c r="B79" s="45"/>
      <c r="C79" s="45"/>
      <c r="D79" s="45"/>
      <c r="E79" s="45"/>
      <c r="F79" s="45"/>
    </row>
    <row r="80" spans="1:6" x14ac:dyDescent="0.3">
      <c r="A80" s="45"/>
      <c r="B80" s="45"/>
      <c r="C80" s="45"/>
      <c r="D80" s="45"/>
      <c r="E80" s="45"/>
      <c r="F80" s="45"/>
    </row>
    <row r="81" spans="1:6" x14ac:dyDescent="0.3">
      <c r="A81" s="45"/>
      <c r="B81" s="45"/>
      <c r="C81" s="45"/>
      <c r="D81" s="45"/>
      <c r="E81" s="45"/>
      <c r="F81" s="45"/>
    </row>
    <row r="82" spans="1:6" x14ac:dyDescent="0.3">
      <c r="A82" s="45"/>
      <c r="B82" s="45"/>
      <c r="C82" s="45"/>
      <c r="D82" s="45"/>
      <c r="E82" s="45"/>
      <c r="F82" s="45"/>
    </row>
    <row r="83" spans="1:6" x14ac:dyDescent="0.3">
      <c r="A83" s="45"/>
      <c r="B83" s="45"/>
      <c r="C83" s="63"/>
      <c r="D83" s="204"/>
      <c r="E83" s="45"/>
      <c r="F83" s="45"/>
    </row>
    <row r="84" spans="1:6" x14ac:dyDescent="0.3">
      <c r="A84" s="45"/>
      <c r="B84" s="45"/>
      <c r="C84" s="45"/>
      <c r="D84" s="45"/>
      <c r="E84" s="45"/>
      <c r="F84" s="45"/>
    </row>
    <row r="85" spans="1:6" x14ac:dyDescent="0.3">
      <c r="A85" s="45"/>
      <c r="B85" s="45"/>
      <c r="C85" s="63"/>
      <c r="D85" s="204"/>
      <c r="E85" s="45"/>
      <c r="F85" s="45"/>
    </row>
    <row r="86" spans="1:6" x14ac:dyDescent="0.3">
      <c r="A86" s="45"/>
      <c r="B86" s="45"/>
      <c r="C86" s="45"/>
      <c r="D86" s="45"/>
      <c r="E86" s="45"/>
      <c r="F86" s="45"/>
    </row>
    <row r="87" spans="1:6" x14ac:dyDescent="0.3">
      <c r="A87" s="45"/>
      <c r="B87" s="45"/>
      <c r="C87" s="63"/>
      <c r="D87" s="204"/>
      <c r="E87" s="45"/>
      <c r="F87" s="45"/>
    </row>
    <row r="88" spans="1:6" x14ac:dyDescent="0.3">
      <c r="A88" s="45"/>
      <c r="B88" s="45"/>
      <c r="C88" s="45"/>
      <c r="D88" s="45"/>
      <c r="E88" s="45"/>
      <c r="F88" s="45"/>
    </row>
    <row r="89" spans="1:6" x14ac:dyDescent="0.3">
      <c r="A89" s="45"/>
      <c r="B89" s="45"/>
      <c r="C89" s="63"/>
      <c r="D89" s="204"/>
      <c r="E89" s="45"/>
      <c r="F89" s="45"/>
    </row>
    <row r="90" spans="1:6" x14ac:dyDescent="0.3">
      <c r="A90" s="45"/>
      <c r="B90" s="45"/>
      <c r="C90" s="45"/>
      <c r="D90" s="45"/>
      <c r="E90" s="45"/>
      <c r="F90" s="45"/>
    </row>
    <row r="91" spans="1:6" x14ac:dyDescent="0.3">
      <c r="A91" s="45"/>
      <c r="B91" s="45"/>
      <c r="C91" s="63"/>
      <c r="D91" s="204"/>
      <c r="E91" s="45"/>
      <c r="F91" s="45"/>
    </row>
    <row r="92" spans="1:6" x14ac:dyDescent="0.3">
      <c r="A92" s="45"/>
      <c r="B92" s="45"/>
      <c r="C92" s="45"/>
      <c r="D92" s="45"/>
      <c r="E92" s="45"/>
      <c r="F92" s="45"/>
    </row>
    <row r="93" spans="1:6" x14ac:dyDescent="0.3">
      <c r="A93" s="45"/>
      <c r="B93" s="45"/>
      <c r="C93" s="63"/>
      <c r="D93" s="204"/>
      <c r="E93" s="45"/>
      <c r="F93" s="45"/>
    </row>
    <row r="94" spans="1:6" x14ac:dyDescent="0.3">
      <c r="C94" s="62"/>
    </row>
    <row r="95" spans="1:6" x14ac:dyDescent="0.3">
      <c r="C95" s="62"/>
    </row>
    <row r="97" spans="1:5" x14ac:dyDescent="0.3">
      <c r="A97" s="44"/>
      <c r="E97" s="205" t="s">
        <v>328</v>
      </c>
    </row>
    <row r="98" spans="1:5" x14ac:dyDescent="0.3">
      <c r="A98" s="44"/>
      <c r="B98" s="44"/>
      <c r="E98" s="44"/>
    </row>
    <row r="99" spans="1:5" x14ac:dyDescent="0.3">
      <c r="A99" s="44" t="s">
        <v>324</v>
      </c>
      <c r="B99" s="44"/>
      <c r="E99" s="205" t="s">
        <v>43</v>
      </c>
    </row>
    <row r="100" spans="1:5" x14ac:dyDescent="0.3">
      <c r="A100" s="44"/>
      <c r="B100" s="44"/>
      <c r="E100" s="205"/>
    </row>
    <row r="101" spans="1:5" x14ac:dyDescent="0.3">
      <c r="A101" s="44"/>
      <c r="B101" s="44"/>
      <c r="E101" s="205"/>
    </row>
    <row r="102" spans="1:5" x14ac:dyDescent="0.3">
      <c r="A102" s="44"/>
      <c r="B102" s="44"/>
      <c r="E102" s="205"/>
    </row>
    <row r="103" spans="1:5" x14ac:dyDescent="0.3">
      <c r="A103" s="53"/>
      <c r="B103" s="44"/>
      <c r="E103" s="53"/>
    </row>
    <row r="104" spans="1:5" x14ac:dyDescent="0.3">
      <c r="A104" s="205" t="s">
        <v>384</v>
      </c>
      <c r="B104" s="44"/>
      <c r="E104" s="205" t="s">
        <v>384</v>
      </c>
    </row>
    <row r="105" spans="1:5" x14ac:dyDescent="0.3">
      <c r="A105" s="49"/>
      <c r="B105" s="44"/>
      <c r="E105" s="205"/>
    </row>
    <row r="106" spans="1:5" x14ac:dyDescent="0.3">
      <c r="A106" s="44"/>
      <c r="B106" s="44"/>
      <c r="E106" s="206"/>
    </row>
    <row r="107" spans="1:5" x14ac:dyDescent="0.3">
      <c r="D107" s="205" t="s">
        <v>34</v>
      </c>
      <c r="E107" s="206"/>
    </row>
    <row r="108" spans="1:5" x14ac:dyDescent="0.3">
      <c r="A108" s="44" t="s">
        <v>144</v>
      </c>
      <c r="B108" s="44"/>
      <c r="E108" s="206" t="s">
        <v>325</v>
      </c>
    </row>
    <row r="109" spans="1:5" x14ac:dyDescent="0.3">
      <c r="A109" s="44"/>
      <c r="B109" s="44"/>
      <c r="E109" s="171"/>
    </row>
    <row r="110" spans="1:5" x14ac:dyDescent="0.3">
      <c r="A110" s="44"/>
      <c r="B110" s="44"/>
      <c r="E110" s="171"/>
    </row>
    <row r="111" spans="1:5" x14ac:dyDescent="0.3">
      <c r="A111" s="44"/>
      <c r="B111" s="44"/>
      <c r="E111" s="171"/>
    </row>
    <row r="112" spans="1:5" x14ac:dyDescent="0.3">
      <c r="A112" s="44" t="s">
        <v>329</v>
      </c>
      <c r="B112" s="44"/>
      <c r="E112" s="49" t="s">
        <v>340</v>
      </c>
    </row>
    <row r="113" spans="1:5" x14ac:dyDescent="0.3">
      <c r="A113" s="44" t="s">
        <v>323</v>
      </c>
      <c r="B113" s="44"/>
      <c r="E113" s="49" t="s">
        <v>341</v>
      </c>
    </row>
  </sheetData>
  <mergeCells count="1">
    <mergeCell ref="A2:E2"/>
  </mergeCells>
  <pageMargins left="0.98425196850393704" right="0.31496062992125984" top="0.31496062992125984" bottom="1.4960629921259843" header="0.31496062992125984" footer="0.31496062992125984"/>
  <pageSetup paperSize="5" scale="90" orientation="portrait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Y56"/>
  <sheetViews>
    <sheetView workbookViewId="0">
      <selection activeCell="B3" sqref="B3:N3"/>
    </sheetView>
  </sheetViews>
  <sheetFormatPr defaultColWidth="9.1796875" defaultRowHeight="14" x14ac:dyDescent="0.3"/>
  <cols>
    <col min="1" max="1" width="8.26953125" style="152" customWidth="1"/>
    <col min="2" max="2" width="8.54296875" style="43" customWidth="1"/>
    <col min="3" max="9" width="5.26953125" style="43" customWidth="1"/>
    <col min="10" max="11" width="5.1796875" style="43" customWidth="1"/>
    <col min="12" max="12" width="5.81640625" style="43" customWidth="1"/>
    <col min="13" max="16" width="5.26953125" style="43" customWidth="1"/>
    <col min="17" max="18" width="9.1796875" style="43"/>
    <col min="19" max="19" width="9.1796875" style="43" customWidth="1"/>
    <col min="20" max="22" width="5.26953125" style="43" customWidth="1"/>
    <col min="23" max="16384" width="9.1796875" style="43"/>
  </cols>
  <sheetData>
    <row r="1" spans="2:23" x14ac:dyDescent="0.3">
      <c r="M1" s="628" t="s">
        <v>768</v>
      </c>
      <c r="N1" s="628"/>
      <c r="O1" s="628"/>
    </row>
    <row r="2" spans="2:23" x14ac:dyDescent="0.3">
      <c r="M2" s="629">
        <v>45117</v>
      </c>
      <c r="N2" s="629"/>
      <c r="O2" s="629"/>
    </row>
    <row r="3" spans="2:23" ht="18" x14ac:dyDescent="0.4">
      <c r="B3" s="515" t="s">
        <v>225</v>
      </c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W3" s="44"/>
    </row>
    <row r="4" spans="2:23" ht="15" customHeight="1" x14ac:dyDescent="0.3">
      <c r="W4" s="44"/>
    </row>
    <row r="5" spans="2:23" ht="15" customHeight="1" x14ac:dyDescent="0.3">
      <c r="B5" s="43" t="s">
        <v>40</v>
      </c>
      <c r="D5" s="44"/>
      <c r="E5" s="43" t="s">
        <v>35</v>
      </c>
      <c r="F5" s="44"/>
      <c r="W5" s="44"/>
    </row>
    <row r="6" spans="2:23" ht="15" customHeight="1" x14ac:dyDescent="0.3">
      <c r="B6" s="44" t="s">
        <v>663</v>
      </c>
      <c r="D6" s="44"/>
      <c r="E6" s="44" t="s">
        <v>35</v>
      </c>
      <c r="F6" s="44"/>
    </row>
    <row r="7" spans="2:23" ht="15" customHeight="1" x14ac:dyDescent="0.3">
      <c r="B7" s="44" t="s">
        <v>661</v>
      </c>
      <c r="D7" s="44"/>
      <c r="E7" s="44" t="s">
        <v>35</v>
      </c>
      <c r="F7" s="44"/>
    </row>
    <row r="8" spans="2:23" ht="15" customHeight="1" x14ac:dyDescent="0.3">
      <c r="B8" s="44" t="s">
        <v>662</v>
      </c>
      <c r="D8" s="44"/>
      <c r="E8" s="43" t="s">
        <v>382</v>
      </c>
      <c r="F8" s="44"/>
    </row>
    <row r="9" spans="2:23" ht="15" customHeight="1" x14ac:dyDescent="0.3">
      <c r="B9" s="43" t="s">
        <v>41</v>
      </c>
      <c r="D9" s="44"/>
      <c r="E9" s="43" t="s">
        <v>382</v>
      </c>
      <c r="F9" s="44"/>
      <c r="J9" s="43" t="s">
        <v>37</v>
      </c>
    </row>
    <row r="10" spans="2:23" ht="15" customHeight="1" x14ac:dyDescent="0.3">
      <c r="B10" s="43" t="s">
        <v>111</v>
      </c>
      <c r="D10" s="44"/>
      <c r="E10" s="43" t="s">
        <v>382</v>
      </c>
      <c r="F10" s="44"/>
    </row>
    <row r="11" spans="2:23" ht="15" customHeight="1" x14ac:dyDescent="0.3">
      <c r="B11" s="43" t="s">
        <v>42</v>
      </c>
      <c r="D11" s="44"/>
      <c r="E11" s="43" t="s">
        <v>382</v>
      </c>
      <c r="F11" s="44"/>
    </row>
    <row r="12" spans="2:23" ht="15" customHeight="1" x14ac:dyDescent="0.3">
      <c r="B12" s="153"/>
      <c r="C12" s="154">
        <v>100</v>
      </c>
      <c r="D12" s="153"/>
      <c r="E12" s="153"/>
      <c r="F12" s="153"/>
      <c r="G12" s="923" t="s">
        <v>460</v>
      </c>
      <c r="H12" s="923"/>
      <c r="I12" s="153"/>
      <c r="J12" s="153"/>
      <c r="K12" s="153"/>
      <c r="L12" s="153"/>
      <c r="M12" s="153"/>
      <c r="N12" s="155"/>
      <c r="O12" s="155"/>
    </row>
    <row r="13" spans="2:23" ht="15" customHeight="1" x14ac:dyDescent="0.3">
      <c r="B13" s="153"/>
      <c r="C13" s="154">
        <v>95</v>
      </c>
      <c r="D13" s="153"/>
      <c r="E13" s="153"/>
      <c r="F13" s="153"/>
      <c r="G13" s="153"/>
      <c r="H13" s="153"/>
      <c r="I13" s="153"/>
      <c r="J13" s="153"/>
      <c r="K13" s="153"/>
      <c r="L13" s="156"/>
      <c r="M13" s="155"/>
      <c r="N13" s="153"/>
      <c r="O13" s="60"/>
    </row>
    <row r="14" spans="2:23" ht="15" customHeight="1" x14ac:dyDescent="0.3">
      <c r="C14" s="154">
        <v>90</v>
      </c>
      <c r="D14" s="60"/>
      <c r="E14" s="60"/>
      <c r="F14" s="60"/>
      <c r="G14" s="60"/>
      <c r="H14" s="60"/>
      <c r="I14" s="60"/>
      <c r="J14" s="60"/>
      <c r="K14" s="157"/>
      <c r="L14" s="60"/>
      <c r="M14" s="156"/>
      <c r="N14" s="153"/>
      <c r="O14" s="60"/>
    </row>
    <row r="15" spans="2:23" ht="15" customHeight="1" x14ac:dyDescent="0.3">
      <c r="C15" s="154">
        <v>85</v>
      </c>
      <c r="D15" s="60"/>
      <c r="E15" s="60"/>
      <c r="F15" s="60"/>
      <c r="G15" s="60"/>
      <c r="H15" s="60"/>
      <c r="I15" s="60"/>
      <c r="J15" s="60"/>
      <c r="K15" s="158"/>
      <c r="L15" s="60"/>
      <c r="M15" s="60"/>
      <c r="N15" s="153"/>
      <c r="O15" s="60"/>
    </row>
    <row r="16" spans="2:23" ht="15" customHeight="1" x14ac:dyDescent="0.3">
      <c r="C16" s="154">
        <v>80</v>
      </c>
      <c r="D16" s="60"/>
      <c r="E16" s="60"/>
      <c r="F16" s="60"/>
      <c r="G16" s="60"/>
      <c r="H16" s="60"/>
      <c r="I16" s="60"/>
      <c r="J16" s="60"/>
      <c r="K16" s="60"/>
      <c r="L16" s="158"/>
      <c r="M16" s="60"/>
      <c r="N16" s="153"/>
      <c r="O16" s="60"/>
    </row>
    <row r="17" spans="2:25" ht="15" customHeight="1" x14ac:dyDescent="0.3">
      <c r="C17" s="154">
        <v>75</v>
      </c>
      <c r="D17" s="60"/>
      <c r="E17" s="153"/>
      <c r="F17" s="153"/>
      <c r="G17" s="153"/>
      <c r="H17" s="60"/>
      <c r="I17" s="60"/>
      <c r="J17" s="159"/>
      <c r="K17" s="60"/>
      <c r="L17" s="60"/>
      <c r="M17" s="60"/>
      <c r="N17" s="153"/>
      <c r="O17" s="60"/>
    </row>
    <row r="18" spans="2:25" ht="15" customHeight="1" x14ac:dyDescent="0.3">
      <c r="C18" s="154">
        <v>70</v>
      </c>
      <c r="D18" s="60"/>
      <c r="E18" s="153"/>
      <c r="F18" s="153"/>
      <c r="G18" s="153"/>
      <c r="H18" s="160"/>
      <c r="I18" s="160"/>
      <c r="J18" s="160"/>
      <c r="K18" s="158"/>
      <c r="L18" s="60"/>
      <c r="M18" s="60"/>
      <c r="N18" s="153"/>
      <c r="O18" s="60"/>
    </row>
    <row r="19" spans="2:25" ht="15" customHeight="1" x14ac:dyDescent="0.3">
      <c r="C19" s="154">
        <v>65</v>
      </c>
      <c r="D19" s="60"/>
      <c r="E19" s="153"/>
      <c r="F19" s="153"/>
      <c r="G19" s="155"/>
      <c r="H19" s="60"/>
      <c r="I19" s="60"/>
      <c r="J19" s="60"/>
      <c r="K19" s="60"/>
      <c r="L19" s="60"/>
      <c r="M19" s="60"/>
      <c r="N19" s="153"/>
      <c r="O19" s="60"/>
    </row>
    <row r="20" spans="2:25" ht="15" customHeight="1" x14ac:dyDescent="0.3">
      <c r="B20" s="153"/>
      <c r="C20" s="154">
        <v>60</v>
      </c>
      <c r="D20" s="153"/>
      <c r="E20" s="153"/>
      <c r="F20" s="153"/>
      <c r="G20" s="153"/>
      <c r="H20" s="153"/>
      <c r="I20" s="153"/>
      <c r="J20" s="159"/>
      <c r="K20" s="153"/>
      <c r="L20" s="153"/>
      <c r="M20" s="153"/>
      <c r="N20" s="153"/>
      <c r="O20" s="60"/>
      <c r="X20" s="161"/>
      <c r="Y20" s="161"/>
    </row>
    <row r="21" spans="2:25" ht="15" customHeight="1" x14ac:dyDescent="0.3">
      <c r="B21" s="153"/>
      <c r="C21" s="154">
        <v>55</v>
      </c>
      <c r="D21" s="153"/>
      <c r="E21" s="153"/>
      <c r="F21" s="153"/>
      <c r="G21" s="153"/>
      <c r="H21" s="162"/>
      <c r="I21" s="162"/>
      <c r="J21" s="153"/>
      <c r="K21" s="153"/>
      <c r="L21" s="153"/>
      <c r="M21" s="153"/>
      <c r="N21" s="153"/>
      <c r="O21" s="60"/>
      <c r="X21" s="161"/>
      <c r="Y21" s="161"/>
    </row>
    <row r="22" spans="2:25" ht="15" customHeight="1" x14ac:dyDescent="0.3">
      <c r="B22" s="153"/>
      <c r="C22" s="154">
        <v>50</v>
      </c>
      <c r="D22" s="153"/>
      <c r="E22" s="153"/>
      <c r="F22" s="153"/>
      <c r="G22" s="156"/>
      <c r="H22" s="156"/>
      <c r="I22" s="156"/>
      <c r="J22" s="153"/>
      <c r="K22" s="153"/>
      <c r="L22" s="153"/>
      <c r="M22" s="153"/>
      <c r="N22" s="153"/>
      <c r="O22" s="60"/>
      <c r="X22" s="161"/>
      <c r="Y22" s="161"/>
    </row>
    <row r="23" spans="2:25" ht="15" customHeight="1" x14ac:dyDescent="0.3">
      <c r="B23" s="153"/>
      <c r="C23" s="154">
        <v>45</v>
      </c>
      <c r="D23" s="153"/>
      <c r="E23" s="153"/>
      <c r="F23" s="155"/>
      <c r="G23" s="156"/>
      <c r="H23" s="162"/>
      <c r="I23" s="162"/>
      <c r="J23" s="153"/>
      <c r="K23" s="153"/>
      <c r="L23" s="153"/>
      <c r="M23" s="153"/>
      <c r="N23" s="153"/>
      <c r="O23" s="60"/>
      <c r="X23" s="161"/>
      <c r="Y23" s="161"/>
    </row>
    <row r="24" spans="2:25" ht="15" customHeight="1" x14ac:dyDescent="0.3">
      <c r="B24" s="153"/>
      <c r="C24" s="154">
        <v>40</v>
      </c>
      <c r="D24" s="153"/>
      <c r="E24" s="153"/>
      <c r="F24" s="60"/>
      <c r="G24" s="156"/>
      <c r="H24" s="153"/>
      <c r="I24" s="153"/>
      <c r="J24" s="153"/>
      <c r="K24" s="153"/>
      <c r="L24" s="153"/>
      <c r="M24" s="153"/>
      <c r="N24" s="153"/>
      <c r="O24" s="60"/>
      <c r="X24" s="161"/>
      <c r="Y24" s="161"/>
    </row>
    <row r="25" spans="2:25" ht="15" customHeight="1" x14ac:dyDescent="0.3">
      <c r="B25" s="153"/>
      <c r="C25" s="154">
        <v>35</v>
      </c>
      <c r="D25" s="153"/>
      <c r="E25" s="60"/>
      <c r="F25" s="60"/>
      <c r="G25" s="156"/>
      <c r="H25" s="153"/>
      <c r="I25" s="153"/>
      <c r="J25" s="153"/>
      <c r="K25" s="153"/>
      <c r="L25" s="153"/>
      <c r="M25" s="153"/>
      <c r="N25" s="153"/>
      <c r="O25" s="60"/>
      <c r="X25" s="161"/>
      <c r="Y25" s="161"/>
    </row>
    <row r="26" spans="2:25" ht="15" customHeight="1" x14ac:dyDescent="0.3">
      <c r="B26" s="153"/>
      <c r="C26" s="154">
        <v>30</v>
      </c>
      <c r="D26" s="153"/>
      <c r="E26" s="163"/>
      <c r="F26" s="164"/>
      <c r="G26" s="163"/>
      <c r="H26" s="153"/>
      <c r="I26" s="153"/>
      <c r="J26" s="153"/>
      <c r="K26" s="153"/>
      <c r="L26" s="153"/>
      <c r="M26" s="153"/>
      <c r="N26" s="60"/>
      <c r="O26" s="60"/>
      <c r="X26" s="161"/>
      <c r="Y26" s="161"/>
    </row>
    <row r="27" spans="2:25" ht="15" customHeight="1" x14ac:dyDescent="0.3">
      <c r="B27" s="153"/>
      <c r="C27" s="154">
        <v>25</v>
      </c>
      <c r="D27" s="153"/>
      <c r="E27" s="160"/>
      <c r="F27" s="165"/>
      <c r="G27" s="60"/>
      <c r="H27" s="153"/>
      <c r="I27" s="153"/>
      <c r="J27" s="153"/>
      <c r="K27" s="153"/>
      <c r="L27" s="153"/>
      <c r="M27" s="153"/>
      <c r="N27" s="60"/>
      <c r="O27" s="60"/>
      <c r="X27" s="161"/>
      <c r="Y27" s="161"/>
    </row>
    <row r="28" spans="2:25" ht="15" customHeight="1" x14ac:dyDescent="0.3">
      <c r="B28" s="153"/>
      <c r="C28" s="154">
        <v>20</v>
      </c>
      <c r="D28" s="153"/>
      <c r="E28" s="165"/>
      <c r="F28" s="165"/>
      <c r="G28" s="60"/>
      <c r="H28" s="153"/>
      <c r="I28" s="153"/>
      <c r="J28" s="153"/>
      <c r="K28" s="166"/>
      <c r="L28" s="153"/>
      <c r="M28" s="153"/>
      <c r="N28" s="60"/>
      <c r="O28" s="60"/>
      <c r="X28" s="161"/>
      <c r="Y28" s="161"/>
    </row>
    <row r="29" spans="2:25" ht="15" customHeight="1" x14ac:dyDescent="0.3">
      <c r="B29" s="153"/>
      <c r="C29" s="154">
        <v>15</v>
      </c>
      <c r="D29" s="153"/>
      <c r="E29" s="164"/>
      <c r="F29" s="60"/>
      <c r="G29" s="60"/>
      <c r="H29" s="153"/>
      <c r="I29" s="153"/>
      <c r="J29" s="153"/>
      <c r="K29" s="153"/>
      <c r="L29" s="153"/>
      <c r="M29" s="153"/>
      <c r="N29" s="60"/>
      <c r="O29" s="60"/>
      <c r="X29" s="161"/>
      <c r="Y29" s="161"/>
    </row>
    <row r="30" spans="2:25" ht="15" customHeight="1" x14ac:dyDescent="0.3">
      <c r="B30" s="153"/>
      <c r="C30" s="154">
        <v>10</v>
      </c>
      <c r="D30" s="60"/>
      <c r="E30" s="167"/>
      <c r="F30" s="60"/>
      <c r="G30" s="60"/>
      <c r="H30" s="60"/>
      <c r="I30" s="60"/>
      <c r="J30" s="153"/>
      <c r="K30" s="153"/>
      <c r="L30" s="153"/>
      <c r="M30" s="153"/>
      <c r="N30" s="60"/>
      <c r="O30" s="60"/>
      <c r="X30" s="161"/>
      <c r="Y30" s="161"/>
    </row>
    <row r="31" spans="2:25" ht="15" customHeight="1" x14ac:dyDescent="0.3">
      <c r="B31" s="153"/>
      <c r="C31" s="154">
        <v>5</v>
      </c>
      <c r="D31" s="168">
        <v>0.06</v>
      </c>
      <c r="E31" s="60"/>
      <c r="F31" s="60"/>
      <c r="G31" s="60"/>
      <c r="H31" s="163"/>
      <c r="I31" s="163"/>
      <c r="J31" s="153"/>
      <c r="K31" s="153"/>
      <c r="L31" s="153"/>
      <c r="M31" s="153"/>
      <c r="N31" s="60"/>
      <c r="O31" s="60"/>
      <c r="X31" s="161"/>
      <c r="Y31" s="161"/>
    </row>
    <row r="32" spans="2:25" ht="15" customHeight="1" x14ac:dyDescent="0.3">
      <c r="C32" s="154">
        <v>0</v>
      </c>
      <c r="D32" s="169"/>
      <c r="X32" s="161"/>
      <c r="Y32" s="161"/>
    </row>
    <row r="33" spans="2:16" ht="15" customHeight="1" x14ac:dyDescent="0.3">
      <c r="C33" s="163"/>
      <c r="D33" s="163" t="s">
        <v>124</v>
      </c>
      <c r="E33" s="163" t="s">
        <v>226</v>
      </c>
      <c r="F33" s="163" t="s">
        <v>8</v>
      </c>
      <c r="G33" s="163" t="s">
        <v>9</v>
      </c>
      <c r="H33" s="163" t="s">
        <v>10</v>
      </c>
      <c r="I33" s="163" t="s">
        <v>11</v>
      </c>
      <c r="J33" s="163" t="s">
        <v>12</v>
      </c>
      <c r="K33" s="163" t="s">
        <v>13</v>
      </c>
      <c r="L33" s="163" t="s">
        <v>16</v>
      </c>
      <c r="M33" s="163" t="s">
        <v>122</v>
      </c>
      <c r="N33" s="163" t="s">
        <v>14</v>
      </c>
      <c r="O33" s="163" t="s">
        <v>123</v>
      </c>
      <c r="P33" s="163"/>
    </row>
    <row r="34" spans="2:16" ht="15" customHeight="1" x14ac:dyDescent="0.3">
      <c r="B34" s="43" t="s">
        <v>17</v>
      </c>
      <c r="H34" s="170"/>
      <c r="I34" s="170"/>
    </row>
    <row r="35" spans="2:16" ht="15" customHeight="1" thickBot="1" x14ac:dyDescent="0.35">
      <c r="B35" s="43" t="s">
        <v>227</v>
      </c>
      <c r="D35" s="60"/>
      <c r="H35" s="170"/>
      <c r="I35" s="171"/>
    </row>
    <row r="36" spans="2:16" ht="15" customHeight="1" x14ac:dyDescent="0.3">
      <c r="B36" s="914" t="s">
        <v>228</v>
      </c>
      <c r="C36" s="915"/>
      <c r="D36" s="915"/>
      <c r="E36" s="915"/>
      <c r="F36" s="915"/>
      <c r="G36" s="915"/>
      <c r="H36" s="915"/>
      <c r="I36" s="915"/>
      <c r="J36" s="915"/>
      <c r="K36" s="916" t="s">
        <v>15</v>
      </c>
      <c r="L36" s="918">
        <v>1</v>
      </c>
      <c r="N36" s="920" t="s">
        <v>229</v>
      </c>
      <c r="O36" s="920"/>
      <c r="P36" s="920"/>
    </row>
    <row r="37" spans="2:16" ht="15" customHeight="1" thickBot="1" x14ac:dyDescent="0.35">
      <c r="B37" s="921" t="s">
        <v>230</v>
      </c>
      <c r="C37" s="922"/>
      <c r="D37" s="922"/>
      <c r="E37" s="922"/>
      <c r="F37" s="922"/>
      <c r="G37" s="922"/>
      <c r="H37" s="922"/>
      <c r="I37" s="922"/>
      <c r="J37" s="922"/>
      <c r="K37" s="917"/>
      <c r="L37" s="919"/>
      <c r="N37" s="920"/>
      <c r="O37" s="920"/>
      <c r="P37" s="920"/>
    </row>
    <row r="38" spans="2:16" ht="15" customHeight="1" x14ac:dyDescent="0.3"/>
    <row r="39" spans="2:16" ht="15" customHeight="1" thickBot="1" x14ac:dyDescent="0.35">
      <c r="B39" s="43" t="s">
        <v>231</v>
      </c>
    </row>
    <row r="40" spans="2:16" ht="15" customHeight="1" x14ac:dyDescent="0.3">
      <c r="B40" s="914" t="s">
        <v>232</v>
      </c>
      <c r="C40" s="915"/>
      <c r="D40" s="915"/>
      <c r="E40" s="915"/>
      <c r="F40" s="915"/>
      <c r="G40" s="915"/>
      <c r="H40" s="915"/>
      <c r="I40" s="915"/>
      <c r="J40" s="915"/>
      <c r="K40" s="916" t="s">
        <v>15</v>
      </c>
      <c r="L40" s="918">
        <v>1</v>
      </c>
      <c r="N40" s="920" t="s">
        <v>233</v>
      </c>
      <c r="O40" s="920"/>
      <c r="P40" s="920"/>
    </row>
    <row r="41" spans="2:16" ht="15" customHeight="1" thickBot="1" x14ac:dyDescent="0.35">
      <c r="B41" s="921" t="s">
        <v>230</v>
      </c>
      <c r="C41" s="922"/>
      <c r="D41" s="922"/>
      <c r="E41" s="922"/>
      <c r="F41" s="922"/>
      <c r="G41" s="922"/>
      <c r="H41" s="922"/>
      <c r="I41" s="922"/>
      <c r="J41" s="922"/>
      <c r="K41" s="917"/>
      <c r="L41" s="919"/>
      <c r="N41" s="920"/>
      <c r="O41" s="920"/>
      <c r="P41" s="920"/>
    </row>
    <row r="42" spans="2:16" ht="15" customHeight="1" x14ac:dyDescent="0.3">
      <c r="B42" s="43" t="s">
        <v>49</v>
      </c>
    </row>
    <row r="43" spans="2:16" ht="9.75" customHeight="1" x14ac:dyDescent="0.3">
      <c r="N43" s="43" t="s">
        <v>37</v>
      </c>
    </row>
    <row r="44" spans="2:16" ht="15" customHeight="1" x14ac:dyDescent="0.3">
      <c r="D44" s="172"/>
      <c r="E44" s="172"/>
      <c r="F44" s="173"/>
      <c r="K44" s="172" t="s">
        <v>385</v>
      </c>
      <c r="L44" s="172"/>
      <c r="M44" s="173"/>
    </row>
    <row r="45" spans="2:16" ht="15" customHeight="1" x14ac:dyDescent="0.3">
      <c r="B45" s="43" t="s">
        <v>34</v>
      </c>
    </row>
    <row r="46" spans="2:16" ht="15" customHeight="1" x14ac:dyDescent="0.3">
      <c r="B46" s="44" t="s">
        <v>331</v>
      </c>
      <c r="K46" s="43" t="s">
        <v>43</v>
      </c>
    </row>
    <row r="47" spans="2:16" ht="15" customHeight="1" x14ac:dyDescent="0.3">
      <c r="B47" s="44"/>
    </row>
    <row r="48" spans="2:16" ht="15" customHeight="1" x14ac:dyDescent="0.3">
      <c r="B48" s="44"/>
    </row>
    <row r="49" spans="2:13" ht="15" customHeight="1" x14ac:dyDescent="0.3">
      <c r="B49" s="36"/>
      <c r="D49" s="36"/>
      <c r="E49" s="174"/>
      <c r="F49" s="174"/>
      <c r="K49" s="36"/>
      <c r="L49" s="174"/>
      <c r="M49" s="174"/>
    </row>
    <row r="50" spans="2:13" ht="15" customHeight="1" x14ac:dyDescent="0.35">
      <c r="B50" s="35" t="s">
        <v>171</v>
      </c>
      <c r="D50" s="35"/>
      <c r="E50" s="174"/>
      <c r="F50" s="174"/>
      <c r="J50" s="175"/>
      <c r="K50" s="35" t="s">
        <v>171</v>
      </c>
      <c r="L50" s="174"/>
      <c r="M50" s="174"/>
    </row>
    <row r="51" spans="2:13" ht="15" customHeight="1" x14ac:dyDescent="0.3"/>
    <row r="52" spans="2:13" ht="15" customHeight="1" x14ac:dyDescent="0.3">
      <c r="B52" s="172" t="s">
        <v>144</v>
      </c>
      <c r="C52" s="173"/>
      <c r="D52" s="172"/>
      <c r="E52" s="173"/>
      <c r="J52" s="175"/>
      <c r="K52" s="172" t="s">
        <v>344</v>
      </c>
      <c r="L52" s="173"/>
    </row>
    <row r="53" spans="2:13" ht="15" customHeight="1" x14ac:dyDescent="0.3">
      <c r="B53" s="172"/>
      <c r="C53" s="173"/>
      <c r="D53" s="172"/>
      <c r="E53" s="173"/>
      <c r="J53" s="175"/>
      <c r="K53" s="172"/>
      <c r="L53" s="173"/>
    </row>
    <row r="54" spans="2:13" ht="15" customHeight="1" x14ac:dyDescent="0.3">
      <c r="B54" s="44"/>
      <c r="C54" s="44"/>
      <c r="D54" s="44"/>
      <c r="E54" s="44"/>
      <c r="J54" s="175"/>
      <c r="K54" s="44"/>
      <c r="L54" s="44"/>
    </row>
    <row r="55" spans="2:13" ht="15" customHeight="1" x14ac:dyDescent="0.3">
      <c r="B55" s="172" t="s">
        <v>338</v>
      </c>
      <c r="C55" s="173"/>
      <c r="D55" s="36"/>
      <c r="E55" s="173"/>
      <c r="J55" s="175"/>
      <c r="K55" s="53" t="s">
        <v>340</v>
      </c>
      <c r="L55" s="173"/>
    </row>
    <row r="56" spans="2:13" ht="15" customHeight="1" x14ac:dyDescent="0.3">
      <c r="B56" s="172" t="s">
        <v>339</v>
      </c>
      <c r="C56" s="173"/>
      <c r="D56" s="172"/>
      <c r="E56" s="173"/>
      <c r="J56" s="175"/>
      <c r="K56" s="53" t="s">
        <v>343</v>
      </c>
      <c r="L56" s="173"/>
    </row>
  </sheetData>
  <mergeCells count="14">
    <mergeCell ref="M1:O1"/>
    <mergeCell ref="M2:O2"/>
    <mergeCell ref="B3:N3"/>
    <mergeCell ref="B36:J36"/>
    <mergeCell ref="K36:K37"/>
    <mergeCell ref="L36:L37"/>
    <mergeCell ref="N36:P37"/>
    <mergeCell ref="B37:J37"/>
    <mergeCell ref="G12:H12"/>
    <mergeCell ref="B40:J40"/>
    <mergeCell ref="K40:K41"/>
    <mergeCell ref="L40:L41"/>
    <mergeCell ref="N40:P41"/>
    <mergeCell ref="B41:J41"/>
  </mergeCells>
  <pageMargins left="1.0629921259842521" right="0.27559055118110237" top="0.43307086614173229" bottom="0.74803149606299213" header="0.31496062992125984" footer="0.31496062992125984"/>
  <pageSetup paperSize="5" scale="90" orientation="portrait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N37"/>
  <sheetViews>
    <sheetView topLeftCell="A16" workbookViewId="0">
      <selection activeCell="C24" sqref="C24"/>
    </sheetView>
  </sheetViews>
  <sheetFormatPr defaultColWidth="9.1796875" defaultRowHeight="14" x14ac:dyDescent="0.3"/>
  <cols>
    <col min="1" max="1" width="5.54296875" style="43" customWidth="1"/>
    <col min="2" max="2" width="52.453125" style="43" customWidth="1"/>
    <col min="3" max="3" width="7" style="43" customWidth="1"/>
    <col min="4" max="4" width="6.453125" style="43" customWidth="1"/>
    <col min="5" max="5" width="8.1796875" style="43" customWidth="1"/>
    <col min="6" max="6" width="8.81640625" style="43" customWidth="1"/>
    <col min="7" max="7" width="4" style="43" customWidth="1"/>
    <col min="8" max="16384" width="9.1796875" style="43"/>
  </cols>
  <sheetData>
    <row r="1" spans="1:14" x14ac:dyDescent="0.3">
      <c r="E1" s="928" t="s">
        <v>459</v>
      </c>
      <c r="F1" s="928"/>
    </row>
    <row r="2" spans="1:14" x14ac:dyDescent="0.3">
      <c r="B2" s="295" t="s">
        <v>453</v>
      </c>
      <c r="E2" s="929">
        <v>41783</v>
      </c>
      <c r="F2" s="929"/>
    </row>
    <row r="3" spans="1:14" ht="17.5" x14ac:dyDescent="0.35">
      <c r="A3" s="682" t="s">
        <v>399</v>
      </c>
      <c r="B3" s="682"/>
      <c r="C3" s="682"/>
      <c r="D3" s="682"/>
      <c r="E3" s="682"/>
      <c r="F3" s="682"/>
      <c r="G3" s="177"/>
      <c r="I3" s="710"/>
      <c r="J3" s="710"/>
      <c r="K3" s="710"/>
      <c r="L3" s="710"/>
      <c r="M3" s="710"/>
      <c r="N3" s="710"/>
    </row>
    <row r="4" spans="1:14" ht="12" customHeight="1" x14ac:dyDescent="0.35">
      <c r="G4" s="47"/>
    </row>
    <row r="5" spans="1:14" ht="16.5" customHeight="1" x14ac:dyDescent="0.35">
      <c r="A5" s="44" t="s">
        <v>40</v>
      </c>
      <c r="C5" s="44" t="s">
        <v>382</v>
      </c>
      <c r="G5" s="47"/>
      <c r="H5" s="44"/>
    </row>
    <row r="6" spans="1:14" x14ac:dyDescent="0.3">
      <c r="A6" s="44" t="s">
        <v>41</v>
      </c>
      <c r="B6" s="175"/>
      <c r="C6" s="44" t="s">
        <v>382</v>
      </c>
      <c r="E6" s="44"/>
      <c r="F6" s="44"/>
      <c r="H6" s="44"/>
      <c r="I6" s="931"/>
      <c r="J6" s="931"/>
      <c r="K6" s="931"/>
      <c r="L6" s="931"/>
      <c r="M6" s="931"/>
      <c r="N6" s="931"/>
    </row>
    <row r="7" spans="1:14" x14ac:dyDescent="0.3">
      <c r="A7" s="44" t="s">
        <v>663</v>
      </c>
      <c r="B7" s="175"/>
      <c r="C7" s="44" t="s">
        <v>35</v>
      </c>
      <c r="E7" s="175"/>
      <c r="F7" s="175"/>
      <c r="H7" s="44"/>
      <c r="I7" s="932"/>
      <c r="J7" s="932"/>
      <c r="K7" s="932"/>
      <c r="L7" s="932"/>
      <c r="M7" s="932"/>
      <c r="N7" s="932"/>
    </row>
    <row r="8" spans="1:14" x14ac:dyDescent="0.3">
      <c r="A8" s="44" t="s">
        <v>661</v>
      </c>
      <c r="B8" s="175"/>
      <c r="C8" s="44" t="s">
        <v>35</v>
      </c>
      <c r="E8" s="175"/>
      <c r="F8" s="175"/>
      <c r="H8" s="44"/>
      <c r="I8" s="48"/>
      <c r="J8" s="48"/>
      <c r="K8" s="48"/>
      <c r="L8" s="48"/>
      <c r="M8" s="48"/>
      <c r="N8" s="48"/>
    </row>
    <row r="9" spans="1:14" ht="17.25" customHeight="1" x14ac:dyDescent="0.3">
      <c r="A9" s="44" t="s">
        <v>662</v>
      </c>
      <c r="B9" s="175"/>
      <c r="C9" s="43" t="s">
        <v>382</v>
      </c>
      <c r="E9" s="52"/>
      <c r="F9" s="52"/>
      <c r="H9" s="44"/>
      <c r="I9" s="931"/>
      <c r="J9" s="931"/>
      <c r="K9" s="931"/>
      <c r="L9" s="931"/>
      <c r="M9" s="931"/>
      <c r="N9" s="931"/>
    </row>
    <row r="10" spans="1:14" ht="17.25" customHeight="1" x14ac:dyDescent="0.3">
      <c r="A10" s="44" t="s">
        <v>42</v>
      </c>
      <c r="C10" s="43" t="s">
        <v>382</v>
      </c>
      <c r="G10" s="175"/>
      <c r="H10" s="44"/>
    </row>
    <row r="11" spans="1:14" ht="12" customHeight="1" x14ac:dyDescent="0.3">
      <c r="G11" s="175"/>
      <c r="H11" s="44"/>
    </row>
    <row r="12" spans="1:14" x14ac:dyDescent="0.3">
      <c r="A12" s="933" t="s">
        <v>112</v>
      </c>
      <c r="B12" s="624" t="s">
        <v>6</v>
      </c>
      <c r="C12" s="936" t="s">
        <v>116</v>
      </c>
      <c r="D12" s="936" t="s">
        <v>7</v>
      </c>
      <c r="E12" s="938" t="s">
        <v>117</v>
      </c>
      <c r="F12" s="938"/>
      <c r="G12" s="175"/>
      <c r="I12" s="621"/>
      <c r="J12" s="621"/>
      <c r="K12" s="930"/>
      <c r="L12" s="930"/>
      <c r="M12" s="621"/>
      <c r="N12" s="621"/>
    </row>
    <row r="13" spans="1:14" ht="21.5" thickBot="1" x14ac:dyDescent="0.35">
      <c r="A13" s="934"/>
      <c r="B13" s="935"/>
      <c r="C13" s="937"/>
      <c r="D13" s="937"/>
      <c r="E13" s="178" t="s">
        <v>118</v>
      </c>
      <c r="F13" s="178" t="s">
        <v>52</v>
      </c>
      <c r="G13" s="44"/>
      <c r="I13" s="621"/>
      <c r="J13" s="621"/>
      <c r="K13" s="930"/>
      <c r="L13" s="930"/>
      <c r="M13" s="179"/>
      <c r="N13" s="179"/>
    </row>
    <row r="14" spans="1:14" ht="24" customHeight="1" thickTop="1" x14ac:dyDescent="0.3">
      <c r="A14" s="924" t="s">
        <v>333</v>
      </c>
      <c r="B14" s="180" t="s">
        <v>348</v>
      </c>
      <c r="C14" s="181"/>
      <c r="D14" s="182"/>
      <c r="E14" s="182"/>
      <c r="F14" s="181"/>
    </row>
    <row r="15" spans="1:14" ht="43.5" customHeight="1" x14ac:dyDescent="0.3">
      <c r="A15" s="925"/>
      <c r="B15" s="37" t="s">
        <v>346</v>
      </c>
      <c r="C15" s="183"/>
      <c r="D15" s="183"/>
      <c r="E15" s="183"/>
      <c r="F15" s="45"/>
    </row>
    <row r="16" spans="1:14" ht="53.25" customHeight="1" x14ac:dyDescent="0.3">
      <c r="A16" s="925"/>
      <c r="B16" s="37" t="s">
        <v>347</v>
      </c>
      <c r="C16" s="184"/>
      <c r="D16" s="184"/>
      <c r="E16" s="184"/>
      <c r="F16" s="185"/>
    </row>
    <row r="17" spans="1:10" ht="24.75" customHeight="1" x14ac:dyDescent="0.35">
      <c r="A17" s="926" t="s">
        <v>334</v>
      </c>
      <c r="B17" s="186" t="s">
        <v>350</v>
      </c>
      <c r="C17" s="187"/>
      <c r="D17" s="187"/>
      <c r="E17" s="187"/>
      <c r="F17" s="181"/>
      <c r="J17" s="188"/>
    </row>
    <row r="18" spans="1:10" ht="44.25" customHeight="1" x14ac:dyDescent="0.35">
      <c r="A18" s="925"/>
      <c r="B18" s="38" t="s">
        <v>349</v>
      </c>
      <c r="C18" s="183"/>
      <c r="D18" s="183"/>
      <c r="E18" s="183"/>
      <c r="F18" s="45"/>
      <c r="J18" s="41"/>
    </row>
    <row r="19" spans="1:10" ht="43.5" customHeight="1" x14ac:dyDescent="0.35">
      <c r="A19" s="927"/>
      <c r="B19" s="37" t="s">
        <v>351</v>
      </c>
      <c r="C19" s="184"/>
      <c r="D19" s="184"/>
      <c r="E19" s="184"/>
      <c r="F19" s="185"/>
      <c r="J19" s="35"/>
    </row>
    <row r="20" spans="1:10" x14ac:dyDescent="0.3">
      <c r="A20" s="189"/>
      <c r="B20" s="190"/>
      <c r="C20" s="191"/>
      <c r="D20" s="192"/>
      <c r="E20" s="192"/>
      <c r="F20" s="191"/>
    </row>
    <row r="21" spans="1:10" s="44" customFormat="1" ht="31.5" customHeight="1" x14ac:dyDescent="0.35">
      <c r="A21" s="193"/>
      <c r="B21" s="194" t="s">
        <v>337</v>
      </c>
      <c r="C21" s="194"/>
      <c r="D21" s="195">
        <f>SUM(D14:D20)</f>
        <v>0</v>
      </c>
      <c r="E21" s="195">
        <f>SUM(E14:E20)</f>
        <v>0</v>
      </c>
      <c r="F21" s="193"/>
    </row>
    <row r="22" spans="1:10" ht="12" customHeight="1" x14ac:dyDescent="0.3"/>
    <row r="23" spans="1:10" x14ac:dyDescent="0.3">
      <c r="C23" s="43" t="s">
        <v>672</v>
      </c>
    </row>
    <row r="24" spans="1:10" x14ac:dyDescent="0.3">
      <c r="B24" s="43" t="s">
        <v>34</v>
      </c>
    </row>
    <row r="25" spans="1:10" x14ac:dyDescent="0.3">
      <c r="B25" s="44" t="s">
        <v>331</v>
      </c>
      <c r="C25" s="43" t="s">
        <v>43</v>
      </c>
    </row>
    <row r="26" spans="1:10" x14ac:dyDescent="0.3">
      <c r="B26" s="44"/>
    </row>
    <row r="27" spans="1:10" x14ac:dyDescent="0.3">
      <c r="B27" s="44"/>
      <c r="C27" s="175"/>
    </row>
    <row r="28" spans="1:10" x14ac:dyDescent="0.3">
      <c r="B28" s="44"/>
    </row>
    <row r="29" spans="1:10" x14ac:dyDescent="0.3">
      <c r="B29" s="196"/>
      <c r="C29" s="196"/>
    </row>
    <row r="30" spans="1:10" x14ac:dyDescent="0.3">
      <c r="B30" s="44" t="s">
        <v>384</v>
      </c>
      <c r="C30" s="44" t="s">
        <v>384</v>
      </c>
    </row>
    <row r="32" spans="1:10" x14ac:dyDescent="0.3">
      <c r="B32" s="172" t="s">
        <v>144</v>
      </c>
      <c r="C32" s="172" t="s">
        <v>325</v>
      </c>
      <c r="E32" s="173"/>
      <c r="G32" s="44"/>
    </row>
    <row r="33" spans="2:7" x14ac:dyDescent="0.3">
      <c r="B33" s="172"/>
      <c r="C33" s="172"/>
      <c r="E33" s="173"/>
      <c r="G33" s="44"/>
    </row>
    <row r="34" spans="2:7" x14ac:dyDescent="0.3">
      <c r="B34" s="172"/>
      <c r="C34" s="172"/>
      <c r="E34" s="173"/>
      <c r="G34" s="44"/>
    </row>
    <row r="35" spans="2:7" x14ac:dyDescent="0.3">
      <c r="B35" s="44"/>
      <c r="C35" s="44"/>
      <c r="E35" s="44"/>
      <c r="G35" s="44"/>
    </row>
    <row r="36" spans="2:7" x14ac:dyDescent="0.3">
      <c r="B36" s="172" t="s">
        <v>332</v>
      </c>
      <c r="C36" s="53" t="s">
        <v>340</v>
      </c>
      <c r="E36" s="173"/>
      <c r="G36" s="44"/>
    </row>
    <row r="37" spans="2:7" x14ac:dyDescent="0.3">
      <c r="B37" s="172" t="s">
        <v>323</v>
      </c>
      <c r="C37" s="53" t="s">
        <v>343</v>
      </c>
      <c r="E37" s="173"/>
      <c r="G37" s="44"/>
    </row>
  </sheetData>
  <mergeCells count="19">
    <mergeCell ref="M12:N12"/>
    <mergeCell ref="A3:F3"/>
    <mergeCell ref="I3:N3"/>
    <mergeCell ref="I6:N6"/>
    <mergeCell ref="I7:N7"/>
    <mergeCell ref="I9:N9"/>
    <mergeCell ref="A12:A13"/>
    <mergeCell ref="B12:B13"/>
    <mergeCell ref="C12:C13"/>
    <mergeCell ref="D12:D13"/>
    <mergeCell ref="E12:F12"/>
    <mergeCell ref="I12:I13"/>
    <mergeCell ref="J12:J13"/>
    <mergeCell ref="K12:K13"/>
    <mergeCell ref="A14:A16"/>
    <mergeCell ref="A17:A19"/>
    <mergeCell ref="E1:F1"/>
    <mergeCell ref="E2:F2"/>
    <mergeCell ref="L12:L13"/>
  </mergeCells>
  <pageMargins left="0.70866141732283472" right="0.70866141732283472" top="0.43307086614173229" bottom="0.43307086614173229" header="0.31496062992125984" footer="0.31496062992125984"/>
  <pageSetup paperSize="5" scale="95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36"/>
  <sheetViews>
    <sheetView topLeftCell="A12" workbookViewId="0">
      <selection activeCell="L22" sqref="L22"/>
    </sheetView>
  </sheetViews>
  <sheetFormatPr defaultRowHeight="14.5" x14ac:dyDescent="0.35"/>
  <cols>
    <col min="1" max="1" width="4.1796875" bestFit="1" customWidth="1"/>
    <col min="2" max="2" width="11.1796875" customWidth="1"/>
    <col min="3" max="3" width="5.26953125" style="307" customWidth="1"/>
    <col min="4" max="4" width="6.81640625" customWidth="1"/>
    <col min="5" max="5" width="6" customWidth="1"/>
    <col min="6" max="6" width="6.26953125" customWidth="1"/>
    <col min="7" max="7" width="5.26953125" customWidth="1"/>
    <col min="8" max="8" width="7" customWidth="1"/>
    <col min="9" max="9" width="5.453125" customWidth="1"/>
    <col min="10" max="11" width="5.26953125" customWidth="1"/>
    <col min="12" max="12" width="8.7265625" customWidth="1"/>
    <col min="13" max="13" width="8.453125" customWidth="1"/>
    <col min="14" max="14" width="12.7265625" customWidth="1"/>
  </cols>
  <sheetData>
    <row r="1" spans="1:14" x14ac:dyDescent="0.35">
      <c r="M1" s="928" t="s">
        <v>457</v>
      </c>
      <c r="N1" s="928"/>
    </row>
    <row r="2" spans="1:14" x14ac:dyDescent="0.35">
      <c r="M2" s="929">
        <v>43636</v>
      </c>
      <c r="N2" s="929"/>
    </row>
    <row r="3" spans="1:14" ht="21" x14ac:dyDescent="0.35">
      <c r="A3" s="939" t="s">
        <v>461</v>
      </c>
      <c r="B3" s="939"/>
      <c r="C3" s="939"/>
      <c r="D3" s="939"/>
      <c r="E3" s="939"/>
      <c r="F3" s="939"/>
      <c r="G3" s="939"/>
      <c r="H3" s="939"/>
      <c r="I3" s="939"/>
      <c r="J3" s="939"/>
      <c r="K3" s="939"/>
      <c r="L3" s="939"/>
      <c r="M3" s="939"/>
      <c r="N3" s="939"/>
    </row>
    <row r="4" spans="1:14" ht="21.5" thickBot="1" x14ac:dyDescent="0.4">
      <c r="A4" s="940" t="s">
        <v>462</v>
      </c>
      <c r="B4" s="940"/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940"/>
      <c r="N4" s="940"/>
    </row>
    <row r="5" spans="1:14" s="308" customFormat="1" ht="16" thickBot="1" x14ac:dyDescent="0.4">
      <c r="A5" s="941" t="s">
        <v>1</v>
      </c>
      <c r="B5" s="943" t="s">
        <v>463</v>
      </c>
      <c r="C5" s="945" t="s">
        <v>464</v>
      </c>
      <c r="D5" s="947" t="s">
        <v>465</v>
      </c>
      <c r="E5" s="948"/>
      <c r="F5" s="948"/>
      <c r="G5" s="949"/>
      <c r="H5" s="947" t="s">
        <v>466</v>
      </c>
      <c r="I5" s="948"/>
      <c r="J5" s="948"/>
      <c r="K5" s="949"/>
      <c r="L5" s="943" t="s">
        <v>467</v>
      </c>
      <c r="M5" s="943" t="s">
        <v>468</v>
      </c>
      <c r="N5" s="950" t="s">
        <v>469</v>
      </c>
    </row>
    <row r="6" spans="1:14" ht="29.5" thickBot="1" x14ac:dyDescent="0.4">
      <c r="A6" s="942"/>
      <c r="B6" s="944"/>
      <c r="C6" s="946"/>
      <c r="D6" s="309" t="s">
        <v>470</v>
      </c>
      <c r="E6" s="310" t="s">
        <v>471</v>
      </c>
      <c r="F6" s="309" t="s">
        <v>472</v>
      </c>
      <c r="G6" s="309" t="s">
        <v>473</v>
      </c>
      <c r="H6" s="309" t="s">
        <v>470</v>
      </c>
      <c r="I6" s="310" t="s">
        <v>471</v>
      </c>
      <c r="J6" s="309" t="s">
        <v>472</v>
      </c>
      <c r="K6" s="309" t="s">
        <v>473</v>
      </c>
      <c r="L6" s="944"/>
      <c r="M6" s="944"/>
      <c r="N6" s="951"/>
    </row>
    <row r="7" spans="1:14" x14ac:dyDescent="0.35">
      <c r="A7" s="311">
        <v>1</v>
      </c>
      <c r="B7" s="312" t="s">
        <v>474</v>
      </c>
      <c r="C7" s="311">
        <v>1</v>
      </c>
      <c r="D7" s="312"/>
      <c r="E7" s="312"/>
      <c r="F7" s="312"/>
      <c r="G7" s="312"/>
      <c r="H7" s="312"/>
      <c r="I7" s="312"/>
      <c r="J7" s="312"/>
      <c r="K7" s="312"/>
      <c r="L7" s="312"/>
      <c r="M7" s="312"/>
      <c r="N7" s="312"/>
    </row>
    <row r="8" spans="1:14" x14ac:dyDescent="0.35">
      <c r="A8" s="313"/>
      <c r="B8" s="314"/>
      <c r="C8" s="313">
        <v>2</v>
      </c>
      <c r="D8" s="314"/>
      <c r="E8" s="314"/>
      <c r="F8" s="314"/>
      <c r="G8" s="315"/>
      <c r="H8" s="314"/>
      <c r="I8" s="314"/>
      <c r="J8" s="314"/>
      <c r="K8" s="314"/>
      <c r="L8" s="314"/>
      <c r="M8" s="314"/>
      <c r="N8" s="314"/>
    </row>
    <row r="9" spans="1:14" x14ac:dyDescent="0.35">
      <c r="A9" s="313"/>
      <c r="B9" s="314"/>
      <c r="C9" s="313">
        <v>3</v>
      </c>
      <c r="D9" s="314"/>
      <c r="E9" s="314"/>
      <c r="F9" s="314"/>
      <c r="G9" s="314"/>
      <c r="H9" s="314"/>
      <c r="I9" s="314"/>
      <c r="J9" s="314"/>
      <c r="K9" s="314"/>
      <c r="L9" s="314"/>
      <c r="M9" s="314"/>
      <c r="N9" s="314"/>
    </row>
    <row r="10" spans="1:14" x14ac:dyDescent="0.35">
      <c r="A10" s="313"/>
      <c r="B10" s="314"/>
      <c r="C10" s="313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</row>
    <row r="11" spans="1:14" x14ac:dyDescent="0.35">
      <c r="A11" s="313">
        <v>2</v>
      </c>
      <c r="B11" s="314" t="s">
        <v>475</v>
      </c>
      <c r="C11" s="313">
        <v>1</v>
      </c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</row>
    <row r="12" spans="1:14" x14ac:dyDescent="0.35">
      <c r="A12" s="313"/>
      <c r="B12" s="314"/>
      <c r="C12" s="313">
        <v>2</v>
      </c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314"/>
    </row>
    <row r="13" spans="1:14" x14ac:dyDescent="0.35">
      <c r="A13" s="313"/>
      <c r="B13" s="314"/>
      <c r="C13" s="313">
        <v>3</v>
      </c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 x14ac:dyDescent="0.35">
      <c r="A14" s="313"/>
      <c r="B14" s="314"/>
      <c r="C14" s="313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</row>
    <row r="15" spans="1:14" x14ac:dyDescent="0.35">
      <c r="A15" s="313">
        <v>3</v>
      </c>
      <c r="B15" s="314" t="s">
        <v>476</v>
      </c>
      <c r="C15" s="313">
        <v>1</v>
      </c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</row>
    <row r="16" spans="1:14" x14ac:dyDescent="0.35">
      <c r="A16" s="313"/>
      <c r="B16" s="314"/>
      <c r="C16" s="313">
        <v>2</v>
      </c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</row>
    <row r="17" spans="1:15" x14ac:dyDescent="0.35">
      <c r="A17" s="313"/>
      <c r="B17" s="314"/>
      <c r="C17" s="313">
        <v>1</v>
      </c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</row>
    <row r="18" spans="1:15" x14ac:dyDescent="0.35">
      <c r="A18" s="313"/>
      <c r="B18" s="314"/>
      <c r="C18" s="313">
        <v>2</v>
      </c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</row>
    <row r="19" spans="1:15" x14ac:dyDescent="0.35">
      <c r="A19" s="313"/>
      <c r="B19" s="313" t="s">
        <v>447</v>
      </c>
      <c r="C19" s="313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</row>
    <row r="22" spans="1:15" x14ac:dyDescent="0.35">
      <c r="L22" s="43" t="s">
        <v>400</v>
      </c>
      <c r="M22" s="43"/>
      <c r="N22" s="43"/>
      <c r="O22" s="43"/>
    </row>
    <row r="23" spans="1:15" x14ac:dyDescent="0.35">
      <c r="B23" s="43" t="s">
        <v>34</v>
      </c>
      <c r="L23" s="43"/>
      <c r="M23" s="43"/>
      <c r="N23" s="43"/>
      <c r="O23" s="43"/>
    </row>
    <row r="24" spans="1:15" x14ac:dyDescent="0.35">
      <c r="B24" s="44" t="s">
        <v>331</v>
      </c>
      <c r="L24" s="43" t="s">
        <v>43</v>
      </c>
      <c r="M24" s="43"/>
      <c r="N24" s="43"/>
      <c r="O24" s="43"/>
    </row>
    <row r="25" spans="1:15" x14ac:dyDescent="0.35">
      <c r="B25" s="44"/>
      <c r="L25" s="43"/>
      <c r="M25" s="43"/>
      <c r="N25" s="43"/>
      <c r="O25" s="43"/>
    </row>
    <row r="26" spans="1:15" x14ac:dyDescent="0.35">
      <c r="B26" s="44"/>
      <c r="L26" s="175"/>
      <c r="M26" s="43"/>
      <c r="N26" s="43"/>
      <c r="O26" s="43"/>
    </row>
    <row r="27" spans="1:15" x14ac:dyDescent="0.35">
      <c r="B27" s="44"/>
      <c r="L27" s="43"/>
      <c r="M27" s="43"/>
      <c r="N27" s="43"/>
      <c r="O27" s="43"/>
    </row>
    <row r="28" spans="1:15" x14ac:dyDescent="0.35">
      <c r="B28" s="196"/>
      <c r="L28" s="196"/>
      <c r="M28" s="43"/>
      <c r="N28" s="43"/>
      <c r="O28" s="43"/>
    </row>
    <row r="29" spans="1:15" x14ac:dyDescent="0.35">
      <c r="B29" s="44" t="s">
        <v>384</v>
      </c>
      <c r="L29" s="44" t="s">
        <v>384</v>
      </c>
      <c r="M29" s="43"/>
      <c r="N29" s="43"/>
      <c r="O29" s="43"/>
    </row>
    <row r="30" spans="1:15" x14ac:dyDescent="0.35">
      <c r="B30" s="43"/>
      <c r="L30" s="43"/>
      <c r="M30" s="43"/>
      <c r="N30" s="43"/>
      <c r="O30" s="43"/>
    </row>
    <row r="31" spans="1:15" x14ac:dyDescent="0.35">
      <c r="B31" s="172" t="s">
        <v>144</v>
      </c>
      <c r="L31" s="172" t="s">
        <v>325</v>
      </c>
      <c r="M31" s="43"/>
      <c r="N31" s="173"/>
      <c r="O31" s="43"/>
    </row>
    <row r="32" spans="1:15" x14ac:dyDescent="0.35">
      <c r="B32" s="172"/>
      <c r="L32" s="172"/>
      <c r="M32" s="43"/>
      <c r="N32" s="173"/>
      <c r="O32" s="43"/>
    </row>
    <row r="33" spans="2:15" x14ac:dyDescent="0.35">
      <c r="B33" s="172"/>
      <c r="L33" s="172"/>
      <c r="M33" s="43"/>
      <c r="N33" s="173"/>
      <c r="O33" s="43"/>
    </row>
    <row r="34" spans="2:15" x14ac:dyDescent="0.35">
      <c r="B34" s="44"/>
      <c r="L34" s="44"/>
      <c r="M34" s="43"/>
      <c r="N34" s="44"/>
      <c r="O34" s="43"/>
    </row>
    <row r="35" spans="2:15" x14ac:dyDescent="0.35">
      <c r="B35" s="172" t="s">
        <v>332</v>
      </c>
      <c r="L35" s="53" t="s">
        <v>340</v>
      </c>
      <c r="M35" s="43"/>
      <c r="N35" s="173"/>
      <c r="O35" s="43"/>
    </row>
    <row r="36" spans="2:15" x14ac:dyDescent="0.35">
      <c r="B36" s="172" t="s">
        <v>323</v>
      </c>
      <c r="L36" s="53" t="s">
        <v>343</v>
      </c>
      <c r="M36" s="43"/>
      <c r="N36" s="173"/>
      <c r="O36" s="43"/>
    </row>
  </sheetData>
  <mergeCells count="12">
    <mergeCell ref="M1:N1"/>
    <mergeCell ref="M2:N2"/>
    <mergeCell ref="A3:N3"/>
    <mergeCell ref="A4:N4"/>
    <mergeCell ref="A5:A6"/>
    <mergeCell ref="B5:B6"/>
    <mergeCell ref="C5:C6"/>
    <mergeCell ref="D5:G5"/>
    <mergeCell ref="H5:K5"/>
    <mergeCell ref="L5:L6"/>
    <mergeCell ref="M5:M6"/>
    <mergeCell ref="N5:N6"/>
  </mergeCells>
  <pageMargins left="0.51181102362204722" right="0.31496062992125984" top="0.55118110236220474" bottom="1.3385826771653544" header="0.31496062992125984" footer="0.31496062992125984"/>
  <pageSetup paperSize="5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53"/>
  <sheetViews>
    <sheetView workbookViewId="0">
      <selection activeCell="B14" sqref="B14"/>
    </sheetView>
  </sheetViews>
  <sheetFormatPr defaultRowHeight="14.5" x14ac:dyDescent="0.35"/>
  <cols>
    <col min="1" max="1" width="4.81640625" customWidth="1"/>
    <col min="15" max="15" width="12.1796875" bestFit="1" customWidth="1"/>
  </cols>
  <sheetData>
    <row r="1" spans="1:12" x14ac:dyDescent="0.35">
      <c r="K1" s="928" t="s">
        <v>769</v>
      </c>
      <c r="L1" s="928"/>
    </row>
    <row r="2" spans="1:12" x14ac:dyDescent="0.35">
      <c r="K2" s="929">
        <v>45117</v>
      </c>
      <c r="L2" s="929"/>
    </row>
    <row r="4" spans="1:12" x14ac:dyDescent="0.35">
      <c r="A4" s="954" t="s">
        <v>477</v>
      </c>
      <c r="B4" s="954"/>
      <c r="C4" s="954"/>
      <c r="D4" s="954"/>
      <c r="E4" s="954"/>
      <c r="F4" s="954"/>
      <c r="G4" s="954"/>
      <c r="H4" s="954"/>
      <c r="I4" s="954"/>
      <c r="J4" s="954"/>
      <c r="K4" s="954"/>
    </row>
    <row r="5" spans="1:12" x14ac:dyDescent="0.35">
      <c r="A5" s="954" t="s">
        <v>673</v>
      </c>
      <c r="B5" s="954"/>
      <c r="C5" s="954"/>
      <c r="D5" s="954"/>
      <c r="E5" s="954"/>
      <c r="F5" s="954"/>
      <c r="G5" s="954"/>
      <c r="H5" s="954"/>
      <c r="I5" s="954"/>
      <c r="J5" s="954"/>
      <c r="K5" s="954"/>
    </row>
    <row r="6" spans="1:12" x14ac:dyDescent="0.35">
      <c r="A6" s="952" t="s">
        <v>319</v>
      </c>
      <c r="B6" s="952"/>
      <c r="C6" s="316" t="s">
        <v>71</v>
      </c>
    </row>
    <row r="7" spans="1:12" x14ac:dyDescent="0.35">
      <c r="A7" s="952" t="s">
        <v>40</v>
      </c>
      <c r="B7" s="952"/>
      <c r="C7" s="316" t="s">
        <v>71</v>
      </c>
    </row>
    <row r="8" spans="1:12" x14ac:dyDescent="0.35">
      <c r="A8" s="952" t="s">
        <v>478</v>
      </c>
      <c r="B8" s="952"/>
      <c r="C8" t="s">
        <v>71</v>
      </c>
      <c r="E8" s="316"/>
    </row>
    <row r="9" spans="1:12" x14ac:dyDescent="0.35">
      <c r="A9" s="956" t="s">
        <v>111</v>
      </c>
      <c r="B9" s="956"/>
      <c r="C9" t="s">
        <v>71</v>
      </c>
    </row>
    <row r="12" spans="1:12" ht="28.5" customHeight="1" x14ac:dyDescent="0.35">
      <c r="A12" s="953" t="s">
        <v>1</v>
      </c>
      <c r="B12" s="957" t="s">
        <v>729</v>
      </c>
      <c r="C12" s="318" t="s">
        <v>479</v>
      </c>
      <c r="D12" s="318" t="s">
        <v>480</v>
      </c>
      <c r="E12" s="318" t="s">
        <v>481</v>
      </c>
      <c r="F12" s="318" t="s">
        <v>482</v>
      </c>
      <c r="G12" s="318" t="s">
        <v>483</v>
      </c>
      <c r="H12" s="318" t="s">
        <v>484</v>
      </c>
      <c r="I12" s="318" t="s">
        <v>485</v>
      </c>
      <c r="J12" s="318" t="s">
        <v>486</v>
      </c>
      <c r="K12" s="318" t="s">
        <v>487</v>
      </c>
      <c r="L12" s="318" t="s">
        <v>497</v>
      </c>
    </row>
    <row r="13" spans="1:12" ht="30.75" customHeight="1" x14ac:dyDescent="0.35">
      <c r="A13" s="953"/>
      <c r="B13" s="957"/>
      <c r="C13" s="318" t="s">
        <v>488</v>
      </c>
      <c r="D13" s="318" t="s">
        <v>489</v>
      </c>
      <c r="E13" s="318" t="s">
        <v>490</v>
      </c>
      <c r="F13" s="318" t="s">
        <v>491</v>
      </c>
      <c r="G13" s="318" t="s">
        <v>492</v>
      </c>
      <c r="H13" s="319" t="s">
        <v>493</v>
      </c>
      <c r="I13" s="319" t="s">
        <v>494</v>
      </c>
      <c r="J13" s="318" t="s">
        <v>495</v>
      </c>
      <c r="K13" s="318" t="s">
        <v>496</v>
      </c>
      <c r="L13" s="319" t="s">
        <v>498</v>
      </c>
    </row>
    <row r="14" spans="1:12" x14ac:dyDescent="0.35">
      <c r="A14" s="953">
        <v>1</v>
      </c>
      <c r="B14" s="320"/>
      <c r="C14" s="314"/>
      <c r="D14" s="314"/>
      <c r="E14" s="314"/>
      <c r="F14" s="314"/>
      <c r="G14" s="314"/>
      <c r="H14" s="314"/>
      <c r="I14" s="314"/>
      <c r="J14" s="314"/>
      <c r="K14" s="314"/>
      <c r="L14" s="314"/>
    </row>
    <row r="15" spans="1:12" x14ac:dyDescent="0.35">
      <c r="A15" s="953"/>
      <c r="B15" s="321"/>
      <c r="C15" s="314"/>
      <c r="D15" s="314"/>
      <c r="E15" s="314"/>
      <c r="F15" s="314"/>
      <c r="G15" s="314"/>
      <c r="H15" s="314"/>
      <c r="I15" s="314"/>
      <c r="J15" s="314"/>
      <c r="K15" s="314"/>
      <c r="L15" s="314"/>
    </row>
    <row r="16" spans="1:12" x14ac:dyDescent="0.35">
      <c r="A16" s="953">
        <v>2</v>
      </c>
      <c r="B16" s="320"/>
      <c r="C16" s="314"/>
      <c r="D16" s="314"/>
      <c r="E16" s="314"/>
      <c r="F16" s="314"/>
      <c r="G16" s="314"/>
      <c r="H16" s="314"/>
      <c r="I16" s="314"/>
      <c r="J16" s="314"/>
      <c r="K16" s="314"/>
      <c r="L16" s="314"/>
    </row>
    <row r="17" spans="1:15" x14ac:dyDescent="0.35">
      <c r="A17" s="953"/>
      <c r="B17" s="321"/>
      <c r="C17" s="314"/>
      <c r="D17" s="314"/>
      <c r="E17" s="314"/>
      <c r="F17" s="314"/>
      <c r="G17" s="314"/>
      <c r="H17" s="314"/>
      <c r="I17" s="314"/>
      <c r="J17" s="314"/>
      <c r="K17" s="314"/>
      <c r="L17" s="314"/>
    </row>
    <row r="18" spans="1:15" x14ac:dyDescent="0.35">
      <c r="A18" s="953">
        <v>3</v>
      </c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</row>
    <row r="19" spans="1:15" x14ac:dyDescent="0.35">
      <c r="A19" s="953"/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</row>
    <row r="20" spans="1:15" ht="16.5" customHeight="1" x14ac:dyDescent="0.35">
      <c r="A20" s="953">
        <v>4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O20" s="316" t="s">
        <v>17</v>
      </c>
    </row>
    <row r="21" spans="1:15" x14ac:dyDescent="0.35">
      <c r="A21" s="953"/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</row>
    <row r="22" spans="1:15" x14ac:dyDescent="0.35">
      <c r="A22" s="953">
        <v>5</v>
      </c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</row>
    <row r="23" spans="1:15" x14ac:dyDescent="0.35">
      <c r="A23" s="953"/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</row>
    <row r="24" spans="1:15" x14ac:dyDescent="0.35">
      <c r="A24" s="953">
        <v>6</v>
      </c>
      <c r="B24" s="314"/>
      <c r="C24" s="314"/>
      <c r="D24" s="314"/>
      <c r="E24" s="314"/>
      <c r="F24" s="314"/>
      <c r="G24" s="314"/>
      <c r="H24" s="314"/>
      <c r="I24" s="314"/>
      <c r="J24" s="314"/>
      <c r="K24" s="314"/>
      <c r="L24" s="314"/>
    </row>
    <row r="25" spans="1:15" x14ac:dyDescent="0.35">
      <c r="A25" s="953"/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</row>
    <row r="26" spans="1:15" x14ac:dyDescent="0.35">
      <c r="A26" s="953">
        <v>7</v>
      </c>
      <c r="B26" s="314"/>
      <c r="C26" s="314"/>
      <c r="D26" s="314"/>
      <c r="E26" s="314"/>
      <c r="F26" s="314"/>
      <c r="G26" s="314"/>
      <c r="H26" s="314"/>
      <c r="I26" s="314"/>
      <c r="J26" s="314"/>
      <c r="K26" s="314"/>
      <c r="L26" s="314"/>
    </row>
    <row r="27" spans="1:15" x14ac:dyDescent="0.35">
      <c r="A27" s="953"/>
      <c r="B27" s="314"/>
      <c r="C27" s="314"/>
      <c r="D27" s="314"/>
      <c r="E27" s="314"/>
      <c r="F27" s="314"/>
      <c r="G27" s="314"/>
      <c r="H27" s="314"/>
      <c r="I27" s="314"/>
      <c r="J27" s="314"/>
      <c r="K27" s="314"/>
      <c r="L27" s="314"/>
    </row>
    <row r="28" spans="1:15" x14ac:dyDescent="0.35">
      <c r="A28" s="955" t="s">
        <v>499</v>
      </c>
      <c r="B28" s="314"/>
      <c r="C28" s="314"/>
      <c r="D28" s="314"/>
      <c r="E28" s="314"/>
      <c r="F28" s="314"/>
      <c r="G28" s="314"/>
      <c r="H28" s="314"/>
      <c r="I28" s="314"/>
      <c r="J28" s="314"/>
      <c r="K28" s="314"/>
      <c r="L28" s="314"/>
    </row>
    <row r="29" spans="1:15" x14ac:dyDescent="0.35">
      <c r="A29" s="955"/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4"/>
    </row>
    <row r="30" spans="1:15" x14ac:dyDescent="0.35">
      <c r="A30" s="307"/>
    </row>
    <row r="31" spans="1:15" x14ac:dyDescent="0.35">
      <c r="A31" s="952" t="s">
        <v>17</v>
      </c>
      <c r="B31" s="952"/>
      <c r="C31" s="952"/>
    </row>
    <row r="32" spans="1:15" x14ac:dyDescent="0.35">
      <c r="A32" s="334" t="s">
        <v>535</v>
      </c>
      <c r="F32" s="334" t="s">
        <v>541</v>
      </c>
    </row>
    <row r="33" spans="1:11" x14ac:dyDescent="0.35">
      <c r="A33" s="317" t="s">
        <v>536</v>
      </c>
      <c r="F33" s="317" t="s">
        <v>542</v>
      </c>
    </row>
    <row r="34" spans="1:11" x14ac:dyDescent="0.35">
      <c r="A34" s="317" t="s">
        <v>537</v>
      </c>
      <c r="F34" s="317" t="s">
        <v>545</v>
      </c>
    </row>
    <row r="35" spans="1:11" x14ac:dyDescent="0.35">
      <c r="A35" s="317" t="s">
        <v>538</v>
      </c>
      <c r="F35" s="317" t="s">
        <v>543</v>
      </c>
    </row>
    <row r="36" spans="1:11" x14ac:dyDescent="0.35">
      <c r="A36" s="317" t="s">
        <v>540</v>
      </c>
      <c r="F36" s="317" t="s">
        <v>544</v>
      </c>
    </row>
    <row r="37" spans="1:11" x14ac:dyDescent="0.35">
      <c r="A37" s="317" t="s">
        <v>539</v>
      </c>
    </row>
    <row r="39" spans="1:11" x14ac:dyDescent="0.35">
      <c r="I39" s="43" t="s">
        <v>674</v>
      </c>
      <c r="J39" s="43"/>
      <c r="K39" s="43"/>
    </row>
    <row r="40" spans="1:11" x14ac:dyDescent="0.35">
      <c r="B40" s="43" t="s">
        <v>34</v>
      </c>
      <c r="C40" s="307"/>
      <c r="I40" s="43"/>
      <c r="J40" s="43"/>
      <c r="K40" s="43"/>
    </row>
    <row r="41" spans="1:11" x14ac:dyDescent="0.35">
      <c r="B41" s="44" t="s">
        <v>331</v>
      </c>
      <c r="C41" s="307"/>
      <c r="I41" s="43" t="s">
        <v>43</v>
      </c>
      <c r="J41" s="43"/>
      <c r="K41" s="43"/>
    </row>
    <row r="42" spans="1:11" x14ac:dyDescent="0.35">
      <c r="B42" s="44"/>
      <c r="C42" s="307"/>
      <c r="I42" s="43"/>
      <c r="J42" s="43"/>
      <c r="K42" s="43"/>
    </row>
    <row r="43" spans="1:11" x14ac:dyDescent="0.35">
      <c r="B43" s="44"/>
      <c r="C43" s="307"/>
      <c r="I43" s="175"/>
      <c r="J43" s="43"/>
      <c r="K43" s="43"/>
    </row>
    <row r="44" spans="1:11" x14ac:dyDescent="0.35">
      <c r="B44" s="44"/>
      <c r="C44" s="307"/>
      <c r="I44" s="43"/>
      <c r="J44" s="43"/>
      <c r="K44" s="43"/>
    </row>
    <row r="45" spans="1:11" x14ac:dyDescent="0.35">
      <c r="B45" s="196"/>
      <c r="C45" s="307"/>
      <c r="I45" s="196"/>
      <c r="J45" s="43"/>
      <c r="K45" s="43"/>
    </row>
    <row r="46" spans="1:11" x14ac:dyDescent="0.35">
      <c r="B46" s="44" t="s">
        <v>384</v>
      </c>
      <c r="C46" s="307"/>
      <c r="I46" s="44" t="s">
        <v>384</v>
      </c>
      <c r="J46" s="43"/>
      <c r="K46" s="43"/>
    </row>
    <row r="47" spans="1:11" x14ac:dyDescent="0.35">
      <c r="B47" s="43"/>
      <c r="C47" s="307"/>
      <c r="I47" s="43"/>
      <c r="J47" s="43"/>
      <c r="K47" s="43"/>
    </row>
    <row r="48" spans="1:11" x14ac:dyDescent="0.35">
      <c r="B48" s="172" t="s">
        <v>144</v>
      </c>
      <c r="C48" s="307"/>
      <c r="I48" s="172" t="s">
        <v>325</v>
      </c>
      <c r="J48" s="43"/>
      <c r="K48" s="173"/>
    </row>
    <row r="49" spans="2:11" x14ac:dyDescent="0.35">
      <c r="B49" s="172"/>
      <c r="C49" s="307"/>
      <c r="I49" s="172"/>
      <c r="J49" s="43"/>
      <c r="K49" s="173"/>
    </row>
    <row r="50" spans="2:11" x14ac:dyDescent="0.35">
      <c r="B50" s="172"/>
      <c r="C50" s="307"/>
      <c r="I50" s="172"/>
      <c r="J50" s="43"/>
      <c r="K50" s="173"/>
    </row>
    <row r="51" spans="2:11" x14ac:dyDescent="0.35">
      <c r="B51" s="44"/>
      <c r="C51" s="307"/>
      <c r="I51" s="44"/>
      <c r="J51" s="43"/>
      <c r="K51" s="44"/>
    </row>
    <row r="52" spans="2:11" x14ac:dyDescent="0.35">
      <c r="B52" s="172" t="s">
        <v>332</v>
      </c>
      <c r="C52" s="307"/>
      <c r="I52" s="53" t="s">
        <v>340</v>
      </c>
      <c r="J52" s="43"/>
      <c r="K52" s="173"/>
    </row>
    <row r="53" spans="2:11" x14ac:dyDescent="0.35">
      <c r="B53" s="172" t="s">
        <v>323</v>
      </c>
      <c r="C53" s="307"/>
      <c r="I53" s="53" t="s">
        <v>343</v>
      </c>
      <c r="J53" s="43"/>
      <c r="K53" s="173"/>
    </row>
  </sheetData>
  <mergeCells count="19">
    <mergeCell ref="K1:L1"/>
    <mergeCell ref="K2:L2"/>
    <mergeCell ref="A9:B9"/>
    <mergeCell ref="A12:A13"/>
    <mergeCell ref="B12:B13"/>
    <mergeCell ref="A31:C31"/>
    <mergeCell ref="A14:A15"/>
    <mergeCell ref="A16:A17"/>
    <mergeCell ref="A18:A19"/>
    <mergeCell ref="A4:K4"/>
    <mergeCell ref="A5:K5"/>
    <mergeCell ref="A6:B6"/>
    <mergeCell ref="A7:B7"/>
    <mergeCell ref="A8:B8"/>
    <mergeCell ref="A20:A21"/>
    <mergeCell ref="A22:A23"/>
    <mergeCell ref="A24:A25"/>
    <mergeCell ref="A26:A27"/>
    <mergeCell ref="A28:A29"/>
  </mergeCells>
  <pageMargins left="0.51181102362204722" right="0.31496062992125984" top="0.74803149606299213" bottom="1.3385826771653544" header="0.31496062992125984" footer="0.31496062992125984"/>
  <pageSetup paperSize="5" scale="90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51"/>
  <sheetViews>
    <sheetView workbookViewId="0">
      <selection activeCell="A5" sqref="A5:B5"/>
    </sheetView>
  </sheetViews>
  <sheetFormatPr defaultRowHeight="14.5" x14ac:dyDescent="0.35"/>
  <cols>
    <col min="1" max="1" width="4.1796875" customWidth="1"/>
    <col min="2" max="2" width="16.453125" customWidth="1"/>
    <col min="3" max="3" width="7" customWidth="1"/>
    <col min="4" max="4" width="3.453125" customWidth="1"/>
    <col min="5" max="5" width="2.26953125" customWidth="1"/>
    <col min="6" max="6" width="4.1796875" customWidth="1"/>
    <col min="7" max="7" width="2.81640625" customWidth="1"/>
    <col min="8" max="8" width="2.26953125" customWidth="1"/>
    <col min="9" max="9" width="3.7265625" customWidth="1"/>
    <col min="10" max="10" width="3.1796875" customWidth="1"/>
    <col min="11" max="11" width="2.1796875" customWidth="1"/>
    <col min="12" max="12" width="4.453125" customWidth="1"/>
    <col min="13" max="13" width="3.54296875" customWidth="1"/>
    <col min="14" max="14" width="2.81640625" customWidth="1"/>
    <col min="15" max="15" width="4" customWidth="1"/>
    <col min="16" max="16" width="3" customWidth="1"/>
    <col min="17" max="17" width="2.1796875" customWidth="1"/>
    <col min="18" max="18" width="4" customWidth="1"/>
    <col min="19" max="19" width="3.54296875" customWidth="1"/>
    <col min="20" max="20" width="2.453125" customWidth="1"/>
    <col min="21" max="21" width="4.26953125" customWidth="1"/>
    <col min="22" max="22" width="3.1796875" customWidth="1"/>
    <col min="23" max="23" width="2.453125" customWidth="1"/>
    <col min="24" max="24" width="3.7265625" customWidth="1"/>
    <col min="25" max="25" width="5" customWidth="1"/>
    <col min="26" max="26" width="3" customWidth="1"/>
    <col min="27" max="27" width="5.26953125" bestFit="1" customWidth="1"/>
    <col min="28" max="28" width="3.453125" customWidth="1"/>
  </cols>
  <sheetData>
    <row r="1" spans="1:35" x14ac:dyDescent="0.35">
      <c r="Y1" s="844" t="s">
        <v>533</v>
      </c>
      <c r="Z1" s="968"/>
      <c r="AA1" s="968"/>
      <c r="AB1" s="845"/>
    </row>
    <row r="2" spans="1:35" x14ac:dyDescent="0.35">
      <c r="Y2" s="929">
        <v>43636</v>
      </c>
      <c r="Z2" s="929"/>
      <c r="AA2" s="929"/>
      <c r="AB2" s="929"/>
    </row>
    <row r="3" spans="1:35" x14ac:dyDescent="0.35">
      <c r="A3" s="960" t="s">
        <v>531</v>
      </c>
      <c r="B3" s="960"/>
      <c r="C3" s="960"/>
      <c r="D3" s="960"/>
      <c r="E3" s="960"/>
      <c r="F3" s="960"/>
      <c r="G3" s="960"/>
      <c r="H3" s="960"/>
      <c r="I3" s="960"/>
      <c r="J3" s="960"/>
      <c r="K3" s="960"/>
      <c r="L3" s="960"/>
      <c r="M3" s="960"/>
      <c r="N3" s="960"/>
      <c r="O3" s="960"/>
      <c r="P3" s="960"/>
      <c r="Q3" s="960"/>
      <c r="R3" s="960"/>
      <c r="S3" s="960"/>
      <c r="T3" s="960"/>
      <c r="U3" s="960"/>
      <c r="V3" s="960"/>
      <c r="W3" s="960"/>
      <c r="X3" s="960"/>
      <c r="Y3" s="960"/>
      <c r="Z3" s="960"/>
      <c r="AA3" s="960"/>
      <c r="AB3" s="960"/>
    </row>
    <row r="4" spans="1:35" x14ac:dyDescent="0.35">
      <c r="A4" s="952" t="s">
        <v>661</v>
      </c>
      <c r="B4" s="952"/>
      <c r="C4" s="332" t="s">
        <v>71</v>
      </c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</row>
    <row r="5" spans="1:35" x14ac:dyDescent="0.35">
      <c r="A5" s="952" t="s">
        <v>40</v>
      </c>
      <c r="B5" s="952"/>
      <c r="C5" s="332" t="s">
        <v>71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</row>
    <row r="6" spans="1:35" x14ac:dyDescent="0.35">
      <c r="A6" s="952" t="s">
        <v>478</v>
      </c>
      <c r="B6" s="952"/>
      <c r="C6" s="332" t="s">
        <v>71</v>
      </c>
      <c r="D6" s="327"/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</row>
    <row r="7" spans="1:35" ht="15" thickBot="1" x14ac:dyDescent="0.4">
      <c r="A7" s="956" t="s">
        <v>111</v>
      </c>
      <c r="B7" s="956"/>
      <c r="C7" s="332" t="s">
        <v>71</v>
      </c>
    </row>
    <row r="8" spans="1:35" x14ac:dyDescent="0.35">
      <c r="A8" s="958" t="s">
        <v>5</v>
      </c>
      <c r="B8" s="958" t="s">
        <v>133</v>
      </c>
      <c r="C8" s="322"/>
      <c r="D8" s="962" t="s">
        <v>500</v>
      </c>
      <c r="E8" s="963"/>
      <c r="F8" s="964"/>
      <c r="G8" s="962" t="s">
        <v>480</v>
      </c>
      <c r="H8" s="963"/>
      <c r="I8" s="964"/>
      <c r="J8" s="962" t="s">
        <v>481</v>
      </c>
      <c r="K8" s="963"/>
      <c r="L8" s="964"/>
      <c r="M8" s="962" t="s">
        <v>482</v>
      </c>
      <c r="N8" s="963"/>
      <c r="O8" s="964"/>
      <c r="P8" s="962" t="s">
        <v>505</v>
      </c>
      <c r="Q8" s="963"/>
      <c r="R8" s="964"/>
      <c r="S8" s="962" t="s">
        <v>507</v>
      </c>
      <c r="T8" s="963"/>
      <c r="U8" s="964"/>
      <c r="V8" s="962" t="s">
        <v>508</v>
      </c>
      <c r="W8" s="963"/>
      <c r="X8" s="964"/>
      <c r="Y8" s="322"/>
      <c r="Z8" s="322"/>
      <c r="AA8" s="958" t="s">
        <v>523</v>
      </c>
      <c r="AB8" s="322"/>
      <c r="AG8" s="952"/>
      <c r="AH8" s="952"/>
      <c r="AI8" s="316"/>
    </row>
    <row r="9" spans="1:35" ht="15" thickBot="1" x14ac:dyDescent="0.4">
      <c r="A9" s="959"/>
      <c r="B9" s="959"/>
      <c r="C9" s="323" t="s">
        <v>370</v>
      </c>
      <c r="D9" s="965" t="s">
        <v>501</v>
      </c>
      <c r="E9" s="966"/>
      <c r="F9" s="967"/>
      <c r="G9" s="965" t="s">
        <v>502</v>
      </c>
      <c r="H9" s="966"/>
      <c r="I9" s="967"/>
      <c r="J9" s="965" t="s">
        <v>503</v>
      </c>
      <c r="K9" s="966"/>
      <c r="L9" s="967"/>
      <c r="M9" s="965" t="s">
        <v>504</v>
      </c>
      <c r="N9" s="966"/>
      <c r="O9" s="967"/>
      <c r="P9" s="965" t="s">
        <v>506</v>
      </c>
      <c r="Q9" s="966"/>
      <c r="R9" s="967"/>
      <c r="S9" s="965"/>
      <c r="T9" s="966"/>
      <c r="U9" s="967"/>
      <c r="V9" s="965" t="s">
        <v>509</v>
      </c>
      <c r="W9" s="966"/>
      <c r="X9" s="967"/>
      <c r="Y9" s="323" t="s">
        <v>510</v>
      </c>
      <c r="Z9" s="323" t="s">
        <v>511</v>
      </c>
      <c r="AA9" s="959"/>
      <c r="AB9" s="323" t="s">
        <v>512</v>
      </c>
      <c r="AG9" s="952"/>
      <c r="AH9" s="952"/>
      <c r="AI9" s="316"/>
    </row>
    <row r="10" spans="1:35" ht="15" thickBot="1" x14ac:dyDescent="0.4">
      <c r="A10" s="961"/>
      <c r="B10" s="961"/>
      <c r="C10" s="324"/>
      <c r="D10" s="325" t="s">
        <v>31</v>
      </c>
      <c r="E10" s="325" t="s">
        <v>3</v>
      </c>
      <c r="F10" s="325" t="s">
        <v>208</v>
      </c>
      <c r="G10" s="325" t="s">
        <v>31</v>
      </c>
      <c r="H10" s="325" t="s">
        <v>3</v>
      </c>
      <c r="I10" s="325" t="s">
        <v>208</v>
      </c>
      <c r="J10" s="325" t="s">
        <v>31</v>
      </c>
      <c r="K10" s="325" t="s">
        <v>3</v>
      </c>
      <c r="L10" s="325" t="s">
        <v>208</v>
      </c>
      <c r="M10" s="325" t="s">
        <v>31</v>
      </c>
      <c r="N10" s="325" t="s">
        <v>3</v>
      </c>
      <c r="O10" s="325" t="s">
        <v>208</v>
      </c>
      <c r="P10" s="325" t="s">
        <v>31</v>
      </c>
      <c r="Q10" s="325" t="s">
        <v>3</v>
      </c>
      <c r="R10" s="325" t="s">
        <v>208</v>
      </c>
      <c r="S10" s="325" t="s">
        <v>31</v>
      </c>
      <c r="T10" s="325" t="s">
        <v>3</v>
      </c>
      <c r="U10" s="325" t="s">
        <v>208</v>
      </c>
      <c r="V10" s="325" t="s">
        <v>31</v>
      </c>
      <c r="W10" s="325" t="s">
        <v>3</v>
      </c>
      <c r="X10" s="325" t="s">
        <v>208</v>
      </c>
      <c r="Y10" s="324"/>
      <c r="Z10" s="324"/>
      <c r="AA10" s="961"/>
      <c r="AB10" s="324"/>
      <c r="AG10" s="952"/>
      <c r="AH10" s="952"/>
    </row>
    <row r="11" spans="1:35" ht="15" thickBot="1" x14ac:dyDescent="0.4">
      <c r="A11" s="958">
        <v>1</v>
      </c>
      <c r="B11" s="958" t="s">
        <v>513</v>
      </c>
      <c r="C11" s="326">
        <v>0.12569444444444444</v>
      </c>
      <c r="D11" s="325">
        <v>90</v>
      </c>
      <c r="E11" s="325">
        <v>2</v>
      </c>
      <c r="F11" s="325">
        <v>180</v>
      </c>
      <c r="G11" s="325">
        <v>80</v>
      </c>
      <c r="H11" s="325">
        <v>1</v>
      </c>
      <c r="I11" s="325">
        <v>80</v>
      </c>
      <c r="J11" s="325"/>
      <c r="K11" s="325"/>
      <c r="L11" s="325"/>
      <c r="M11" s="325">
        <v>80</v>
      </c>
      <c r="N11" s="325">
        <v>3</v>
      </c>
      <c r="O11" s="325">
        <v>240</v>
      </c>
      <c r="P11" s="325"/>
      <c r="Q11" s="325"/>
      <c r="R11" s="325"/>
      <c r="S11" s="325"/>
      <c r="T11" s="325"/>
      <c r="U11" s="325"/>
      <c r="V11" s="325"/>
      <c r="W11" s="325"/>
      <c r="X11" s="325"/>
      <c r="Y11" s="325">
        <v>500</v>
      </c>
      <c r="Z11" s="325">
        <v>6</v>
      </c>
      <c r="AA11" s="325">
        <v>83</v>
      </c>
      <c r="AB11" s="325">
        <v>74</v>
      </c>
      <c r="AG11" s="956"/>
      <c r="AH11" s="956"/>
    </row>
    <row r="12" spans="1:35" ht="15" thickBot="1" x14ac:dyDescent="0.4">
      <c r="A12" s="959"/>
      <c r="B12" s="959"/>
      <c r="C12" s="326">
        <v>0.12638888888888888</v>
      </c>
      <c r="D12" s="325">
        <v>70</v>
      </c>
      <c r="E12" s="325">
        <v>2</v>
      </c>
      <c r="F12" s="325">
        <v>140</v>
      </c>
      <c r="G12" s="325"/>
      <c r="H12" s="325"/>
      <c r="I12" s="325"/>
      <c r="J12" s="325"/>
      <c r="K12" s="325"/>
      <c r="L12" s="325"/>
      <c r="M12" s="325">
        <v>80</v>
      </c>
      <c r="N12" s="325">
        <v>3</v>
      </c>
      <c r="O12" s="325">
        <v>240</v>
      </c>
      <c r="P12" s="325"/>
      <c r="Q12" s="325"/>
      <c r="R12" s="325"/>
      <c r="S12" s="325"/>
      <c r="T12" s="325"/>
      <c r="U12" s="325"/>
      <c r="V12" s="325"/>
      <c r="W12" s="325"/>
      <c r="X12" s="325"/>
      <c r="Y12" s="325">
        <v>380</v>
      </c>
      <c r="Z12" s="325">
        <v>5</v>
      </c>
      <c r="AA12" s="325">
        <v>76</v>
      </c>
      <c r="AB12" s="325"/>
    </row>
    <row r="13" spans="1:35" ht="15" thickBot="1" x14ac:dyDescent="0.4">
      <c r="A13" s="959"/>
      <c r="B13" s="959"/>
      <c r="C13" s="326">
        <v>0.12708333333333333</v>
      </c>
      <c r="D13" s="325"/>
      <c r="E13" s="325"/>
      <c r="F13" s="325"/>
      <c r="G13" s="325">
        <v>70</v>
      </c>
      <c r="H13" s="325">
        <v>1</v>
      </c>
      <c r="I13" s="325">
        <v>70</v>
      </c>
      <c r="J13" s="325">
        <v>80</v>
      </c>
      <c r="K13" s="325">
        <v>2</v>
      </c>
      <c r="L13" s="325">
        <v>160</v>
      </c>
      <c r="M13" s="325">
        <v>80</v>
      </c>
      <c r="N13" s="325">
        <v>3</v>
      </c>
      <c r="O13" s="325">
        <v>240</v>
      </c>
      <c r="P13" s="325"/>
      <c r="Q13" s="325"/>
      <c r="R13" s="325"/>
      <c r="S13" s="325"/>
      <c r="T13" s="325"/>
      <c r="U13" s="325"/>
      <c r="V13" s="325"/>
      <c r="W13" s="325"/>
      <c r="X13" s="325"/>
      <c r="Y13" s="325">
        <v>470</v>
      </c>
      <c r="Z13" s="325">
        <v>6</v>
      </c>
      <c r="AA13" s="325">
        <v>78</v>
      </c>
      <c r="AB13" s="325"/>
    </row>
    <row r="14" spans="1:35" ht="15" thickBot="1" x14ac:dyDescent="0.4">
      <c r="A14" s="959"/>
      <c r="B14" s="959"/>
      <c r="C14" s="326">
        <v>0.1277777777777778</v>
      </c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>
        <v>85</v>
      </c>
      <c r="Q14" s="325">
        <v>1</v>
      </c>
      <c r="R14" s="325">
        <v>85</v>
      </c>
      <c r="S14" s="325">
        <v>60</v>
      </c>
      <c r="T14" s="325">
        <v>2</v>
      </c>
      <c r="U14" s="325">
        <v>120</v>
      </c>
      <c r="V14" s="325">
        <v>60</v>
      </c>
      <c r="W14" s="325">
        <v>3</v>
      </c>
      <c r="X14" s="325">
        <v>180</v>
      </c>
      <c r="Y14" s="325">
        <v>385</v>
      </c>
      <c r="Z14" s="325">
        <v>6</v>
      </c>
      <c r="AA14" s="325">
        <v>64</v>
      </c>
      <c r="AB14" s="325"/>
    </row>
    <row r="15" spans="1:35" ht="15" thickBot="1" x14ac:dyDescent="0.4">
      <c r="A15" s="961"/>
      <c r="B15" s="961"/>
      <c r="C15" s="326">
        <v>0.12847222222222224</v>
      </c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25"/>
      <c r="S15" s="325">
        <v>70</v>
      </c>
      <c r="T15" s="325">
        <v>2</v>
      </c>
      <c r="U15" s="325">
        <v>140</v>
      </c>
      <c r="V15" s="325">
        <v>70</v>
      </c>
      <c r="W15" s="325">
        <v>3</v>
      </c>
      <c r="X15" s="325">
        <v>210</v>
      </c>
      <c r="Y15" s="325">
        <v>350</v>
      </c>
      <c r="Z15" s="325">
        <v>5</v>
      </c>
      <c r="AA15" s="325">
        <v>70</v>
      </c>
      <c r="AB15" s="325"/>
    </row>
    <row r="16" spans="1:35" ht="15" thickBot="1" x14ac:dyDescent="0.4">
      <c r="A16" s="958">
        <v>2</v>
      </c>
      <c r="B16" s="958" t="s">
        <v>514</v>
      </c>
      <c r="C16" s="326">
        <v>0.12569444444444444</v>
      </c>
      <c r="D16" s="325">
        <v>80</v>
      </c>
      <c r="E16" s="325">
        <v>2</v>
      </c>
      <c r="F16" s="325">
        <v>160</v>
      </c>
      <c r="G16" s="325">
        <v>86</v>
      </c>
      <c r="H16" s="325">
        <v>1</v>
      </c>
      <c r="I16" s="325">
        <v>86</v>
      </c>
      <c r="J16" s="325"/>
      <c r="K16" s="325"/>
      <c r="L16" s="325"/>
      <c r="M16" s="325">
        <v>80</v>
      </c>
      <c r="N16" s="325">
        <v>3</v>
      </c>
      <c r="O16" s="325">
        <v>240</v>
      </c>
      <c r="P16" s="325"/>
      <c r="Q16" s="325"/>
      <c r="R16" s="325"/>
      <c r="S16" s="325"/>
      <c r="T16" s="325"/>
      <c r="U16" s="325"/>
      <c r="V16" s="325"/>
      <c r="W16" s="325"/>
      <c r="X16" s="325"/>
      <c r="Y16" s="325">
        <v>486</v>
      </c>
      <c r="Z16" s="325">
        <v>6</v>
      </c>
      <c r="AA16" s="325">
        <v>81</v>
      </c>
      <c r="AB16" s="325">
        <v>80</v>
      </c>
    </row>
    <row r="17" spans="1:28" ht="15" thickBot="1" x14ac:dyDescent="0.4">
      <c r="A17" s="959"/>
      <c r="B17" s="959"/>
      <c r="C17" s="326">
        <v>0.12638888888888888</v>
      </c>
      <c r="D17" s="325">
        <v>80</v>
      </c>
      <c r="E17" s="325">
        <v>2</v>
      </c>
      <c r="F17" s="325">
        <v>160</v>
      </c>
      <c r="G17" s="325"/>
      <c r="H17" s="325"/>
      <c r="I17" s="325"/>
      <c r="J17" s="325"/>
      <c r="K17" s="325"/>
      <c r="L17" s="325"/>
      <c r="M17" s="325">
        <v>80</v>
      </c>
      <c r="N17" s="325">
        <v>3</v>
      </c>
      <c r="O17" s="325">
        <v>240</v>
      </c>
      <c r="P17" s="325"/>
      <c r="Q17" s="325"/>
      <c r="R17" s="325"/>
      <c r="S17" s="325"/>
      <c r="T17" s="325"/>
      <c r="U17" s="325"/>
      <c r="V17" s="325"/>
      <c r="W17" s="325"/>
      <c r="X17" s="325"/>
      <c r="Y17" s="325">
        <v>400</v>
      </c>
      <c r="Z17" s="325">
        <v>5</v>
      </c>
      <c r="AA17" s="325">
        <v>80</v>
      </c>
      <c r="AB17" s="325"/>
    </row>
    <row r="18" spans="1:28" ht="15" thickBot="1" x14ac:dyDescent="0.4">
      <c r="A18" s="959"/>
      <c r="B18" s="959"/>
      <c r="C18" s="326">
        <v>0.12708333333333333</v>
      </c>
      <c r="D18" s="325"/>
      <c r="E18" s="325"/>
      <c r="F18" s="325"/>
      <c r="G18" s="325">
        <v>85</v>
      </c>
      <c r="H18" s="325">
        <v>1</v>
      </c>
      <c r="I18" s="325">
        <v>85</v>
      </c>
      <c r="J18" s="325">
        <v>80</v>
      </c>
      <c r="K18" s="325">
        <v>2</v>
      </c>
      <c r="L18" s="325">
        <v>160</v>
      </c>
      <c r="M18" s="325">
        <v>80</v>
      </c>
      <c r="N18" s="325">
        <v>3</v>
      </c>
      <c r="O18" s="325">
        <v>240</v>
      </c>
      <c r="P18" s="325"/>
      <c r="Q18" s="325"/>
      <c r="R18" s="325"/>
      <c r="S18" s="325"/>
      <c r="T18" s="325"/>
      <c r="U18" s="325"/>
      <c r="V18" s="325"/>
      <c r="W18" s="325"/>
      <c r="X18" s="325"/>
      <c r="Y18" s="325">
        <v>485</v>
      </c>
      <c r="Z18" s="325">
        <v>6</v>
      </c>
      <c r="AA18" s="325">
        <v>81</v>
      </c>
      <c r="AB18" s="325"/>
    </row>
    <row r="19" spans="1:28" ht="15" thickBot="1" x14ac:dyDescent="0.4">
      <c r="A19" s="959"/>
      <c r="B19" s="959"/>
      <c r="C19" s="326">
        <v>0.1277777777777778</v>
      </c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>
        <v>85</v>
      </c>
      <c r="Q19" s="325">
        <v>1</v>
      </c>
      <c r="R19" s="325">
        <v>85</v>
      </c>
      <c r="S19" s="325">
        <v>85</v>
      </c>
      <c r="T19" s="325">
        <v>2</v>
      </c>
      <c r="U19" s="325">
        <v>170</v>
      </c>
      <c r="V19" s="325">
        <v>80</v>
      </c>
      <c r="W19" s="325">
        <v>3</v>
      </c>
      <c r="X19" s="325">
        <v>240</v>
      </c>
      <c r="Y19" s="325">
        <v>495</v>
      </c>
      <c r="Z19" s="325">
        <v>6</v>
      </c>
      <c r="AA19" s="325">
        <v>83</v>
      </c>
      <c r="AB19" s="325"/>
    </row>
    <row r="20" spans="1:28" ht="15" thickBot="1" x14ac:dyDescent="0.4">
      <c r="A20" s="961"/>
      <c r="B20" s="961"/>
      <c r="C20" s="326">
        <v>0.12847222222222224</v>
      </c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>
        <v>70</v>
      </c>
      <c r="T20" s="325">
        <v>2</v>
      </c>
      <c r="U20" s="325">
        <v>140</v>
      </c>
      <c r="V20" s="325">
        <v>80</v>
      </c>
      <c r="W20" s="325">
        <v>3</v>
      </c>
      <c r="X20" s="325">
        <v>240</v>
      </c>
      <c r="Y20" s="325">
        <v>380</v>
      </c>
      <c r="Z20" s="325">
        <v>5</v>
      </c>
      <c r="AA20" s="325">
        <v>76</v>
      </c>
      <c r="AB20" s="325"/>
    </row>
    <row r="21" spans="1:28" ht="15" thickBot="1" x14ac:dyDescent="0.4">
      <c r="A21" s="958">
        <v>3</v>
      </c>
      <c r="B21" s="958" t="s">
        <v>515</v>
      </c>
      <c r="C21" s="326">
        <v>0.12569444444444444</v>
      </c>
      <c r="D21" s="325">
        <v>90</v>
      </c>
      <c r="E21" s="325">
        <v>2</v>
      </c>
      <c r="F21" s="325">
        <v>180</v>
      </c>
      <c r="G21" s="325">
        <v>80</v>
      </c>
      <c r="H21" s="325">
        <v>1</v>
      </c>
      <c r="I21" s="325">
        <v>80</v>
      </c>
      <c r="J21" s="325"/>
      <c r="K21" s="325"/>
      <c r="L21" s="325"/>
      <c r="M21" s="325">
        <v>80</v>
      </c>
      <c r="N21" s="325">
        <v>3</v>
      </c>
      <c r="O21" s="325">
        <v>240</v>
      </c>
      <c r="P21" s="325"/>
      <c r="Q21" s="325"/>
      <c r="R21" s="325"/>
      <c r="S21" s="325"/>
      <c r="T21" s="325"/>
      <c r="U21" s="325"/>
      <c r="V21" s="325"/>
      <c r="W21" s="325"/>
      <c r="X21" s="325"/>
      <c r="Y21" s="325">
        <v>500</v>
      </c>
      <c r="Z21" s="325">
        <v>6</v>
      </c>
      <c r="AA21" s="325">
        <v>83</v>
      </c>
      <c r="AB21" s="325">
        <v>82</v>
      </c>
    </row>
    <row r="22" spans="1:28" ht="15" thickBot="1" x14ac:dyDescent="0.4">
      <c r="A22" s="959"/>
      <c r="B22" s="959"/>
      <c r="C22" s="326">
        <v>0.12638888888888888</v>
      </c>
      <c r="D22" s="325">
        <v>90</v>
      </c>
      <c r="E22" s="325">
        <v>2</v>
      </c>
      <c r="F22" s="325">
        <v>180</v>
      </c>
      <c r="G22" s="325"/>
      <c r="H22" s="325"/>
      <c r="I22" s="325"/>
      <c r="J22" s="325"/>
      <c r="K22" s="325"/>
      <c r="L22" s="325"/>
      <c r="M22" s="325">
        <v>80</v>
      </c>
      <c r="N22" s="325">
        <v>3</v>
      </c>
      <c r="O22" s="325">
        <v>240</v>
      </c>
      <c r="P22" s="325"/>
      <c r="Q22" s="325"/>
      <c r="R22" s="325"/>
      <c r="S22" s="325"/>
      <c r="T22" s="325"/>
      <c r="U22" s="325"/>
      <c r="V22" s="325"/>
      <c r="W22" s="325"/>
      <c r="X22" s="325"/>
      <c r="Y22" s="325">
        <v>420</v>
      </c>
      <c r="Z22" s="325">
        <v>5</v>
      </c>
      <c r="AA22" s="325">
        <v>84</v>
      </c>
      <c r="AB22" s="325"/>
    </row>
    <row r="23" spans="1:28" ht="15" thickBot="1" x14ac:dyDescent="0.4">
      <c r="A23" s="959"/>
      <c r="B23" s="959"/>
      <c r="C23" s="326">
        <v>0.12708333333333333</v>
      </c>
      <c r="D23" s="325"/>
      <c r="E23" s="325"/>
      <c r="F23" s="325"/>
      <c r="G23" s="325">
        <v>80</v>
      </c>
      <c r="H23" s="325">
        <v>1</v>
      </c>
      <c r="I23" s="325">
        <v>80</v>
      </c>
      <c r="J23" s="325">
        <v>75</v>
      </c>
      <c r="K23" s="325">
        <v>2</v>
      </c>
      <c r="L23" s="325">
        <v>150</v>
      </c>
      <c r="M23" s="325">
        <v>80</v>
      </c>
      <c r="N23" s="325">
        <v>3</v>
      </c>
      <c r="O23" s="325">
        <v>240</v>
      </c>
      <c r="P23" s="325"/>
      <c r="Q23" s="325"/>
      <c r="R23" s="325"/>
      <c r="S23" s="325"/>
      <c r="T23" s="325"/>
      <c r="U23" s="325"/>
      <c r="V23" s="325"/>
      <c r="W23" s="325"/>
      <c r="X23" s="325"/>
      <c r="Y23" s="325">
        <v>470</v>
      </c>
      <c r="Z23" s="325">
        <v>6</v>
      </c>
      <c r="AA23" s="325">
        <v>78</v>
      </c>
      <c r="AB23" s="325"/>
    </row>
    <row r="24" spans="1:28" ht="15" thickBot="1" x14ac:dyDescent="0.4">
      <c r="A24" s="959"/>
      <c r="B24" s="959"/>
      <c r="C24" s="326">
        <v>0.1277777777777778</v>
      </c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>
        <v>85</v>
      </c>
      <c r="Q24" s="325">
        <v>1</v>
      </c>
      <c r="R24" s="325">
        <v>85</v>
      </c>
      <c r="S24" s="325">
        <v>80</v>
      </c>
      <c r="T24" s="325">
        <v>2</v>
      </c>
      <c r="U24" s="325">
        <v>160</v>
      </c>
      <c r="V24" s="325">
        <v>85</v>
      </c>
      <c r="W24" s="325">
        <v>3</v>
      </c>
      <c r="X24" s="325">
        <v>255</v>
      </c>
      <c r="Y24" s="325">
        <v>500</v>
      </c>
      <c r="Z24" s="325">
        <v>6</v>
      </c>
      <c r="AA24" s="325">
        <v>83</v>
      </c>
      <c r="AB24" s="325"/>
    </row>
    <row r="25" spans="1:28" x14ac:dyDescent="0.35">
      <c r="A25" s="959"/>
      <c r="B25" s="959"/>
      <c r="C25" s="328">
        <v>0.12847222222222224</v>
      </c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>
        <v>80</v>
      </c>
      <c r="T25" s="323">
        <v>2</v>
      </c>
      <c r="U25" s="323">
        <v>160</v>
      </c>
      <c r="V25" s="323">
        <v>80</v>
      </c>
      <c r="W25" s="323">
        <v>3</v>
      </c>
      <c r="X25" s="323">
        <v>240</v>
      </c>
      <c r="Y25" s="323">
        <v>400</v>
      </c>
      <c r="Z25" s="323">
        <v>5</v>
      </c>
      <c r="AA25" s="323">
        <v>80</v>
      </c>
      <c r="AB25" s="323"/>
    </row>
    <row r="26" spans="1:28" x14ac:dyDescent="0.35">
      <c r="A26" s="314" t="s">
        <v>447</v>
      </c>
      <c r="B26" s="314"/>
      <c r="C26" s="314"/>
      <c r="D26" s="314"/>
      <c r="E26" s="314"/>
      <c r="F26" s="314"/>
      <c r="G26" s="314"/>
      <c r="H26" s="314"/>
      <c r="I26" s="314"/>
      <c r="J26" s="314"/>
      <c r="K26" s="314"/>
      <c r="L26" s="314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  <c r="AB26" s="314"/>
    </row>
    <row r="28" spans="1:28" x14ac:dyDescent="0.35">
      <c r="A28" s="952" t="s">
        <v>17</v>
      </c>
      <c r="B28" s="952"/>
    </row>
    <row r="29" spans="1:28" x14ac:dyDescent="0.35">
      <c r="A29" s="317" t="s">
        <v>516</v>
      </c>
      <c r="C29" s="317" t="s">
        <v>517</v>
      </c>
    </row>
    <row r="30" spans="1:28" x14ac:dyDescent="0.35">
      <c r="A30" s="317" t="s">
        <v>518</v>
      </c>
      <c r="C30" s="317" t="s">
        <v>522</v>
      </c>
    </row>
    <row r="31" spans="1:28" x14ac:dyDescent="0.35">
      <c r="A31" s="317" t="s">
        <v>519</v>
      </c>
      <c r="C31" s="317" t="s">
        <v>520</v>
      </c>
    </row>
    <row r="32" spans="1:28" x14ac:dyDescent="0.35">
      <c r="C32" s="317" t="s">
        <v>521</v>
      </c>
    </row>
    <row r="37" spans="1:21" x14ac:dyDescent="0.35">
      <c r="S37" s="43" t="s">
        <v>400</v>
      </c>
      <c r="T37" s="43"/>
      <c r="U37" s="43"/>
    </row>
    <row r="38" spans="1:21" x14ac:dyDescent="0.35">
      <c r="A38" s="43" t="s">
        <v>34</v>
      </c>
      <c r="B38" s="307"/>
      <c r="S38" s="43"/>
      <c r="T38" s="43"/>
      <c r="U38" s="43"/>
    </row>
    <row r="39" spans="1:21" x14ac:dyDescent="0.35">
      <c r="A39" s="44" t="s">
        <v>331</v>
      </c>
      <c r="B39" s="307"/>
      <c r="S39" s="43" t="s">
        <v>43</v>
      </c>
      <c r="T39" s="43"/>
      <c r="U39" s="43"/>
    </row>
    <row r="40" spans="1:21" x14ac:dyDescent="0.35">
      <c r="A40" s="44"/>
      <c r="B40" s="307"/>
      <c r="S40" s="43"/>
      <c r="T40" s="43"/>
      <c r="U40" s="43"/>
    </row>
    <row r="41" spans="1:21" x14ac:dyDescent="0.35">
      <c r="A41" s="44"/>
      <c r="B41" s="307"/>
      <c r="S41" s="175"/>
      <c r="T41" s="43"/>
      <c r="U41" s="43"/>
    </row>
    <row r="42" spans="1:21" x14ac:dyDescent="0.35">
      <c r="A42" s="44"/>
      <c r="B42" s="307"/>
      <c r="S42" s="43"/>
      <c r="T42" s="43"/>
      <c r="U42" s="43"/>
    </row>
    <row r="43" spans="1:21" x14ac:dyDescent="0.35">
      <c r="A43" s="196"/>
      <c r="B43" s="307"/>
      <c r="S43" s="196"/>
      <c r="T43" s="43"/>
      <c r="U43" s="43"/>
    </row>
    <row r="44" spans="1:21" x14ac:dyDescent="0.35">
      <c r="A44" s="44" t="s">
        <v>384</v>
      </c>
      <c r="B44" s="307"/>
      <c r="S44" s="44" t="s">
        <v>384</v>
      </c>
      <c r="T44" s="43"/>
      <c r="U44" s="43"/>
    </row>
    <row r="45" spans="1:21" x14ac:dyDescent="0.35">
      <c r="A45" s="43"/>
      <c r="B45" s="307"/>
      <c r="S45" s="43"/>
      <c r="T45" s="43"/>
      <c r="U45" s="43"/>
    </row>
    <row r="46" spans="1:21" x14ac:dyDescent="0.35">
      <c r="A46" s="172" t="s">
        <v>144</v>
      </c>
      <c r="B46" s="307"/>
      <c r="S46" s="172" t="s">
        <v>325</v>
      </c>
      <c r="T46" s="43"/>
      <c r="U46" s="173"/>
    </row>
    <row r="47" spans="1:21" x14ac:dyDescent="0.35">
      <c r="A47" s="172"/>
      <c r="B47" s="307"/>
      <c r="S47" s="172"/>
      <c r="T47" s="43"/>
      <c r="U47" s="173"/>
    </row>
    <row r="48" spans="1:21" x14ac:dyDescent="0.35">
      <c r="A48" s="172"/>
      <c r="B48" s="307"/>
      <c r="S48" s="172"/>
      <c r="T48" s="43"/>
      <c r="U48" s="173"/>
    </row>
    <row r="49" spans="1:21" x14ac:dyDescent="0.35">
      <c r="A49" s="44"/>
      <c r="B49" s="307"/>
      <c r="S49" s="44"/>
      <c r="T49" s="43"/>
      <c r="U49" s="44"/>
    </row>
    <row r="50" spans="1:21" x14ac:dyDescent="0.35">
      <c r="A50" s="172" t="s">
        <v>332</v>
      </c>
      <c r="B50" s="307"/>
      <c r="S50" s="53" t="s">
        <v>340</v>
      </c>
      <c r="T50" s="43"/>
      <c r="U50" s="173"/>
    </row>
    <row r="51" spans="1:21" x14ac:dyDescent="0.35">
      <c r="A51" s="172" t="s">
        <v>323</v>
      </c>
      <c r="B51" s="307"/>
      <c r="S51" s="53" t="s">
        <v>343</v>
      </c>
      <c r="T51" s="43"/>
      <c r="U51" s="173"/>
    </row>
  </sheetData>
  <mergeCells count="34">
    <mergeCell ref="AG11:AH11"/>
    <mergeCell ref="A4:B4"/>
    <mergeCell ref="A5:B5"/>
    <mergeCell ref="A6:B6"/>
    <mergeCell ref="A7:B7"/>
    <mergeCell ref="P8:R8"/>
    <mergeCell ref="P9:R9"/>
    <mergeCell ref="A8:A10"/>
    <mergeCell ref="B8:B10"/>
    <mergeCell ref="D8:F8"/>
    <mergeCell ref="D9:F9"/>
    <mergeCell ref="G8:I8"/>
    <mergeCell ref="G9:I9"/>
    <mergeCell ref="Y1:AB1"/>
    <mergeCell ref="Y2:AB2"/>
    <mergeCell ref="AG8:AH8"/>
    <mergeCell ref="AG9:AH9"/>
    <mergeCell ref="AG10:AH10"/>
    <mergeCell ref="A21:A25"/>
    <mergeCell ref="B21:B25"/>
    <mergeCell ref="A28:B28"/>
    <mergeCell ref="A3:AB3"/>
    <mergeCell ref="AA8:AA10"/>
    <mergeCell ref="S8:U9"/>
    <mergeCell ref="V8:X8"/>
    <mergeCell ref="V9:X9"/>
    <mergeCell ref="A11:A15"/>
    <mergeCell ref="B11:B15"/>
    <mergeCell ref="A16:A20"/>
    <mergeCell ref="B16:B20"/>
    <mergeCell ref="J8:L8"/>
    <mergeCell ref="J9:L9"/>
    <mergeCell ref="M8:O8"/>
    <mergeCell ref="M9:O9"/>
  </mergeCells>
  <pageMargins left="0.31496062992125984" right="0.31496062992125984" top="0.74803149606299213" bottom="1.3385826771653544" header="0.31496062992125984" footer="0.31496062992125984"/>
  <pageSetup paperSize="5" scale="90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56"/>
  <sheetViews>
    <sheetView workbookViewId="0">
      <selection activeCell="A5" sqref="A5:B5"/>
    </sheetView>
  </sheetViews>
  <sheetFormatPr defaultRowHeight="14.5" x14ac:dyDescent="0.35"/>
  <cols>
    <col min="1" max="1" width="4" customWidth="1"/>
    <col min="2" max="2" width="27.453125" customWidth="1"/>
    <col min="3" max="3" width="8.453125" customWidth="1"/>
    <col min="4" max="4" width="3.26953125" customWidth="1"/>
    <col min="5" max="5" width="2.453125" customWidth="1"/>
    <col min="6" max="6" width="3.54296875" customWidth="1"/>
    <col min="7" max="7" width="3" customWidth="1"/>
    <col min="8" max="8" width="2.26953125" customWidth="1"/>
    <col min="9" max="9" width="3.453125" customWidth="1"/>
    <col min="10" max="10" width="3.81640625" customWidth="1"/>
    <col min="11" max="11" width="2.453125" customWidth="1"/>
    <col min="12" max="12" width="3.54296875" customWidth="1"/>
    <col min="13" max="13" width="3.26953125" customWidth="1"/>
    <col min="14" max="14" width="2.1796875" customWidth="1"/>
    <col min="15" max="15" width="3.81640625" customWidth="1"/>
    <col min="16" max="16" width="3.7265625" customWidth="1"/>
    <col min="17" max="17" width="2.1796875" customWidth="1"/>
    <col min="18" max="18" width="3.81640625" customWidth="1"/>
    <col min="19" max="19" width="2.81640625" customWidth="1"/>
    <col min="20" max="20" width="2.26953125" customWidth="1"/>
    <col min="21" max="21" width="3.453125" customWidth="1"/>
    <col min="22" max="22" width="3.7265625" customWidth="1"/>
    <col min="23" max="23" width="1.81640625" customWidth="1"/>
    <col min="24" max="24" width="3.453125" customWidth="1"/>
    <col min="25" max="25" width="4.453125" customWidth="1"/>
    <col min="26" max="26" width="3.453125" customWidth="1"/>
    <col min="27" max="27" width="4.1796875" customWidth="1"/>
    <col min="28" max="28" width="5.26953125" customWidth="1"/>
  </cols>
  <sheetData>
    <row r="1" spans="1:28" x14ac:dyDescent="0.35">
      <c r="Y1" s="844" t="s">
        <v>534</v>
      </c>
      <c r="Z1" s="968"/>
      <c r="AA1" s="968"/>
      <c r="AB1" s="845"/>
    </row>
    <row r="2" spans="1:28" x14ac:dyDescent="0.35">
      <c r="Y2" s="929">
        <v>43636</v>
      </c>
      <c r="Z2" s="929"/>
      <c r="AA2" s="929"/>
      <c r="AB2" s="929"/>
    </row>
    <row r="3" spans="1:28" x14ac:dyDescent="0.35">
      <c r="A3" s="960" t="s">
        <v>532</v>
      </c>
      <c r="B3" s="960"/>
      <c r="C3" s="960"/>
      <c r="D3" s="960"/>
      <c r="E3" s="960"/>
      <c r="F3" s="960"/>
      <c r="G3" s="960"/>
      <c r="H3" s="960"/>
      <c r="I3" s="960"/>
      <c r="J3" s="960"/>
      <c r="K3" s="960"/>
      <c r="L3" s="960"/>
      <c r="M3" s="960"/>
      <c r="N3" s="960"/>
      <c r="O3" s="960"/>
      <c r="P3" s="960"/>
      <c r="Q3" s="960"/>
      <c r="R3" s="960"/>
      <c r="S3" s="960"/>
      <c r="T3" s="960"/>
      <c r="U3" s="960"/>
      <c r="V3" s="960"/>
      <c r="W3" s="960"/>
      <c r="X3" s="960"/>
      <c r="Y3" s="960"/>
      <c r="Z3" s="960"/>
      <c r="AA3" s="960"/>
      <c r="AB3" s="960"/>
    </row>
    <row r="4" spans="1:28" x14ac:dyDescent="0.35">
      <c r="A4" s="952" t="s">
        <v>661</v>
      </c>
      <c r="B4" s="952"/>
      <c r="C4" s="332" t="s">
        <v>71</v>
      </c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7"/>
    </row>
    <row r="5" spans="1:28" x14ac:dyDescent="0.35">
      <c r="A5" s="952" t="s">
        <v>40</v>
      </c>
      <c r="B5" s="952"/>
      <c r="C5" s="332" t="s">
        <v>71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R5" s="327"/>
      <c r="S5" s="327"/>
      <c r="T5" s="327"/>
      <c r="U5" s="327"/>
      <c r="V5" s="327"/>
      <c r="W5" s="327"/>
      <c r="X5" s="327"/>
      <c r="Y5" s="327"/>
      <c r="Z5" s="327"/>
      <c r="AA5" s="327"/>
      <c r="AB5" s="327"/>
    </row>
    <row r="6" spans="1:28" x14ac:dyDescent="0.35">
      <c r="A6" s="952" t="s">
        <v>478</v>
      </c>
      <c r="B6" s="952"/>
      <c r="C6" s="332" t="s">
        <v>71</v>
      </c>
      <c r="D6" s="327"/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</row>
    <row r="7" spans="1:28" ht="15" thickBot="1" x14ac:dyDescent="0.4">
      <c r="A7" s="956" t="s">
        <v>111</v>
      </c>
      <c r="B7" s="956"/>
      <c r="C7" s="332" t="s">
        <v>71</v>
      </c>
    </row>
    <row r="8" spans="1:28" ht="15" customHeight="1" x14ac:dyDescent="0.35">
      <c r="A8" s="958" t="s">
        <v>5</v>
      </c>
      <c r="B8" s="958" t="s">
        <v>133</v>
      </c>
      <c r="C8" s="958" t="s">
        <v>370</v>
      </c>
      <c r="D8" s="975" t="s">
        <v>484</v>
      </c>
      <c r="E8" s="976"/>
      <c r="F8" s="977"/>
      <c r="G8" s="975" t="s">
        <v>485</v>
      </c>
      <c r="H8" s="976"/>
      <c r="I8" s="977"/>
      <c r="J8" s="969" t="s">
        <v>526</v>
      </c>
      <c r="K8" s="970"/>
      <c r="L8" s="971"/>
      <c r="M8" s="975" t="s">
        <v>486</v>
      </c>
      <c r="N8" s="976"/>
      <c r="O8" s="977"/>
      <c r="P8" s="969" t="s">
        <v>526</v>
      </c>
      <c r="Q8" s="970"/>
      <c r="R8" s="971"/>
      <c r="S8" s="975" t="s">
        <v>529</v>
      </c>
      <c r="T8" s="976"/>
      <c r="U8" s="977"/>
      <c r="V8" s="969" t="s">
        <v>526</v>
      </c>
      <c r="W8" s="970"/>
      <c r="X8" s="971"/>
      <c r="Y8" s="329"/>
      <c r="Z8" s="329"/>
      <c r="AA8" s="958" t="s">
        <v>523</v>
      </c>
      <c r="AB8" s="329"/>
    </row>
    <row r="9" spans="1:28" ht="15.75" customHeight="1" thickBot="1" x14ac:dyDescent="0.4">
      <c r="A9" s="959"/>
      <c r="B9" s="959"/>
      <c r="C9" s="959"/>
      <c r="D9" s="978" t="s">
        <v>524</v>
      </c>
      <c r="E9" s="979"/>
      <c r="F9" s="980"/>
      <c r="G9" s="978" t="s">
        <v>525</v>
      </c>
      <c r="H9" s="979"/>
      <c r="I9" s="980"/>
      <c r="J9" s="972" t="s">
        <v>527</v>
      </c>
      <c r="K9" s="973"/>
      <c r="L9" s="974"/>
      <c r="M9" s="978" t="s">
        <v>528</v>
      </c>
      <c r="N9" s="979"/>
      <c r="O9" s="980"/>
      <c r="P9" s="972" t="s">
        <v>528</v>
      </c>
      <c r="Q9" s="973"/>
      <c r="R9" s="974"/>
      <c r="S9" s="978" t="s">
        <v>530</v>
      </c>
      <c r="T9" s="979"/>
      <c r="U9" s="980"/>
      <c r="V9" s="972" t="s">
        <v>530</v>
      </c>
      <c r="W9" s="973"/>
      <c r="X9" s="974"/>
      <c r="Y9" s="330" t="s">
        <v>510</v>
      </c>
      <c r="Z9" s="330" t="s">
        <v>511</v>
      </c>
      <c r="AA9" s="959"/>
      <c r="AB9" s="330" t="s">
        <v>512</v>
      </c>
    </row>
    <row r="10" spans="1:28" ht="15" thickBot="1" x14ac:dyDescent="0.4">
      <c r="A10" s="961"/>
      <c r="B10" s="961"/>
      <c r="C10" s="961"/>
      <c r="D10" s="325" t="s">
        <v>31</v>
      </c>
      <c r="E10" s="325" t="s">
        <v>3</v>
      </c>
      <c r="F10" s="325" t="s">
        <v>208</v>
      </c>
      <c r="G10" s="325" t="s">
        <v>31</v>
      </c>
      <c r="H10" s="325" t="s">
        <v>3</v>
      </c>
      <c r="I10" s="325" t="s">
        <v>208</v>
      </c>
      <c r="J10" s="325" t="s">
        <v>1</v>
      </c>
      <c r="K10" s="325" t="s">
        <v>3</v>
      </c>
      <c r="L10" s="325" t="s">
        <v>208</v>
      </c>
      <c r="M10" s="325" t="s">
        <v>31</v>
      </c>
      <c r="N10" s="325" t="s">
        <v>3</v>
      </c>
      <c r="O10" s="325" t="s">
        <v>208</v>
      </c>
      <c r="P10" s="325" t="s">
        <v>1</v>
      </c>
      <c r="Q10" s="325" t="s">
        <v>3</v>
      </c>
      <c r="R10" s="325" t="s">
        <v>208</v>
      </c>
      <c r="S10" s="325" t="s">
        <v>31</v>
      </c>
      <c r="T10" s="325" t="s">
        <v>3</v>
      </c>
      <c r="U10" s="325" t="s">
        <v>208</v>
      </c>
      <c r="V10" s="325" t="s">
        <v>1</v>
      </c>
      <c r="W10" s="325" t="s">
        <v>3</v>
      </c>
      <c r="X10" s="325" t="s">
        <v>208</v>
      </c>
      <c r="Y10" s="324"/>
      <c r="Z10" s="324"/>
      <c r="AA10" s="961"/>
      <c r="AB10" s="324"/>
    </row>
    <row r="11" spans="1:28" ht="15" thickBot="1" x14ac:dyDescent="0.4">
      <c r="A11" s="958">
        <v>1</v>
      </c>
      <c r="B11" s="958" t="s">
        <v>513</v>
      </c>
      <c r="C11" s="326">
        <v>0.12569444444444444</v>
      </c>
      <c r="D11" s="325">
        <v>80</v>
      </c>
      <c r="E11" s="325">
        <v>1</v>
      </c>
      <c r="F11" s="325">
        <v>80</v>
      </c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>
        <v>80</v>
      </c>
      <c r="Z11" s="325">
        <v>1</v>
      </c>
      <c r="AA11" s="325">
        <v>80</v>
      </c>
      <c r="AB11" s="325">
        <v>82</v>
      </c>
    </row>
    <row r="12" spans="1:28" ht="15" thickBot="1" x14ac:dyDescent="0.4">
      <c r="A12" s="959"/>
      <c r="B12" s="959"/>
      <c r="C12" s="326">
        <v>0.12638888888888888</v>
      </c>
      <c r="D12" s="325"/>
      <c r="E12" s="325"/>
      <c r="F12" s="325"/>
      <c r="G12" s="325">
        <v>80</v>
      </c>
      <c r="H12" s="325">
        <v>1</v>
      </c>
      <c r="I12" s="325">
        <v>80</v>
      </c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>
        <v>80</v>
      </c>
      <c r="Z12" s="325">
        <v>1</v>
      </c>
      <c r="AA12" s="325">
        <v>80</v>
      </c>
      <c r="AB12" s="325"/>
    </row>
    <row r="13" spans="1:28" ht="15" thickBot="1" x14ac:dyDescent="0.4">
      <c r="A13" s="959"/>
      <c r="B13" s="959"/>
      <c r="C13" s="326">
        <v>0.12708333333333333</v>
      </c>
      <c r="D13" s="325"/>
      <c r="E13" s="325"/>
      <c r="F13" s="325"/>
      <c r="G13" s="325"/>
      <c r="H13" s="325"/>
      <c r="I13" s="325"/>
      <c r="J13" s="325">
        <v>80</v>
      </c>
      <c r="K13" s="325">
        <v>1</v>
      </c>
      <c r="L13" s="325">
        <v>80</v>
      </c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>
        <v>80</v>
      </c>
      <c r="Z13" s="325">
        <v>1</v>
      </c>
      <c r="AA13" s="325">
        <v>80</v>
      </c>
      <c r="AB13" s="325"/>
    </row>
    <row r="14" spans="1:28" ht="15" thickBot="1" x14ac:dyDescent="0.4">
      <c r="A14" s="959"/>
      <c r="B14" s="959"/>
      <c r="C14" s="326">
        <v>0.1277777777777778</v>
      </c>
      <c r="D14" s="325"/>
      <c r="E14" s="325"/>
      <c r="F14" s="325"/>
      <c r="G14" s="325"/>
      <c r="H14" s="325"/>
      <c r="I14" s="325"/>
      <c r="J14" s="325"/>
      <c r="K14" s="325"/>
      <c r="L14" s="325"/>
      <c r="M14" s="325">
        <v>80</v>
      </c>
      <c r="N14" s="325">
        <v>2</v>
      </c>
      <c r="O14" s="325">
        <v>160</v>
      </c>
      <c r="P14" s="325">
        <v>80</v>
      </c>
      <c r="Q14" s="325">
        <v>2</v>
      </c>
      <c r="R14" s="325">
        <v>160</v>
      </c>
      <c r="S14" s="325"/>
      <c r="T14" s="325"/>
      <c r="U14" s="325"/>
      <c r="V14" s="325"/>
      <c r="W14" s="325"/>
      <c r="X14" s="325"/>
      <c r="Y14" s="325">
        <v>80</v>
      </c>
      <c r="Z14" s="325">
        <v>2</v>
      </c>
      <c r="AA14" s="325">
        <v>160</v>
      </c>
      <c r="AB14" s="325"/>
    </row>
    <row r="15" spans="1:28" ht="15" thickBot="1" x14ac:dyDescent="0.4">
      <c r="A15" s="961"/>
      <c r="B15" s="961"/>
      <c r="C15" s="326">
        <v>0.12847222222222224</v>
      </c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31"/>
      <c r="S15" s="325">
        <v>90</v>
      </c>
      <c r="T15" s="325">
        <v>1</v>
      </c>
      <c r="U15" s="325">
        <v>90</v>
      </c>
      <c r="V15" s="325">
        <v>90</v>
      </c>
      <c r="W15" s="325">
        <v>1</v>
      </c>
      <c r="X15" s="325">
        <v>90</v>
      </c>
      <c r="Y15" s="325">
        <v>90</v>
      </c>
      <c r="Z15" s="325">
        <v>1</v>
      </c>
      <c r="AA15" s="325">
        <v>90</v>
      </c>
      <c r="AB15" s="325"/>
    </row>
    <row r="16" spans="1:28" ht="15" thickBot="1" x14ac:dyDescent="0.4">
      <c r="A16" s="958">
        <v>2</v>
      </c>
      <c r="B16" s="958" t="s">
        <v>514</v>
      </c>
      <c r="C16" s="326">
        <v>0.12569444444444444</v>
      </c>
      <c r="D16" s="325">
        <v>80</v>
      </c>
      <c r="E16" s="325">
        <v>1</v>
      </c>
      <c r="F16" s="325">
        <v>80</v>
      </c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>
        <v>80</v>
      </c>
      <c r="Z16" s="325">
        <v>1</v>
      </c>
      <c r="AA16" s="325">
        <v>80</v>
      </c>
      <c r="AB16" s="325">
        <v>78</v>
      </c>
    </row>
    <row r="17" spans="1:28" ht="15" thickBot="1" x14ac:dyDescent="0.4">
      <c r="A17" s="959"/>
      <c r="B17" s="959"/>
      <c r="C17" s="326">
        <v>0.12638888888888888</v>
      </c>
      <c r="D17" s="325"/>
      <c r="E17" s="325"/>
      <c r="F17" s="325"/>
      <c r="G17" s="325">
        <v>80</v>
      </c>
      <c r="H17" s="325">
        <v>1</v>
      </c>
      <c r="I17" s="325">
        <v>80</v>
      </c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>
        <v>80</v>
      </c>
      <c r="Z17" s="325">
        <v>1</v>
      </c>
      <c r="AA17" s="325">
        <v>80</v>
      </c>
      <c r="AB17" s="325"/>
    </row>
    <row r="18" spans="1:28" ht="15" thickBot="1" x14ac:dyDescent="0.4">
      <c r="A18" s="959"/>
      <c r="B18" s="959"/>
      <c r="C18" s="326">
        <v>0.12708333333333333</v>
      </c>
      <c r="D18" s="325"/>
      <c r="E18" s="325"/>
      <c r="F18" s="325"/>
      <c r="G18" s="325"/>
      <c r="H18" s="325"/>
      <c r="I18" s="325"/>
      <c r="J18" s="325">
        <v>80</v>
      </c>
      <c r="K18" s="325">
        <v>1</v>
      </c>
      <c r="L18" s="325">
        <v>80</v>
      </c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>
        <v>80</v>
      </c>
      <c r="Z18" s="325">
        <v>1</v>
      </c>
      <c r="AA18" s="325">
        <v>80</v>
      </c>
      <c r="AB18" s="325"/>
    </row>
    <row r="19" spans="1:28" ht="15" thickBot="1" x14ac:dyDescent="0.4">
      <c r="A19" s="959"/>
      <c r="B19" s="959"/>
      <c r="C19" s="326">
        <v>0.1277777777777778</v>
      </c>
      <c r="D19" s="325"/>
      <c r="E19" s="325"/>
      <c r="F19" s="325"/>
      <c r="G19" s="325"/>
      <c r="H19" s="325"/>
      <c r="I19" s="325"/>
      <c r="J19" s="325"/>
      <c r="K19" s="325"/>
      <c r="L19" s="325"/>
      <c r="M19" s="325">
        <v>80</v>
      </c>
      <c r="N19" s="325">
        <v>2</v>
      </c>
      <c r="O19" s="325">
        <v>160</v>
      </c>
      <c r="P19" s="325">
        <v>75</v>
      </c>
      <c r="Q19" s="325">
        <v>2</v>
      </c>
      <c r="R19" s="325">
        <v>150</v>
      </c>
      <c r="S19" s="325"/>
      <c r="T19" s="325"/>
      <c r="U19" s="325"/>
      <c r="V19" s="325"/>
      <c r="W19" s="325"/>
      <c r="X19" s="325"/>
      <c r="Y19" s="325">
        <v>75</v>
      </c>
      <c r="Z19" s="325">
        <v>2</v>
      </c>
      <c r="AA19" s="325">
        <v>150</v>
      </c>
      <c r="AB19" s="325"/>
    </row>
    <row r="20" spans="1:28" ht="15" thickBot="1" x14ac:dyDescent="0.4">
      <c r="A20" s="961"/>
      <c r="B20" s="961"/>
      <c r="C20" s="326">
        <v>0.12847222222222224</v>
      </c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31"/>
      <c r="S20" s="325">
        <v>80</v>
      </c>
      <c r="T20" s="325">
        <v>1</v>
      </c>
      <c r="U20" s="325">
        <v>80</v>
      </c>
      <c r="V20" s="325">
        <v>80</v>
      </c>
      <c r="W20" s="325">
        <v>1</v>
      </c>
      <c r="X20" s="325">
        <v>80</v>
      </c>
      <c r="Y20" s="325">
        <v>80</v>
      </c>
      <c r="Z20" s="325">
        <v>1</v>
      </c>
      <c r="AA20" s="325">
        <v>80</v>
      </c>
      <c r="AB20" s="325"/>
    </row>
    <row r="21" spans="1:28" ht="15" thickBot="1" x14ac:dyDescent="0.4">
      <c r="A21" s="958">
        <v>3</v>
      </c>
      <c r="B21" s="958" t="s">
        <v>515</v>
      </c>
      <c r="C21" s="326">
        <v>0.12569444444444444</v>
      </c>
      <c r="D21" s="325">
        <v>85</v>
      </c>
      <c r="E21" s="325">
        <v>1</v>
      </c>
      <c r="F21" s="325">
        <v>85</v>
      </c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>
        <v>85</v>
      </c>
      <c r="Z21" s="325">
        <v>1</v>
      </c>
      <c r="AA21" s="325">
        <v>85</v>
      </c>
      <c r="AB21" s="325">
        <v>84</v>
      </c>
    </row>
    <row r="22" spans="1:28" ht="15" thickBot="1" x14ac:dyDescent="0.4">
      <c r="A22" s="959"/>
      <c r="B22" s="959"/>
      <c r="C22" s="326">
        <v>0.12638888888888888</v>
      </c>
      <c r="D22" s="325"/>
      <c r="E22" s="325"/>
      <c r="F22" s="325"/>
      <c r="G22" s="325">
        <v>80</v>
      </c>
      <c r="H22" s="325">
        <v>1</v>
      </c>
      <c r="I22" s="325">
        <v>80</v>
      </c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>
        <v>80</v>
      </c>
      <c r="Z22" s="325">
        <v>1</v>
      </c>
      <c r="AA22" s="325">
        <v>80</v>
      </c>
      <c r="AB22" s="325"/>
    </row>
    <row r="23" spans="1:28" ht="15" thickBot="1" x14ac:dyDescent="0.4">
      <c r="A23" s="959"/>
      <c r="B23" s="959"/>
      <c r="C23" s="326">
        <v>0.12708333333333333</v>
      </c>
      <c r="D23" s="325"/>
      <c r="E23" s="325"/>
      <c r="F23" s="325"/>
      <c r="G23" s="325"/>
      <c r="H23" s="325"/>
      <c r="I23" s="325"/>
      <c r="J23" s="325">
        <v>90</v>
      </c>
      <c r="K23" s="325">
        <v>1</v>
      </c>
      <c r="L23" s="325">
        <v>90</v>
      </c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>
        <v>90</v>
      </c>
      <c r="Z23" s="325">
        <v>1</v>
      </c>
      <c r="AA23" s="325">
        <v>90</v>
      </c>
      <c r="AB23" s="325"/>
    </row>
    <row r="24" spans="1:28" ht="15" thickBot="1" x14ac:dyDescent="0.4">
      <c r="A24" s="959"/>
      <c r="B24" s="959"/>
      <c r="C24" s="326">
        <v>0.1277777777777778</v>
      </c>
      <c r="D24" s="325"/>
      <c r="E24" s="325"/>
      <c r="F24" s="325"/>
      <c r="G24" s="325"/>
      <c r="H24" s="325"/>
      <c r="I24" s="325"/>
      <c r="J24" s="325"/>
      <c r="K24" s="325"/>
      <c r="L24" s="325"/>
      <c r="M24" s="325">
        <v>80</v>
      </c>
      <c r="N24" s="325">
        <v>2</v>
      </c>
      <c r="O24" s="325">
        <v>160</v>
      </c>
      <c r="P24" s="325">
        <v>80</v>
      </c>
      <c r="Q24" s="325">
        <v>2</v>
      </c>
      <c r="R24" s="325">
        <v>160</v>
      </c>
      <c r="S24" s="325"/>
      <c r="T24" s="325"/>
      <c r="U24" s="325"/>
      <c r="V24" s="325"/>
      <c r="W24" s="325"/>
      <c r="X24" s="325"/>
      <c r="Y24" s="325">
        <v>80</v>
      </c>
      <c r="Z24" s="325">
        <v>2</v>
      </c>
      <c r="AA24" s="325">
        <v>160</v>
      </c>
      <c r="AB24" s="325"/>
    </row>
    <row r="25" spans="1:28" ht="15" thickBot="1" x14ac:dyDescent="0.4">
      <c r="A25" s="961"/>
      <c r="B25" s="961"/>
      <c r="C25" s="326">
        <v>0.12847222222222224</v>
      </c>
      <c r="D25" s="325"/>
      <c r="E25" s="325"/>
      <c r="F25" s="325"/>
      <c r="G25" s="325"/>
      <c r="H25" s="325"/>
      <c r="I25" s="325"/>
      <c r="J25" s="325"/>
      <c r="K25" s="325"/>
      <c r="L25" s="325"/>
      <c r="M25" s="325"/>
      <c r="N25" s="325"/>
      <c r="O25" s="325"/>
      <c r="P25" s="325"/>
      <c r="Q25" s="325"/>
      <c r="R25" s="331"/>
      <c r="S25" s="325">
        <v>90</v>
      </c>
      <c r="T25" s="325">
        <v>1</v>
      </c>
      <c r="U25" s="325">
        <v>90</v>
      </c>
      <c r="V25" s="325">
        <v>90</v>
      </c>
      <c r="W25" s="325">
        <v>1</v>
      </c>
      <c r="X25" s="325">
        <v>90</v>
      </c>
      <c r="Y25" s="325">
        <v>90</v>
      </c>
      <c r="Z25" s="325">
        <v>1</v>
      </c>
      <c r="AA25" s="325">
        <v>90</v>
      </c>
      <c r="AB25" s="325"/>
    </row>
    <row r="27" spans="1:28" x14ac:dyDescent="0.35">
      <c r="A27" s="952" t="s">
        <v>17</v>
      </c>
      <c r="B27" s="952"/>
    </row>
    <row r="28" spans="1:28" x14ac:dyDescent="0.35">
      <c r="A28" s="317" t="s">
        <v>516</v>
      </c>
      <c r="C28" s="317" t="s">
        <v>517</v>
      </c>
    </row>
    <row r="29" spans="1:28" x14ac:dyDescent="0.35">
      <c r="A29" s="317" t="s">
        <v>518</v>
      </c>
      <c r="C29" s="317" t="s">
        <v>522</v>
      </c>
    </row>
    <row r="30" spans="1:28" x14ac:dyDescent="0.35">
      <c r="A30" s="317" t="s">
        <v>519</v>
      </c>
      <c r="C30" s="317" t="s">
        <v>520</v>
      </c>
    </row>
    <row r="31" spans="1:28" x14ac:dyDescent="0.35">
      <c r="C31" s="317" t="s">
        <v>521</v>
      </c>
    </row>
    <row r="36" spans="1:28" x14ac:dyDescent="0.35">
      <c r="S36" s="43" t="s">
        <v>400</v>
      </c>
      <c r="T36" s="43"/>
      <c r="U36" s="43"/>
    </row>
    <row r="37" spans="1:28" x14ac:dyDescent="0.35">
      <c r="A37" s="43" t="s">
        <v>34</v>
      </c>
      <c r="B37" s="307"/>
      <c r="S37" s="43"/>
      <c r="T37" s="43"/>
      <c r="U37" s="43"/>
    </row>
    <row r="38" spans="1:28" x14ac:dyDescent="0.35">
      <c r="A38" s="44" t="s">
        <v>331</v>
      </c>
      <c r="B38" s="307"/>
      <c r="S38" s="43" t="s">
        <v>43</v>
      </c>
      <c r="T38" s="43"/>
      <c r="U38" s="43"/>
      <c r="AB38" s="333"/>
    </row>
    <row r="39" spans="1:28" x14ac:dyDescent="0.35">
      <c r="A39" s="44"/>
      <c r="B39" s="307"/>
      <c r="S39" s="43"/>
      <c r="T39" s="43"/>
      <c r="U39" s="43"/>
    </row>
    <row r="40" spans="1:28" x14ac:dyDescent="0.35">
      <c r="A40" s="44"/>
      <c r="B40" s="307"/>
      <c r="S40" s="175"/>
      <c r="T40" s="43"/>
      <c r="U40" s="43"/>
    </row>
    <row r="41" spans="1:28" x14ac:dyDescent="0.35">
      <c r="A41" s="44"/>
      <c r="B41" s="307"/>
      <c r="S41" s="43"/>
      <c r="T41" s="43"/>
      <c r="U41" s="43"/>
    </row>
    <row r="42" spans="1:28" x14ac:dyDescent="0.35">
      <c r="A42" s="196"/>
      <c r="B42" s="307"/>
      <c r="S42" s="196"/>
      <c r="T42" s="43"/>
      <c r="U42" s="43"/>
    </row>
    <row r="43" spans="1:28" x14ac:dyDescent="0.35">
      <c r="A43" s="44" t="s">
        <v>384</v>
      </c>
      <c r="B43" s="307"/>
      <c r="S43" s="44" t="s">
        <v>384</v>
      </c>
      <c r="T43" s="43"/>
      <c r="U43" s="43"/>
    </row>
    <row r="44" spans="1:28" x14ac:dyDescent="0.35">
      <c r="A44" s="43"/>
      <c r="B44" s="307"/>
      <c r="S44" s="43"/>
      <c r="T44" s="43"/>
      <c r="U44" s="43"/>
    </row>
    <row r="45" spans="1:28" x14ac:dyDescent="0.35">
      <c r="A45" s="172" t="s">
        <v>144</v>
      </c>
      <c r="B45" s="307"/>
      <c r="S45" s="172" t="s">
        <v>325</v>
      </c>
      <c r="T45" s="43"/>
      <c r="U45" s="173"/>
    </row>
    <row r="46" spans="1:28" x14ac:dyDescent="0.35">
      <c r="A46" s="172"/>
      <c r="B46" s="307"/>
      <c r="S46" s="172"/>
      <c r="T46" s="43"/>
      <c r="U46" s="173"/>
    </row>
    <row r="47" spans="1:28" x14ac:dyDescent="0.35">
      <c r="A47" s="172"/>
      <c r="B47" s="307"/>
      <c r="S47" s="172"/>
      <c r="T47" s="43"/>
      <c r="U47" s="173"/>
    </row>
    <row r="48" spans="1:28" x14ac:dyDescent="0.35">
      <c r="A48" s="44"/>
      <c r="B48" s="307"/>
      <c r="S48" s="44"/>
      <c r="T48" s="43"/>
      <c r="U48" s="44"/>
    </row>
    <row r="49" spans="1:21" x14ac:dyDescent="0.35">
      <c r="A49" s="172" t="s">
        <v>332</v>
      </c>
      <c r="B49" s="307"/>
      <c r="S49" s="53" t="s">
        <v>340</v>
      </c>
      <c r="T49" s="43"/>
      <c r="U49" s="173"/>
    </row>
    <row r="50" spans="1:21" x14ac:dyDescent="0.35">
      <c r="A50" s="172" t="s">
        <v>323</v>
      </c>
      <c r="B50" s="307"/>
      <c r="S50" s="53" t="s">
        <v>343</v>
      </c>
      <c r="T50" s="43"/>
      <c r="U50" s="173"/>
    </row>
    <row r="54" spans="1:21" x14ac:dyDescent="0.35">
      <c r="B54" t="s">
        <v>656</v>
      </c>
    </row>
    <row r="55" spans="1:21" x14ac:dyDescent="0.35">
      <c r="B55" t="s">
        <v>657</v>
      </c>
      <c r="C55" t="s">
        <v>659</v>
      </c>
    </row>
    <row r="56" spans="1:21" x14ac:dyDescent="0.35">
      <c r="B56" t="s">
        <v>658</v>
      </c>
      <c r="C56" t="s">
        <v>660</v>
      </c>
    </row>
  </sheetData>
  <mergeCells count="32">
    <mergeCell ref="Y2:AB2"/>
    <mergeCell ref="A27:B27"/>
    <mergeCell ref="Y1:AB1"/>
    <mergeCell ref="A3:AB3"/>
    <mergeCell ref="A4:B4"/>
    <mergeCell ref="A5:B5"/>
    <mergeCell ref="A6:B6"/>
    <mergeCell ref="A7:B7"/>
    <mergeCell ref="C8:C10"/>
    <mergeCell ref="AA8:AA10"/>
    <mergeCell ref="A16:A20"/>
    <mergeCell ref="B16:B20"/>
    <mergeCell ref="A21:A25"/>
    <mergeCell ref="B21:B25"/>
    <mergeCell ref="S8:U8"/>
    <mergeCell ref="S9:U9"/>
    <mergeCell ref="V8:X8"/>
    <mergeCell ref="V9:X9"/>
    <mergeCell ref="A11:A15"/>
    <mergeCell ref="B11:B15"/>
    <mergeCell ref="J8:L8"/>
    <mergeCell ref="J9:L9"/>
    <mergeCell ref="M8:O8"/>
    <mergeCell ref="M9:O9"/>
    <mergeCell ref="P8:R8"/>
    <mergeCell ref="P9:R9"/>
    <mergeCell ref="A8:A10"/>
    <mergeCell ref="B8:B10"/>
    <mergeCell ref="D8:F8"/>
    <mergeCell ref="D9:F9"/>
    <mergeCell ref="G8:I8"/>
    <mergeCell ref="G9:I9"/>
  </mergeCells>
  <pageMargins left="0.31496062992125984" right="0.31496062992125984" top="0.35433070866141736" bottom="1.3385826771653544" header="0.31496062992125984" footer="0.31496062992125984"/>
  <pageSetup paperSize="5" scale="80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73"/>
  <sheetViews>
    <sheetView topLeftCell="A19" workbookViewId="0">
      <selection activeCell="A10" sqref="A10"/>
    </sheetView>
  </sheetViews>
  <sheetFormatPr defaultRowHeight="14.5" x14ac:dyDescent="0.35"/>
  <cols>
    <col min="1" max="1" width="6.1796875" customWidth="1"/>
    <col min="2" max="2" width="44.81640625" customWidth="1"/>
    <col min="3" max="3" width="64.1796875" customWidth="1"/>
    <col min="4" max="4" width="3.26953125" customWidth="1"/>
    <col min="5" max="5" width="3.453125" customWidth="1"/>
    <col min="6" max="7" width="3.1796875" customWidth="1"/>
    <col min="8" max="8" width="2.81640625" customWidth="1"/>
    <col min="9" max="9" width="3.7265625" customWidth="1"/>
  </cols>
  <sheetData>
    <row r="1" spans="1:10" x14ac:dyDescent="0.35">
      <c r="G1" s="844" t="s">
        <v>455</v>
      </c>
      <c r="H1" s="968"/>
      <c r="I1" s="968"/>
      <c r="J1" s="845"/>
    </row>
    <row r="2" spans="1:10" x14ac:dyDescent="0.35">
      <c r="G2" s="929">
        <v>45117</v>
      </c>
      <c r="H2" s="929"/>
      <c r="I2" s="929"/>
      <c r="J2" s="929"/>
    </row>
    <row r="4" spans="1:10" x14ac:dyDescent="0.35">
      <c r="A4" s="987" t="s">
        <v>610</v>
      </c>
      <c r="B4" s="987"/>
      <c r="C4" s="987"/>
      <c r="D4" s="987"/>
      <c r="E4" s="987"/>
      <c r="F4" s="987"/>
      <c r="G4" s="987"/>
      <c r="H4" s="987"/>
      <c r="I4" s="987"/>
      <c r="J4" s="987"/>
    </row>
    <row r="5" spans="1:10" x14ac:dyDescent="0.35">
      <c r="A5" s="952" t="s">
        <v>611</v>
      </c>
      <c r="B5" s="952"/>
      <c r="C5" t="s">
        <v>71</v>
      </c>
      <c r="D5" s="316"/>
      <c r="E5" s="337"/>
      <c r="F5" s="337"/>
      <c r="G5" s="337"/>
      <c r="H5" s="337"/>
      <c r="I5" s="337"/>
      <c r="J5" s="337"/>
    </row>
    <row r="6" spans="1:10" x14ac:dyDescent="0.35">
      <c r="A6" s="952" t="s">
        <v>319</v>
      </c>
      <c r="B6" s="952"/>
      <c r="C6" s="332" t="s">
        <v>71</v>
      </c>
      <c r="D6" s="337"/>
      <c r="E6" s="337"/>
      <c r="F6" s="337"/>
      <c r="G6" s="337"/>
      <c r="H6" s="337"/>
      <c r="I6" s="337"/>
      <c r="J6" s="337"/>
    </row>
    <row r="7" spans="1:10" x14ac:dyDescent="0.35">
      <c r="A7" s="952" t="s">
        <v>40</v>
      </c>
      <c r="B7" s="952"/>
      <c r="C7" s="332" t="s">
        <v>71</v>
      </c>
      <c r="D7" s="337"/>
      <c r="E7" s="337"/>
      <c r="F7" s="337"/>
      <c r="G7" s="337"/>
      <c r="H7" s="337"/>
      <c r="I7" s="337"/>
      <c r="J7" s="337"/>
    </row>
    <row r="8" spans="1:10" x14ac:dyDescent="0.35">
      <c r="A8" s="952" t="s">
        <v>478</v>
      </c>
      <c r="B8" s="952"/>
      <c r="C8" s="332" t="s">
        <v>71</v>
      </c>
    </row>
    <row r="9" spans="1:10" x14ac:dyDescent="0.35">
      <c r="A9" s="956" t="s">
        <v>111</v>
      </c>
      <c r="B9" s="956"/>
      <c r="C9" s="332" t="s">
        <v>71</v>
      </c>
    </row>
    <row r="10" spans="1:10" ht="15" thickBot="1" x14ac:dyDescent="0.4">
      <c r="A10" t="s">
        <v>770</v>
      </c>
      <c r="C10" s="332" t="s">
        <v>71</v>
      </c>
    </row>
    <row r="11" spans="1:10" ht="21" customHeight="1" thickBot="1" x14ac:dyDescent="0.4">
      <c r="A11" s="342" t="s">
        <v>1</v>
      </c>
      <c r="B11" s="343" t="s">
        <v>546</v>
      </c>
      <c r="C11" s="343" t="s">
        <v>547</v>
      </c>
      <c r="D11" s="982" t="s">
        <v>548</v>
      </c>
      <c r="E11" s="983"/>
      <c r="F11" s="983"/>
      <c r="G11" s="983"/>
      <c r="H11" s="983"/>
      <c r="I11" s="983"/>
      <c r="J11" s="984"/>
    </row>
    <row r="12" spans="1:10" x14ac:dyDescent="0.35">
      <c r="A12" s="339" t="s">
        <v>30</v>
      </c>
      <c r="B12" s="340" t="s">
        <v>549</v>
      </c>
      <c r="C12" s="341"/>
      <c r="D12" s="339">
        <v>1</v>
      </c>
      <c r="E12" s="339">
        <v>2</v>
      </c>
      <c r="F12" s="339">
        <v>3</v>
      </c>
      <c r="G12" s="339">
        <v>4</v>
      </c>
      <c r="H12" s="339">
        <v>5</v>
      </c>
      <c r="I12" s="339">
        <v>6</v>
      </c>
      <c r="J12" s="339" t="s">
        <v>447</v>
      </c>
    </row>
    <row r="13" spans="1:10" ht="15.75" customHeight="1" x14ac:dyDescent="0.35">
      <c r="A13" s="985"/>
      <c r="B13" s="986" t="s">
        <v>550</v>
      </c>
      <c r="C13" s="335" t="s">
        <v>551</v>
      </c>
      <c r="D13" s="981"/>
      <c r="E13" s="981"/>
      <c r="F13" s="981"/>
      <c r="G13" s="981"/>
      <c r="H13" s="981"/>
      <c r="I13" s="981"/>
      <c r="J13" s="981"/>
    </row>
    <row r="14" spans="1:10" ht="16.5" customHeight="1" x14ac:dyDescent="0.35">
      <c r="A14" s="985"/>
      <c r="B14" s="986"/>
      <c r="C14" s="335" t="s">
        <v>552</v>
      </c>
      <c r="D14" s="981"/>
      <c r="E14" s="981"/>
      <c r="F14" s="981"/>
      <c r="G14" s="981"/>
      <c r="H14" s="981"/>
      <c r="I14" s="981"/>
      <c r="J14" s="981"/>
    </row>
    <row r="15" spans="1:10" ht="31.5" customHeight="1" x14ac:dyDescent="0.35">
      <c r="A15" s="985"/>
      <c r="B15" s="986" t="s">
        <v>553</v>
      </c>
      <c r="C15" s="335" t="s">
        <v>554</v>
      </c>
      <c r="D15" s="981"/>
      <c r="E15" s="981"/>
      <c r="F15" s="981"/>
      <c r="G15" s="981"/>
      <c r="H15" s="981"/>
      <c r="I15" s="981"/>
      <c r="J15" s="981"/>
    </row>
    <row r="16" spans="1:10" ht="24.75" customHeight="1" x14ac:dyDescent="0.35">
      <c r="A16" s="985"/>
      <c r="B16" s="986"/>
      <c r="C16" s="335" t="s">
        <v>555</v>
      </c>
      <c r="D16" s="981"/>
      <c r="E16" s="981"/>
      <c r="F16" s="981"/>
      <c r="G16" s="981"/>
      <c r="H16" s="981"/>
      <c r="I16" s="981"/>
      <c r="J16" s="981"/>
    </row>
    <row r="17" spans="1:10" ht="15" customHeight="1" x14ac:dyDescent="0.35">
      <c r="A17" s="985"/>
      <c r="B17" s="981" t="s">
        <v>556</v>
      </c>
      <c r="C17" s="335" t="s">
        <v>557</v>
      </c>
      <c r="D17" s="981"/>
      <c r="E17" s="981"/>
      <c r="F17" s="981"/>
      <c r="G17" s="981"/>
      <c r="H17" s="981"/>
      <c r="I17" s="981"/>
      <c r="J17" s="981"/>
    </row>
    <row r="18" spans="1:10" ht="17.25" customHeight="1" x14ac:dyDescent="0.35">
      <c r="A18" s="985"/>
      <c r="B18" s="981"/>
      <c r="C18" s="335" t="s">
        <v>558</v>
      </c>
      <c r="D18" s="981"/>
      <c r="E18" s="981"/>
      <c r="F18" s="981"/>
      <c r="G18" s="981"/>
      <c r="H18" s="981"/>
      <c r="I18" s="981"/>
      <c r="J18" s="981"/>
    </row>
    <row r="19" spans="1:10" ht="18" customHeight="1" x14ac:dyDescent="0.35">
      <c r="A19" s="985"/>
      <c r="B19" s="981"/>
      <c r="C19" s="335" t="s">
        <v>559</v>
      </c>
      <c r="D19" s="981"/>
      <c r="E19" s="981"/>
      <c r="F19" s="981"/>
      <c r="G19" s="981"/>
      <c r="H19" s="981"/>
      <c r="I19" s="981"/>
      <c r="J19" s="981"/>
    </row>
    <row r="20" spans="1:10" ht="12.75" customHeight="1" x14ac:dyDescent="0.35">
      <c r="A20" s="985"/>
      <c r="B20" s="981" t="s">
        <v>560</v>
      </c>
      <c r="C20" s="335" t="s">
        <v>561</v>
      </c>
      <c r="D20" s="981"/>
      <c r="E20" s="981"/>
      <c r="F20" s="981"/>
      <c r="G20" s="981"/>
      <c r="H20" s="981"/>
      <c r="I20" s="981"/>
      <c r="J20" s="981"/>
    </row>
    <row r="21" spans="1:10" ht="19.5" customHeight="1" x14ac:dyDescent="0.35">
      <c r="A21" s="985"/>
      <c r="B21" s="981"/>
      <c r="C21" s="335" t="s">
        <v>562</v>
      </c>
      <c r="D21" s="981"/>
      <c r="E21" s="981"/>
      <c r="F21" s="981"/>
      <c r="G21" s="981"/>
      <c r="H21" s="981"/>
      <c r="I21" s="981"/>
      <c r="J21" s="981"/>
    </row>
    <row r="22" spans="1:10" ht="16.5" customHeight="1" x14ac:dyDescent="0.35">
      <c r="A22" s="338" t="s">
        <v>563</v>
      </c>
      <c r="B22" s="335" t="s">
        <v>564</v>
      </c>
      <c r="C22" s="335"/>
      <c r="D22" s="335"/>
      <c r="E22" s="335"/>
      <c r="F22" s="335"/>
      <c r="G22" s="335"/>
      <c r="H22" s="335"/>
      <c r="I22" s="335"/>
      <c r="J22" s="335"/>
    </row>
    <row r="23" spans="1:10" ht="18" customHeight="1" x14ac:dyDescent="0.35">
      <c r="A23" s="985"/>
      <c r="B23" s="981" t="s">
        <v>565</v>
      </c>
      <c r="C23" s="335" t="s">
        <v>566</v>
      </c>
      <c r="D23" s="981"/>
      <c r="E23" s="981"/>
      <c r="F23" s="981"/>
      <c r="G23" s="981"/>
      <c r="H23" s="981"/>
      <c r="I23" s="981"/>
      <c r="J23" s="981"/>
    </row>
    <row r="24" spans="1:10" ht="14.25" customHeight="1" x14ac:dyDescent="0.35">
      <c r="A24" s="985"/>
      <c r="B24" s="981"/>
      <c r="C24" s="335" t="s">
        <v>567</v>
      </c>
      <c r="D24" s="981"/>
      <c r="E24" s="981"/>
      <c r="F24" s="981"/>
      <c r="G24" s="981"/>
      <c r="H24" s="981"/>
      <c r="I24" s="981"/>
      <c r="J24" s="981"/>
    </row>
    <row r="25" spans="1:10" ht="18" customHeight="1" x14ac:dyDescent="0.35">
      <c r="A25" s="985"/>
      <c r="B25" s="981"/>
      <c r="C25" s="335" t="s">
        <v>568</v>
      </c>
      <c r="D25" s="981"/>
      <c r="E25" s="981"/>
      <c r="F25" s="981"/>
      <c r="G25" s="981"/>
      <c r="H25" s="981"/>
      <c r="I25" s="981"/>
      <c r="J25" s="981"/>
    </row>
    <row r="26" spans="1:10" ht="27.75" customHeight="1" x14ac:dyDescent="0.35">
      <c r="A26" s="985"/>
      <c r="B26" s="981" t="s">
        <v>569</v>
      </c>
      <c r="C26" s="335" t="s">
        <v>570</v>
      </c>
      <c r="D26" s="981"/>
      <c r="E26" s="981"/>
      <c r="F26" s="981"/>
      <c r="G26" s="981"/>
      <c r="H26" s="981"/>
      <c r="I26" s="981"/>
      <c r="J26" s="981"/>
    </row>
    <row r="27" spans="1:10" ht="28.5" customHeight="1" x14ac:dyDescent="0.35">
      <c r="A27" s="985"/>
      <c r="B27" s="981"/>
      <c r="C27" s="335" t="s">
        <v>571</v>
      </c>
      <c r="D27" s="981"/>
      <c r="E27" s="981"/>
      <c r="F27" s="981"/>
      <c r="G27" s="981"/>
      <c r="H27" s="981"/>
      <c r="I27" s="981"/>
      <c r="J27" s="981"/>
    </row>
    <row r="28" spans="1:10" ht="27" customHeight="1" x14ac:dyDescent="0.35">
      <c r="A28" s="985"/>
      <c r="B28" s="981" t="s">
        <v>572</v>
      </c>
      <c r="C28" s="335" t="s">
        <v>573</v>
      </c>
      <c r="D28" s="981"/>
      <c r="E28" s="981"/>
      <c r="F28" s="981"/>
      <c r="G28" s="981"/>
      <c r="H28" s="981"/>
      <c r="I28" s="981"/>
      <c r="J28" s="981"/>
    </row>
    <row r="29" spans="1:10" ht="19.5" customHeight="1" x14ac:dyDescent="0.35">
      <c r="A29" s="985"/>
      <c r="B29" s="981"/>
      <c r="C29" s="335" t="s">
        <v>574</v>
      </c>
      <c r="D29" s="981"/>
      <c r="E29" s="981"/>
      <c r="F29" s="981"/>
      <c r="G29" s="981"/>
      <c r="H29" s="981"/>
      <c r="I29" s="981"/>
      <c r="J29" s="981"/>
    </row>
    <row r="30" spans="1:10" ht="24" customHeight="1" x14ac:dyDescent="0.35">
      <c r="A30" s="985"/>
      <c r="B30" s="981" t="s">
        <v>575</v>
      </c>
      <c r="C30" s="335" t="s">
        <v>576</v>
      </c>
      <c r="D30" s="981"/>
      <c r="E30" s="981"/>
      <c r="F30" s="981"/>
      <c r="G30" s="981"/>
      <c r="H30" s="981"/>
      <c r="I30" s="981"/>
      <c r="J30" s="981"/>
    </row>
    <row r="31" spans="1:10" ht="21" customHeight="1" x14ac:dyDescent="0.35">
      <c r="A31" s="985"/>
      <c r="B31" s="981"/>
      <c r="C31" s="335" t="s">
        <v>577</v>
      </c>
      <c r="D31" s="981"/>
      <c r="E31" s="981"/>
      <c r="F31" s="981"/>
      <c r="G31" s="981"/>
      <c r="H31" s="981"/>
      <c r="I31" s="981"/>
      <c r="J31" s="981"/>
    </row>
    <row r="32" spans="1:10" ht="19.5" customHeight="1" x14ac:dyDescent="0.35">
      <c r="A32" s="985"/>
      <c r="B32" s="981" t="s">
        <v>578</v>
      </c>
      <c r="C32" s="335" t="s">
        <v>579</v>
      </c>
      <c r="D32" s="981"/>
      <c r="E32" s="981"/>
      <c r="F32" s="981"/>
      <c r="G32" s="981"/>
      <c r="H32" s="981"/>
      <c r="I32" s="981"/>
      <c r="J32" s="981"/>
    </row>
    <row r="33" spans="1:10" ht="17.25" customHeight="1" x14ac:dyDescent="0.35">
      <c r="A33" s="985"/>
      <c r="B33" s="981"/>
      <c r="C33" s="335" t="s">
        <v>580</v>
      </c>
      <c r="D33" s="981"/>
      <c r="E33" s="981"/>
      <c r="F33" s="981"/>
      <c r="G33" s="981"/>
      <c r="H33" s="981"/>
      <c r="I33" s="981"/>
      <c r="J33" s="981"/>
    </row>
    <row r="34" spans="1:10" ht="27.75" customHeight="1" x14ac:dyDescent="0.35">
      <c r="A34" s="985"/>
      <c r="B34" s="981" t="s">
        <v>581</v>
      </c>
      <c r="C34" s="335" t="s">
        <v>582</v>
      </c>
      <c r="D34" s="981"/>
      <c r="E34" s="981"/>
      <c r="F34" s="981"/>
      <c r="G34" s="981"/>
      <c r="H34" s="981"/>
      <c r="I34" s="981"/>
      <c r="J34" s="981"/>
    </row>
    <row r="35" spans="1:10" ht="72.75" hidden="1" customHeight="1" x14ac:dyDescent="0.35">
      <c r="A35" s="985"/>
      <c r="B35" s="981"/>
      <c r="C35" s="335" t="s">
        <v>583</v>
      </c>
      <c r="D35" s="981"/>
      <c r="E35" s="981"/>
      <c r="F35" s="981"/>
      <c r="G35" s="981"/>
      <c r="H35" s="981"/>
      <c r="I35" s="981"/>
      <c r="J35" s="981"/>
    </row>
    <row r="36" spans="1:10" ht="15" customHeight="1" x14ac:dyDescent="0.35">
      <c r="A36" s="985"/>
      <c r="B36" s="981"/>
      <c r="C36" s="335"/>
      <c r="D36" s="981"/>
      <c r="E36" s="981"/>
      <c r="F36" s="981"/>
      <c r="G36" s="981"/>
      <c r="H36" s="981"/>
      <c r="I36" s="981"/>
      <c r="J36" s="981"/>
    </row>
    <row r="37" spans="1:10" ht="22.5" customHeight="1" x14ac:dyDescent="0.35">
      <c r="A37" s="985"/>
      <c r="B37" s="981" t="s">
        <v>584</v>
      </c>
      <c r="C37" s="335" t="s">
        <v>585</v>
      </c>
      <c r="D37" s="981"/>
      <c r="E37" s="981"/>
      <c r="F37" s="981"/>
      <c r="G37" s="981"/>
      <c r="H37" s="981"/>
      <c r="I37" s="981"/>
      <c r="J37" s="981"/>
    </row>
    <row r="38" spans="1:10" ht="45" customHeight="1" x14ac:dyDescent="0.35">
      <c r="A38" s="985"/>
      <c r="B38" s="981"/>
      <c r="C38" s="335" t="s">
        <v>586</v>
      </c>
      <c r="D38" s="981"/>
      <c r="E38" s="981"/>
      <c r="F38" s="981"/>
      <c r="G38" s="981"/>
      <c r="H38" s="981"/>
      <c r="I38" s="981"/>
      <c r="J38" s="981"/>
    </row>
    <row r="39" spans="1:10" ht="48.75" customHeight="1" x14ac:dyDescent="0.35">
      <c r="A39" s="985"/>
      <c r="B39" s="981"/>
      <c r="C39" s="335" t="s">
        <v>587</v>
      </c>
      <c r="D39" s="981"/>
      <c r="E39" s="981"/>
      <c r="F39" s="981"/>
      <c r="G39" s="981"/>
      <c r="H39" s="981"/>
      <c r="I39" s="981"/>
      <c r="J39" s="981"/>
    </row>
    <row r="40" spans="1:10" ht="18" customHeight="1" x14ac:dyDescent="0.35">
      <c r="A40" s="985"/>
      <c r="B40" s="981" t="s">
        <v>588</v>
      </c>
      <c r="C40" s="335" t="s">
        <v>589</v>
      </c>
      <c r="D40" s="981"/>
      <c r="E40" s="981"/>
      <c r="F40" s="981"/>
      <c r="G40" s="981"/>
      <c r="H40" s="981"/>
      <c r="I40" s="981"/>
      <c r="J40" s="981"/>
    </row>
    <row r="41" spans="1:10" ht="36" customHeight="1" x14ac:dyDescent="0.35">
      <c r="A41" s="985"/>
      <c r="B41" s="981"/>
      <c r="C41" s="335" t="s">
        <v>590</v>
      </c>
      <c r="D41" s="981"/>
      <c r="E41" s="981"/>
      <c r="F41" s="981"/>
      <c r="G41" s="981"/>
      <c r="H41" s="981"/>
      <c r="I41" s="981"/>
      <c r="J41" s="981"/>
    </row>
    <row r="42" spans="1:10" ht="30" customHeight="1" x14ac:dyDescent="0.35">
      <c r="A42" s="985"/>
      <c r="B42" s="981"/>
      <c r="C42" s="335" t="s">
        <v>591</v>
      </c>
      <c r="D42" s="981"/>
      <c r="E42" s="981"/>
      <c r="F42" s="981"/>
      <c r="G42" s="981"/>
      <c r="H42" s="981"/>
      <c r="I42" s="981"/>
      <c r="J42" s="981"/>
    </row>
    <row r="43" spans="1:10" ht="17.25" customHeight="1" x14ac:dyDescent="0.35">
      <c r="A43" s="985"/>
      <c r="B43" s="981" t="s">
        <v>592</v>
      </c>
      <c r="C43" s="335" t="s">
        <v>593</v>
      </c>
      <c r="D43" s="981"/>
      <c r="E43" s="981"/>
      <c r="F43" s="981"/>
      <c r="G43" s="981"/>
      <c r="H43" s="981"/>
      <c r="I43" s="981"/>
      <c r="J43" s="981"/>
    </row>
    <row r="44" spans="1:10" ht="18" customHeight="1" x14ac:dyDescent="0.35">
      <c r="A44" s="985"/>
      <c r="B44" s="981"/>
      <c r="C44" s="335" t="s">
        <v>594</v>
      </c>
      <c r="D44" s="981"/>
      <c r="E44" s="981"/>
      <c r="F44" s="981"/>
      <c r="G44" s="981"/>
      <c r="H44" s="981"/>
      <c r="I44" s="981"/>
      <c r="J44" s="981"/>
    </row>
    <row r="45" spans="1:10" x14ac:dyDescent="0.35">
      <c r="A45" s="338" t="s">
        <v>595</v>
      </c>
      <c r="B45" s="335" t="s">
        <v>596</v>
      </c>
      <c r="C45" s="335"/>
      <c r="D45" s="335"/>
      <c r="E45" s="335"/>
      <c r="F45" s="335"/>
      <c r="G45" s="335"/>
      <c r="H45" s="335"/>
      <c r="I45" s="335"/>
      <c r="J45" s="335"/>
    </row>
    <row r="46" spans="1:10" ht="30.75" customHeight="1" x14ac:dyDescent="0.35">
      <c r="A46" s="985"/>
      <c r="B46" s="981" t="s">
        <v>597</v>
      </c>
      <c r="C46" s="335" t="s">
        <v>598</v>
      </c>
      <c r="D46" s="981"/>
      <c r="E46" s="981"/>
      <c r="F46" s="981"/>
      <c r="G46" s="981"/>
      <c r="H46" s="981"/>
      <c r="I46" s="981"/>
      <c r="J46" s="981"/>
    </row>
    <row r="47" spans="1:10" ht="37.5" customHeight="1" x14ac:dyDescent="0.35">
      <c r="A47" s="985"/>
      <c r="B47" s="981"/>
      <c r="C47" s="335" t="s">
        <v>599</v>
      </c>
      <c r="D47" s="981"/>
      <c r="E47" s="981"/>
      <c r="F47" s="981"/>
      <c r="G47" s="981"/>
      <c r="H47" s="981"/>
      <c r="I47" s="981"/>
      <c r="J47" s="981"/>
    </row>
    <row r="48" spans="1:10" ht="20.25" customHeight="1" x14ac:dyDescent="0.35">
      <c r="A48" s="985"/>
      <c r="B48" s="981" t="s">
        <v>600</v>
      </c>
      <c r="C48" s="335" t="s">
        <v>601</v>
      </c>
      <c r="D48" s="981"/>
      <c r="E48" s="981"/>
      <c r="F48" s="981"/>
      <c r="G48" s="981"/>
      <c r="H48" s="981"/>
      <c r="I48" s="981"/>
      <c r="J48" s="981"/>
    </row>
    <row r="49" spans="1:10" ht="24" customHeight="1" x14ac:dyDescent="0.35">
      <c r="A49" s="985"/>
      <c r="B49" s="981"/>
      <c r="C49" s="335" t="s">
        <v>602</v>
      </c>
      <c r="D49" s="981"/>
      <c r="E49" s="981"/>
      <c r="F49" s="981"/>
      <c r="G49" s="981"/>
      <c r="H49" s="981"/>
      <c r="I49" s="981"/>
      <c r="J49" s="981"/>
    </row>
    <row r="50" spans="1:10" ht="23.25" customHeight="1" x14ac:dyDescent="0.35">
      <c r="A50" s="985"/>
      <c r="B50" s="981"/>
      <c r="C50" s="335" t="s">
        <v>603</v>
      </c>
      <c r="D50" s="981"/>
      <c r="E50" s="981"/>
      <c r="F50" s="981"/>
      <c r="G50" s="981"/>
      <c r="H50" s="981"/>
      <c r="I50" s="981"/>
      <c r="J50" s="981"/>
    </row>
    <row r="51" spans="1:10" ht="18.75" customHeight="1" x14ac:dyDescent="0.35">
      <c r="A51" s="985"/>
      <c r="B51" s="981" t="s">
        <v>604</v>
      </c>
      <c r="C51" s="335" t="s">
        <v>605</v>
      </c>
      <c r="D51" s="981"/>
      <c r="E51" s="981"/>
      <c r="F51" s="981"/>
      <c r="G51" s="981"/>
      <c r="H51" s="981"/>
      <c r="I51" s="981"/>
      <c r="J51" s="981"/>
    </row>
    <row r="52" spans="1:10" ht="18.75" customHeight="1" x14ac:dyDescent="0.35">
      <c r="A52" s="985"/>
      <c r="B52" s="981"/>
      <c r="C52" s="335" t="s">
        <v>606</v>
      </c>
      <c r="D52" s="981"/>
      <c r="E52" s="981"/>
      <c r="F52" s="981"/>
      <c r="G52" s="981"/>
      <c r="H52" s="981"/>
      <c r="I52" s="981"/>
      <c r="J52" s="981"/>
    </row>
    <row r="53" spans="1:10" ht="15.75" customHeight="1" x14ac:dyDescent="0.35">
      <c r="A53" s="985"/>
      <c r="B53" s="981" t="s">
        <v>607</v>
      </c>
      <c r="C53" s="335" t="s">
        <v>608</v>
      </c>
      <c r="D53" s="981"/>
      <c r="E53" s="981"/>
      <c r="F53" s="981"/>
      <c r="G53" s="981"/>
      <c r="H53" s="981"/>
      <c r="I53" s="981"/>
      <c r="J53" s="981"/>
    </row>
    <row r="54" spans="1:10" ht="21.75" customHeight="1" x14ac:dyDescent="0.35">
      <c r="A54" s="985"/>
      <c r="B54" s="981"/>
      <c r="C54" s="335" t="s">
        <v>609</v>
      </c>
      <c r="D54" s="981"/>
      <c r="E54" s="981"/>
      <c r="F54" s="981"/>
      <c r="G54" s="981"/>
      <c r="H54" s="981"/>
      <c r="I54" s="981"/>
      <c r="J54" s="981"/>
    </row>
    <row r="59" spans="1:10" x14ac:dyDescent="0.35">
      <c r="B59" s="43" t="s">
        <v>34</v>
      </c>
      <c r="C59" s="307"/>
      <c r="D59" s="43" t="s">
        <v>674</v>
      </c>
      <c r="E59" s="43"/>
      <c r="F59" s="43"/>
    </row>
    <row r="60" spans="1:10" x14ac:dyDescent="0.35">
      <c r="B60" s="44" t="s">
        <v>331</v>
      </c>
      <c r="C60" s="307"/>
      <c r="D60" s="43"/>
      <c r="E60" s="43"/>
      <c r="F60" s="43"/>
    </row>
    <row r="61" spans="1:10" x14ac:dyDescent="0.35">
      <c r="B61" s="44"/>
      <c r="C61" s="307"/>
      <c r="D61" s="43" t="s">
        <v>43</v>
      </c>
      <c r="E61" s="43"/>
      <c r="F61" s="43"/>
    </row>
    <row r="62" spans="1:10" x14ac:dyDescent="0.35">
      <c r="B62" s="44"/>
      <c r="C62" s="307"/>
      <c r="D62" s="43"/>
      <c r="E62" s="43"/>
      <c r="F62" s="43"/>
    </row>
    <row r="63" spans="1:10" x14ac:dyDescent="0.35">
      <c r="B63" s="44"/>
      <c r="C63" s="307"/>
      <c r="D63" s="175"/>
      <c r="E63" s="43"/>
      <c r="F63" s="43"/>
    </row>
    <row r="64" spans="1:10" x14ac:dyDescent="0.35">
      <c r="B64" s="196"/>
      <c r="C64" s="307"/>
      <c r="D64" s="43"/>
      <c r="E64" s="43"/>
      <c r="F64" s="43"/>
    </row>
    <row r="65" spans="2:6" x14ac:dyDescent="0.35">
      <c r="B65" s="44" t="s">
        <v>384</v>
      </c>
      <c r="C65" s="307"/>
      <c r="D65" s="196"/>
      <c r="E65" s="43"/>
      <c r="F65" s="43"/>
    </row>
    <row r="66" spans="2:6" x14ac:dyDescent="0.35">
      <c r="B66" s="43"/>
      <c r="C66" s="307"/>
      <c r="D66" s="44" t="s">
        <v>384</v>
      </c>
      <c r="E66" s="43"/>
      <c r="F66" s="43"/>
    </row>
    <row r="67" spans="2:6" x14ac:dyDescent="0.35">
      <c r="B67" s="172" t="s">
        <v>144</v>
      </c>
      <c r="C67" s="307"/>
      <c r="D67" s="43"/>
      <c r="E67" s="43"/>
      <c r="F67" s="43"/>
    </row>
    <row r="68" spans="2:6" x14ac:dyDescent="0.35">
      <c r="B68" s="172"/>
      <c r="C68" s="307"/>
      <c r="D68" s="172" t="s">
        <v>325</v>
      </c>
      <c r="E68" s="43"/>
      <c r="F68" s="173"/>
    </row>
    <row r="69" spans="2:6" x14ac:dyDescent="0.35">
      <c r="B69" s="172"/>
      <c r="C69" s="307"/>
      <c r="D69" s="172"/>
      <c r="E69" s="43"/>
      <c r="F69" s="173"/>
    </row>
    <row r="70" spans="2:6" x14ac:dyDescent="0.35">
      <c r="B70" s="44"/>
      <c r="C70" s="307"/>
      <c r="D70" s="172"/>
      <c r="E70" s="43"/>
      <c r="F70" s="173"/>
    </row>
    <row r="71" spans="2:6" x14ac:dyDescent="0.35">
      <c r="B71" s="172" t="s">
        <v>332</v>
      </c>
      <c r="C71" s="307"/>
      <c r="D71" s="44"/>
      <c r="E71" s="43"/>
      <c r="F71" s="44"/>
    </row>
    <row r="72" spans="2:6" x14ac:dyDescent="0.35">
      <c r="B72" s="172" t="s">
        <v>323</v>
      </c>
      <c r="C72" s="307"/>
      <c r="D72" s="53" t="s">
        <v>340</v>
      </c>
      <c r="E72" s="43"/>
      <c r="F72" s="173"/>
    </row>
    <row r="73" spans="2:6" x14ac:dyDescent="0.35">
      <c r="D73" s="53" t="s">
        <v>343</v>
      </c>
      <c r="E73" s="43"/>
      <c r="F73" s="173"/>
    </row>
  </sheetData>
  <mergeCells count="162">
    <mergeCell ref="G1:J1"/>
    <mergeCell ref="G2:J2"/>
    <mergeCell ref="A4:J4"/>
    <mergeCell ref="A6:B6"/>
    <mergeCell ref="A7:B7"/>
    <mergeCell ref="A8:B8"/>
    <mergeCell ref="A9:B9"/>
    <mergeCell ref="A5:B5"/>
    <mergeCell ref="J51:J52"/>
    <mergeCell ref="I48:I50"/>
    <mergeCell ref="J48:J50"/>
    <mergeCell ref="A51:A52"/>
    <mergeCell ref="B51:B52"/>
    <mergeCell ref="D51:D52"/>
    <mergeCell ref="E51:E52"/>
    <mergeCell ref="F51:F52"/>
    <mergeCell ref="G51:G52"/>
    <mergeCell ref="H51:H52"/>
    <mergeCell ref="I51:I52"/>
    <mergeCell ref="H46:H47"/>
    <mergeCell ref="I46:I47"/>
    <mergeCell ref="J46:J47"/>
    <mergeCell ref="A48:A50"/>
    <mergeCell ref="B48:B50"/>
    <mergeCell ref="A53:A54"/>
    <mergeCell ref="B53:B54"/>
    <mergeCell ref="D53:D54"/>
    <mergeCell ref="E53:E54"/>
    <mergeCell ref="F53:F54"/>
    <mergeCell ref="G53:G54"/>
    <mergeCell ref="H53:H54"/>
    <mergeCell ref="I53:I54"/>
    <mergeCell ref="J53:J54"/>
    <mergeCell ref="D48:D50"/>
    <mergeCell ref="E48:E50"/>
    <mergeCell ref="F48:F50"/>
    <mergeCell ref="G48:G50"/>
    <mergeCell ref="H48:H50"/>
    <mergeCell ref="G43:G44"/>
    <mergeCell ref="H43:H44"/>
    <mergeCell ref="I43:I44"/>
    <mergeCell ref="J43:J44"/>
    <mergeCell ref="A46:A47"/>
    <mergeCell ref="B46:B47"/>
    <mergeCell ref="D46:D47"/>
    <mergeCell ref="E46:E47"/>
    <mergeCell ref="F46:F47"/>
    <mergeCell ref="G46:G47"/>
    <mergeCell ref="F40:F42"/>
    <mergeCell ref="G40:G42"/>
    <mergeCell ref="H40:H42"/>
    <mergeCell ref="I40:I42"/>
    <mergeCell ref="J40:J42"/>
    <mergeCell ref="A43:A44"/>
    <mergeCell ref="B43:B44"/>
    <mergeCell ref="D43:D44"/>
    <mergeCell ref="E43:E44"/>
    <mergeCell ref="F43:F44"/>
    <mergeCell ref="J34:J36"/>
    <mergeCell ref="A37:A39"/>
    <mergeCell ref="B37:B39"/>
    <mergeCell ref="D37:D39"/>
    <mergeCell ref="E37:E39"/>
    <mergeCell ref="F37:F39"/>
    <mergeCell ref="G37:G39"/>
    <mergeCell ref="H37:H39"/>
    <mergeCell ref="I37:I39"/>
    <mergeCell ref="J37:J39"/>
    <mergeCell ref="A40:A42"/>
    <mergeCell ref="B40:B42"/>
    <mergeCell ref="D40:D42"/>
    <mergeCell ref="E40:E42"/>
    <mergeCell ref="A34:A36"/>
    <mergeCell ref="B34:B36"/>
    <mergeCell ref="D34:D36"/>
    <mergeCell ref="A32:A33"/>
    <mergeCell ref="B32:B33"/>
    <mergeCell ref="D32:D33"/>
    <mergeCell ref="E32:E33"/>
    <mergeCell ref="F32:F33"/>
    <mergeCell ref="G32:G33"/>
    <mergeCell ref="H32:H33"/>
    <mergeCell ref="A30:A31"/>
    <mergeCell ref="B30:B31"/>
    <mergeCell ref="D30:D31"/>
    <mergeCell ref="E34:E36"/>
    <mergeCell ref="F34:F36"/>
    <mergeCell ref="G34:G36"/>
    <mergeCell ref="H34:H36"/>
    <mergeCell ref="I34:I36"/>
    <mergeCell ref="I32:I33"/>
    <mergeCell ref="H26:H27"/>
    <mergeCell ref="I26:I27"/>
    <mergeCell ref="J26:J27"/>
    <mergeCell ref="I28:I29"/>
    <mergeCell ref="J28:J29"/>
    <mergeCell ref="E30:E31"/>
    <mergeCell ref="F30:F31"/>
    <mergeCell ref="G30:G31"/>
    <mergeCell ref="J32:J33"/>
    <mergeCell ref="H30:H31"/>
    <mergeCell ref="I30:I31"/>
    <mergeCell ref="J30:J31"/>
    <mergeCell ref="G23:G25"/>
    <mergeCell ref="H23:H25"/>
    <mergeCell ref="I23:I25"/>
    <mergeCell ref="J23:J25"/>
    <mergeCell ref="A28:A29"/>
    <mergeCell ref="B28:B29"/>
    <mergeCell ref="D28:D29"/>
    <mergeCell ref="E28:E29"/>
    <mergeCell ref="F28:F29"/>
    <mergeCell ref="G28:G29"/>
    <mergeCell ref="H28:H29"/>
    <mergeCell ref="A26:A27"/>
    <mergeCell ref="B26:B27"/>
    <mergeCell ref="D26:D27"/>
    <mergeCell ref="E26:E27"/>
    <mergeCell ref="F26:F27"/>
    <mergeCell ref="G26:G27"/>
    <mergeCell ref="A23:A25"/>
    <mergeCell ref="B23:B25"/>
    <mergeCell ref="D23:D25"/>
    <mergeCell ref="E23:E25"/>
    <mergeCell ref="F23:F25"/>
    <mergeCell ref="A20:A21"/>
    <mergeCell ref="B20:B21"/>
    <mergeCell ref="D20:D21"/>
    <mergeCell ref="E20:E21"/>
    <mergeCell ref="F20:F21"/>
    <mergeCell ref="A15:A16"/>
    <mergeCell ref="B15:B16"/>
    <mergeCell ref="D15:D16"/>
    <mergeCell ref="E15:E16"/>
    <mergeCell ref="F15:F16"/>
    <mergeCell ref="A17:A19"/>
    <mergeCell ref="B17:B19"/>
    <mergeCell ref="D17:D19"/>
    <mergeCell ref="E17:E19"/>
    <mergeCell ref="D11:J11"/>
    <mergeCell ref="A13:A14"/>
    <mergeCell ref="B13:B14"/>
    <mergeCell ref="D13:D14"/>
    <mergeCell ref="E13:E14"/>
    <mergeCell ref="F13:F14"/>
    <mergeCell ref="G13:G14"/>
    <mergeCell ref="H13:H14"/>
    <mergeCell ref="I13:I14"/>
    <mergeCell ref="J13:J14"/>
    <mergeCell ref="J17:J19"/>
    <mergeCell ref="H15:H16"/>
    <mergeCell ref="I15:I16"/>
    <mergeCell ref="J15:J16"/>
    <mergeCell ref="G20:G21"/>
    <mergeCell ref="H20:H21"/>
    <mergeCell ref="I20:I21"/>
    <mergeCell ref="J20:J21"/>
    <mergeCell ref="F17:F19"/>
    <mergeCell ref="G17:G19"/>
    <mergeCell ref="H17:H19"/>
    <mergeCell ref="G15:G16"/>
    <mergeCell ref="I17:I19"/>
  </mergeCells>
  <pageMargins left="0.51181102362204722" right="0.31496062992125984" top="0.55118110236220474" bottom="1.3385826771653544" header="0.31496062992125984" footer="0.31496062992125984"/>
  <pageSetup paperSize="5" scale="90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8"/>
  <sheetViews>
    <sheetView topLeftCell="A12" workbookViewId="0">
      <selection activeCell="A9" sqref="A9"/>
    </sheetView>
  </sheetViews>
  <sheetFormatPr defaultRowHeight="14.5" x14ac:dyDescent="0.35"/>
  <cols>
    <col min="1" max="1" width="5" customWidth="1"/>
    <col min="2" max="2" width="31.54296875" customWidth="1"/>
    <col min="3" max="3" width="73.81640625" customWidth="1"/>
    <col min="4" max="4" width="5.26953125" customWidth="1"/>
    <col min="5" max="5" width="4.81640625" customWidth="1"/>
    <col min="6" max="6" width="4.26953125" customWidth="1"/>
    <col min="7" max="7" width="4.453125" customWidth="1"/>
    <col min="8" max="9" width="4.81640625" customWidth="1"/>
  </cols>
  <sheetData>
    <row r="1" spans="1:10" x14ac:dyDescent="0.35">
      <c r="G1" s="844" t="s">
        <v>456</v>
      </c>
      <c r="H1" s="968"/>
      <c r="I1" s="968"/>
      <c r="J1" s="845"/>
    </row>
    <row r="2" spans="1:10" x14ac:dyDescent="0.35">
      <c r="G2" s="929">
        <v>45117</v>
      </c>
      <c r="H2" s="929"/>
      <c r="I2" s="929"/>
      <c r="J2" s="929"/>
    </row>
    <row r="3" spans="1:10" x14ac:dyDescent="0.35">
      <c r="A3" s="987" t="s">
        <v>643</v>
      </c>
      <c r="B3" s="987"/>
      <c r="C3" s="987"/>
      <c r="D3" s="987"/>
      <c r="E3" s="987"/>
      <c r="F3" s="987"/>
      <c r="G3" s="987"/>
      <c r="H3" s="987"/>
      <c r="I3" s="987"/>
      <c r="J3" s="987"/>
    </row>
    <row r="4" spans="1:10" x14ac:dyDescent="0.35">
      <c r="A4" s="952" t="s">
        <v>611</v>
      </c>
      <c r="B4" s="952"/>
      <c r="C4" t="s">
        <v>71</v>
      </c>
      <c r="D4" s="316"/>
      <c r="E4" s="337"/>
      <c r="F4" s="337"/>
      <c r="G4" s="337"/>
      <c r="H4" s="337"/>
      <c r="I4" s="337"/>
      <c r="J4" s="337"/>
    </row>
    <row r="5" spans="1:10" x14ac:dyDescent="0.35">
      <c r="A5" s="952" t="s">
        <v>319</v>
      </c>
      <c r="B5" s="952"/>
      <c r="C5" s="332" t="s">
        <v>71</v>
      </c>
      <c r="D5" s="337"/>
      <c r="E5" s="337"/>
      <c r="F5" s="337"/>
      <c r="G5" s="337"/>
      <c r="H5" s="337"/>
      <c r="I5" s="337"/>
      <c r="J5" s="337"/>
    </row>
    <row r="6" spans="1:10" x14ac:dyDescent="0.35">
      <c r="A6" s="952" t="s">
        <v>40</v>
      </c>
      <c r="B6" s="952"/>
      <c r="C6" s="332" t="s">
        <v>71</v>
      </c>
      <c r="D6" s="337"/>
      <c r="E6" s="337"/>
      <c r="F6" s="337"/>
      <c r="G6" s="337"/>
      <c r="H6" s="337"/>
      <c r="I6" s="337"/>
      <c r="J6" s="337"/>
    </row>
    <row r="7" spans="1:10" x14ac:dyDescent="0.35">
      <c r="A7" s="952" t="s">
        <v>478</v>
      </c>
      <c r="B7" s="952"/>
      <c r="C7" s="332" t="s">
        <v>71</v>
      </c>
    </row>
    <row r="8" spans="1:10" x14ac:dyDescent="0.35">
      <c r="A8" s="956" t="s">
        <v>111</v>
      </c>
      <c r="B8" s="956"/>
      <c r="C8" s="332" t="s">
        <v>71</v>
      </c>
    </row>
    <row r="9" spans="1:10" ht="15" thickBot="1" x14ac:dyDescent="0.4">
      <c r="A9" t="s">
        <v>770</v>
      </c>
      <c r="C9" s="332" t="s">
        <v>71</v>
      </c>
    </row>
    <row r="10" spans="1:10" ht="22.5" customHeight="1" thickBot="1" x14ac:dyDescent="0.4">
      <c r="A10" s="346" t="s">
        <v>1</v>
      </c>
      <c r="B10" s="347" t="s">
        <v>546</v>
      </c>
      <c r="C10" s="347" t="s">
        <v>547</v>
      </c>
      <c r="D10" s="988" t="s">
        <v>548</v>
      </c>
      <c r="E10" s="989"/>
      <c r="F10" s="989"/>
      <c r="G10" s="989"/>
      <c r="H10" s="989"/>
      <c r="I10" s="989"/>
      <c r="J10" s="990"/>
    </row>
    <row r="11" spans="1:10" x14ac:dyDescent="0.35">
      <c r="A11" s="339" t="s">
        <v>30</v>
      </c>
      <c r="B11" s="340" t="s">
        <v>549</v>
      </c>
      <c r="C11" s="341"/>
      <c r="D11" s="339">
        <v>1</v>
      </c>
      <c r="E11" s="339">
        <v>2</v>
      </c>
      <c r="F11" s="339">
        <v>3</v>
      </c>
      <c r="G11" s="339">
        <v>4</v>
      </c>
      <c r="H11" s="339">
        <v>5</v>
      </c>
      <c r="I11" s="339">
        <v>6</v>
      </c>
      <c r="J11" s="339" t="s">
        <v>447</v>
      </c>
    </row>
    <row r="12" spans="1:10" ht="21" customHeight="1" x14ac:dyDescent="0.35">
      <c r="A12" s="985"/>
      <c r="B12" s="991" t="s">
        <v>612</v>
      </c>
      <c r="C12" s="335" t="s">
        <v>551</v>
      </c>
      <c r="D12" s="981"/>
      <c r="E12" s="981"/>
      <c r="F12" s="981"/>
      <c r="G12" s="981"/>
      <c r="H12" s="981"/>
      <c r="I12" s="981"/>
      <c r="J12" s="981"/>
    </row>
    <row r="13" spans="1:10" ht="16.5" customHeight="1" x14ac:dyDescent="0.35">
      <c r="A13" s="985"/>
      <c r="B13" s="991"/>
      <c r="C13" s="335" t="s">
        <v>552</v>
      </c>
      <c r="D13" s="981"/>
      <c r="E13" s="981"/>
      <c r="F13" s="981"/>
      <c r="G13" s="981"/>
      <c r="H13" s="981"/>
      <c r="I13" s="981"/>
      <c r="J13" s="981"/>
    </row>
    <row r="14" spans="1:10" ht="30.75" customHeight="1" x14ac:dyDescent="0.35">
      <c r="A14" s="985"/>
      <c r="B14" s="992" t="s">
        <v>613</v>
      </c>
      <c r="C14" s="335" t="s">
        <v>554</v>
      </c>
      <c r="D14" s="981"/>
      <c r="E14" s="981"/>
      <c r="F14" s="981"/>
      <c r="G14" s="981"/>
      <c r="H14" s="981"/>
      <c r="I14" s="981"/>
      <c r="J14" s="981"/>
    </row>
    <row r="15" spans="1:10" ht="32.25" customHeight="1" x14ac:dyDescent="0.35">
      <c r="A15" s="985"/>
      <c r="B15" s="992"/>
      <c r="C15" s="335" t="s">
        <v>555</v>
      </c>
      <c r="D15" s="981"/>
      <c r="E15" s="981"/>
      <c r="F15" s="981"/>
      <c r="G15" s="981"/>
      <c r="H15" s="981"/>
      <c r="I15" s="981"/>
      <c r="J15" s="981"/>
    </row>
    <row r="16" spans="1:10" ht="18" customHeight="1" x14ac:dyDescent="0.35">
      <c r="A16" s="985"/>
      <c r="B16" s="991" t="s">
        <v>614</v>
      </c>
      <c r="C16" s="335" t="s">
        <v>557</v>
      </c>
      <c r="D16" s="981"/>
      <c r="E16" s="981"/>
      <c r="F16" s="981"/>
      <c r="G16" s="981"/>
      <c r="H16" s="981"/>
      <c r="I16" s="981"/>
      <c r="J16" s="981"/>
    </row>
    <row r="17" spans="1:10" ht="16.5" customHeight="1" x14ac:dyDescent="0.35">
      <c r="A17" s="985"/>
      <c r="B17" s="991"/>
      <c r="C17" s="335" t="s">
        <v>558</v>
      </c>
      <c r="D17" s="981"/>
      <c r="E17" s="981"/>
      <c r="F17" s="981"/>
      <c r="G17" s="981"/>
      <c r="H17" s="981"/>
      <c r="I17" s="981"/>
      <c r="J17" s="981"/>
    </row>
    <row r="18" spans="1:10" ht="18" customHeight="1" x14ac:dyDescent="0.35">
      <c r="A18" s="985"/>
      <c r="B18" s="991"/>
      <c r="C18" s="335" t="s">
        <v>559</v>
      </c>
      <c r="D18" s="981"/>
      <c r="E18" s="981"/>
      <c r="F18" s="981"/>
      <c r="G18" s="981"/>
      <c r="H18" s="981"/>
      <c r="I18" s="981"/>
      <c r="J18" s="981"/>
    </row>
    <row r="19" spans="1:10" ht="20.25" customHeight="1" x14ac:dyDescent="0.35">
      <c r="A19" s="985"/>
      <c r="B19" s="991" t="s">
        <v>615</v>
      </c>
      <c r="C19" s="335" t="s">
        <v>561</v>
      </c>
      <c r="D19" s="981"/>
      <c r="E19" s="981"/>
      <c r="F19" s="981"/>
      <c r="G19" s="981"/>
      <c r="H19" s="981"/>
      <c r="I19" s="981"/>
      <c r="J19" s="981"/>
    </row>
    <row r="20" spans="1:10" ht="22.5" customHeight="1" x14ac:dyDescent="0.35">
      <c r="A20" s="985"/>
      <c r="B20" s="991"/>
      <c r="C20" s="335" t="s">
        <v>562</v>
      </c>
      <c r="D20" s="981"/>
      <c r="E20" s="981"/>
      <c r="F20" s="981"/>
      <c r="G20" s="981"/>
      <c r="H20" s="981"/>
      <c r="I20" s="981"/>
      <c r="J20" s="981"/>
    </row>
    <row r="21" spans="1:10" ht="24" customHeight="1" x14ac:dyDescent="0.35">
      <c r="A21" s="344" t="s">
        <v>563</v>
      </c>
      <c r="B21" s="336" t="s">
        <v>564</v>
      </c>
      <c r="C21" s="336"/>
      <c r="D21" s="336"/>
      <c r="E21" s="336"/>
      <c r="F21" s="336"/>
      <c r="G21" s="336"/>
      <c r="H21" s="336"/>
      <c r="I21" s="336"/>
      <c r="J21" s="336"/>
    </row>
    <row r="22" spans="1:10" ht="19.5" customHeight="1" x14ac:dyDescent="0.35">
      <c r="A22" s="985"/>
      <c r="B22" s="993" t="s">
        <v>616</v>
      </c>
      <c r="C22" s="335" t="s">
        <v>617</v>
      </c>
      <c r="D22" s="981"/>
      <c r="E22" s="981"/>
      <c r="F22" s="981"/>
      <c r="G22" s="981"/>
      <c r="H22" s="981"/>
      <c r="I22" s="981"/>
      <c r="J22" s="981"/>
    </row>
    <row r="23" spans="1:10" ht="13.5" customHeight="1" x14ac:dyDescent="0.35">
      <c r="A23" s="985"/>
      <c r="B23" s="993"/>
      <c r="C23" s="335" t="s">
        <v>618</v>
      </c>
      <c r="D23" s="981"/>
      <c r="E23" s="981"/>
      <c r="F23" s="981"/>
      <c r="G23" s="981"/>
      <c r="H23" s="981"/>
      <c r="I23" s="981"/>
      <c r="J23" s="981"/>
    </row>
    <row r="24" spans="1:10" ht="36" customHeight="1" x14ac:dyDescent="0.35">
      <c r="A24" s="985"/>
      <c r="B24" s="991" t="s">
        <v>619</v>
      </c>
      <c r="C24" s="345" t="s">
        <v>620</v>
      </c>
      <c r="D24" s="981"/>
      <c r="E24" s="981"/>
      <c r="F24" s="981"/>
      <c r="G24" s="981"/>
      <c r="H24" s="981"/>
      <c r="I24" s="981"/>
      <c r="J24" s="981"/>
    </row>
    <row r="25" spans="1:10" ht="33" customHeight="1" x14ac:dyDescent="0.35">
      <c r="A25" s="985"/>
      <c r="B25" s="991"/>
      <c r="C25" s="345" t="s">
        <v>621</v>
      </c>
      <c r="D25" s="981"/>
      <c r="E25" s="981"/>
      <c r="F25" s="981"/>
      <c r="G25" s="981"/>
      <c r="H25" s="981"/>
      <c r="I25" s="981"/>
      <c r="J25" s="981"/>
    </row>
    <row r="26" spans="1:10" ht="19.5" customHeight="1" x14ac:dyDescent="0.35">
      <c r="A26" s="985"/>
      <c r="B26" s="993" t="s">
        <v>622</v>
      </c>
      <c r="C26" s="345" t="s">
        <v>623</v>
      </c>
      <c r="D26" s="981"/>
      <c r="E26" s="981"/>
      <c r="F26" s="981"/>
      <c r="G26" s="981"/>
      <c r="H26" s="981"/>
      <c r="I26" s="981"/>
      <c r="J26" s="981"/>
    </row>
    <row r="27" spans="1:10" ht="24.75" customHeight="1" x14ac:dyDescent="0.35">
      <c r="A27" s="985"/>
      <c r="B27" s="993"/>
      <c r="C27" s="345" t="s">
        <v>624</v>
      </c>
      <c r="D27" s="981"/>
      <c r="E27" s="981"/>
      <c r="F27" s="981"/>
      <c r="G27" s="981"/>
      <c r="H27" s="981"/>
      <c r="I27" s="981"/>
      <c r="J27" s="981"/>
    </row>
    <row r="28" spans="1:10" x14ac:dyDescent="0.35">
      <c r="A28" s="985"/>
      <c r="B28" s="993" t="s">
        <v>625</v>
      </c>
      <c r="C28" s="345" t="s">
        <v>626</v>
      </c>
      <c r="D28" s="981"/>
      <c r="E28" s="981"/>
      <c r="F28" s="981"/>
      <c r="G28" s="981"/>
      <c r="H28" s="981"/>
      <c r="I28" s="981"/>
      <c r="J28" s="981"/>
    </row>
    <row r="29" spans="1:10" x14ac:dyDescent="0.35">
      <c r="A29" s="985"/>
      <c r="B29" s="993"/>
      <c r="C29" s="345" t="s">
        <v>627</v>
      </c>
      <c r="D29" s="981"/>
      <c r="E29" s="981"/>
      <c r="F29" s="981"/>
      <c r="G29" s="981"/>
      <c r="H29" s="981"/>
      <c r="I29" s="981"/>
      <c r="J29" s="981"/>
    </row>
    <row r="30" spans="1:10" x14ac:dyDescent="0.35">
      <c r="A30" s="344" t="s">
        <v>595</v>
      </c>
      <c r="B30" s="336" t="s">
        <v>596</v>
      </c>
      <c r="C30" s="336"/>
      <c r="D30" s="336"/>
      <c r="E30" s="336"/>
      <c r="F30" s="336"/>
      <c r="G30" s="336"/>
      <c r="H30" s="336"/>
      <c r="I30" s="336"/>
      <c r="J30" s="336"/>
    </row>
    <row r="31" spans="1:10" ht="16.5" customHeight="1" x14ac:dyDescent="0.35">
      <c r="A31" s="985"/>
      <c r="B31" s="993" t="s">
        <v>628</v>
      </c>
      <c r="C31" s="345" t="s">
        <v>629</v>
      </c>
      <c r="D31" s="981"/>
      <c r="E31" s="981"/>
      <c r="F31" s="981"/>
      <c r="G31" s="981"/>
      <c r="H31" s="981"/>
      <c r="I31" s="981"/>
      <c r="J31" s="981"/>
    </row>
    <row r="32" spans="1:10" ht="18.75" customHeight="1" x14ac:dyDescent="0.35">
      <c r="A32" s="985"/>
      <c r="B32" s="993"/>
      <c r="C32" s="345" t="s">
        <v>630</v>
      </c>
      <c r="D32" s="981"/>
      <c r="E32" s="981"/>
      <c r="F32" s="981"/>
      <c r="G32" s="981"/>
      <c r="H32" s="981"/>
      <c r="I32" s="981"/>
      <c r="J32" s="981"/>
    </row>
    <row r="33" spans="1:10" ht="23.25" customHeight="1" x14ac:dyDescent="0.35">
      <c r="A33" s="985"/>
      <c r="B33" s="991" t="s">
        <v>631</v>
      </c>
      <c r="C33" s="335" t="s">
        <v>601</v>
      </c>
      <c r="D33" s="981"/>
      <c r="E33" s="981"/>
      <c r="F33" s="981"/>
      <c r="G33" s="981"/>
      <c r="H33" s="981"/>
      <c r="I33" s="981"/>
      <c r="J33" s="981"/>
    </row>
    <row r="34" spans="1:10" ht="21.75" customHeight="1" x14ac:dyDescent="0.35">
      <c r="A34" s="985"/>
      <c r="B34" s="991"/>
      <c r="C34" s="335" t="s">
        <v>632</v>
      </c>
      <c r="D34" s="981"/>
      <c r="E34" s="981"/>
      <c r="F34" s="981"/>
      <c r="G34" s="981"/>
      <c r="H34" s="981"/>
      <c r="I34" s="981"/>
      <c r="J34" s="981"/>
    </row>
    <row r="35" spans="1:10" ht="16.5" customHeight="1" x14ac:dyDescent="0.35">
      <c r="A35" s="985"/>
      <c r="B35" s="991"/>
      <c r="C35" s="335" t="s">
        <v>633</v>
      </c>
      <c r="D35" s="981"/>
      <c r="E35" s="981"/>
      <c r="F35" s="981"/>
      <c r="G35" s="981"/>
      <c r="H35" s="981"/>
      <c r="I35" s="981"/>
      <c r="J35" s="981"/>
    </row>
    <row r="36" spans="1:10" ht="26.25" customHeight="1" x14ac:dyDescent="0.35">
      <c r="A36" s="985"/>
      <c r="B36" s="993" t="s">
        <v>634</v>
      </c>
      <c r="C36" s="345" t="s">
        <v>635</v>
      </c>
      <c r="D36" s="981"/>
      <c r="E36" s="981"/>
      <c r="F36" s="981"/>
      <c r="G36" s="981"/>
      <c r="H36" s="981"/>
      <c r="I36" s="981"/>
      <c r="J36" s="981"/>
    </row>
    <row r="37" spans="1:10" ht="33.75" customHeight="1" x14ac:dyDescent="0.35">
      <c r="A37" s="985"/>
      <c r="B37" s="993"/>
      <c r="C37" s="345" t="s">
        <v>636</v>
      </c>
      <c r="D37" s="981"/>
      <c r="E37" s="981"/>
      <c r="F37" s="981"/>
      <c r="G37" s="981"/>
      <c r="H37" s="981"/>
      <c r="I37" s="981"/>
      <c r="J37" s="981"/>
    </row>
    <row r="38" spans="1:10" ht="18.75" customHeight="1" x14ac:dyDescent="0.35">
      <c r="A38" s="985"/>
      <c r="B38" s="993" t="s">
        <v>637</v>
      </c>
      <c r="C38" s="345" t="s">
        <v>638</v>
      </c>
      <c r="D38" s="981"/>
      <c r="E38" s="981"/>
      <c r="F38" s="981"/>
      <c r="G38" s="981"/>
      <c r="H38" s="981"/>
      <c r="I38" s="981"/>
      <c r="J38" s="981"/>
    </row>
    <row r="39" spans="1:10" ht="27.75" customHeight="1" x14ac:dyDescent="0.35">
      <c r="A39" s="985"/>
      <c r="B39" s="993"/>
      <c r="C39" s="345" t="s">
        <v>639</v>
      </c>
      <c r="D39" s="981"/>
      <c r="E39" s="981"/>
      <c r="F39" s="981"/>
      <c r="G39" s="981"/>
      <c r="H39" s="981"/>
      <c r="I39" s="981"/>
      <c r="J39" s="981"/>
    </row>
    <row r="40" spans="1:10" ht="20.25" customHeight="1" x14ac:dyDescent="0.35">
      <c r="A40" s="985"/>
      <c r="B40" s="993" t="s">
        <v>640</v>
      </c>
      <c r="C40" s="345" t="s">
        <v>641</v>
      </c>
      <c r="D40" s="981"/>
      <c r="E40" s="981"/>
      <c r="F40" s="981"/>
      <c r="G40" s="981"/>
      <c r="H40" s="981"/>
      <c r="I40" s="981"/>
      <c r="J40" s="981"/>
    </row>
    <row r="41" spans="1:10" ht="20.25" customHeight="1" x14ac:dyDescent="0.35">
      <c r="A41" s="985"/>
      <c r="B41" s="993"/>
      <c r="C41" s="345" t="s">
        <v>642</v>
      </c>
      <c r="D41" s="981"/>
      <c r="E41" s="981"/>
      <c r="F41" s="981"/>
      <c r="G41" s="981"/>
      <c r="H41" s="981"/>
      <c r="I41" s="981"/>
      <c r="J41" s="981"/>
    </row>
    <row r="44" spans="1:10" x14ac:dyDescent="0.35">
      <c r="D44" s="43" t="s">
        <v>400</v>
      </c>
      <c r="E44" s="43"/>
      <c r="F44" s="43"/>
    </row>
    <row r="45" spans="1:10" x14ac:dyDescent="0.35">
      <c r="B45" s="43" t="s">
        <v>34</v>
      </c>
      <c r="D45" s="43"/>
      <c r="E45" s="43"/>
      <c r="F45" s="43"/>
    </row>
    <row r="46" spans="1:10" x14ac:dyDescent="0.35">
      <c r="B46" s="44" t="s">
        <v>331</v>
      </c>
      <c r="D46" s="43" t="s">
        <v>43</v>
      </c>
      <c r="E46" s="43"/>
      <c r="F46" s="43"/>
    </row>
    <row r="47" spans="1:10" x14ac:dyDescent="0.35">
      <c r="B47" s="44"/>
      <c r="D47" s="43"/>
      <c r="E47" s="43"/>
      <c r="F47" s="43"/>
    </row>
    <row r="48" spans="1:10" x14ac:dyDescent="0.35">
      <c r="B48" s="44"/>
      <c r="D48" s="175"/>
      <c r="E48" s="43"/>
      <c r="F48" s="43"/>
    </row>
    <row r="49" spans="2:6" x14ac:dyDescent="0.35">
      <c r="B49" s="44"/>
      <c r="D49" s="43"/>
      <c r="E49" s="43"/>
      <c r="F49" s="43"/>
    </row>
    <row r="50" spans="2:6" x14ac:dyDescent="0.35">
      <c r="B50" s="196"/>
      <c r="D50" s="196"/>
      <c r="E50" s="43"/>
      <c r="F50" s="43"/>
    </row>
    <row r="51" spans="2:6" x14ac:dyDescent="0.35">
      <c r="B51" s="44" t="s">
        <v>384</v>
      </c>
      <c r="D51" s="44" t="s">
        <v>384</v>
      </c>
      <c r="E51" s="43"/>
      <c r="F51" s="43"/>
    </row>
    <row r="52" spans="2:6" x14ac:dyDescent="0.35">
      <c r="B52" s="43"/>
      <c r="D52" s="43"/>
      <c r="E52" s="43"/>
      <c r="F52" s="43"/>
    </row>
    <row r="53" spans="2:6" x14ac:dyDescent="0.35">
      <c r="B53" s="172" t="s">
        <v>144</v>
      </c>
      <c r="D53" s="172" t="s">
        <v>325</v>
      </c>
      <c r="E53" s="43"/>
      <c r="F53" s="173"/>
    </row>
    <row r="54" spans="2:6" x14ac:dyDescent="0.35">
      <c r="B54" s="172"/>
      <c r="D54" s="172"/>
      <c r="E54" s="43"/>
      <c r="F54" s="173"/>
    </row>
    <row r="55" spans="2:6" x14ac:dyDescent="0.35">
      <c r="B55" s="172"/>
      <c r="D55" s="172"/>
      <c r="E55" s="43"/>
      <c r="F55" s="173"/>
    </row>
    <row r="56" spans="2:6" x14ac:dyDescent="0.35">
      <c r="B56" s="44"/>
      <c r="D56" s="44"/>
      <c r="E56" s="43"/>
      <c r="F56" s="44"/>
    </row>
    <row r="57" spans="2:6" x14ac:dyDescent="0.35">
      <c r="B57" s="172" t="s">
        <v>332</v>
      </c>
      <c r="D57" s="53" t="s">
        <v>340</v>
      </c>
      <c r="E57" s="43"/>
      <c r="F57" s="173"/>
    </row>
    <row r="58" spans="2:6" x14ac:dyDescent="0.35">
      <c r="B58" s="172" t="s">
        <v>323</v>
      </c>
      <c r="D58" s="53" t="s">
        <v>343</v>
      </c>
      <c r="E58" s="43"/>
      <c r="F58" s="173"/>
    </row>
  </sheetData>
  <mergeCells count="126">
    <mergeCell ref="G1:J1"/>
    <mergeCell ref="G2:J2"/>
    <mergeCell ref="B38:B39"/>
    <mergeCell ref="B36:B37"/>
    <mergeCell ref="B22:B23"/>
    <mergeCell ref="B28:B29"/>
    <mergeCell ref="B31:B32"/>
    <mergeCell ref="B40:B41"/>
    <mergeCell ref="B26:B27"/>
    <mergeCell ref="A3:J3"/>
    <mergeCell ref="A4:B4"/>
    <mergeCell ref="A5:B5"/>
    <mergeCell ref="A6:B6"/>
    <mergeCell ref="A7:B7"/>
    <mergeCell ref="A8:B8"/>
    <mergeCell ref="J38:J39"/>
    <mergeCell ref="A40:A41"/>
    <mergeCell ref="D40:D41"/>
    <mergeCell ref="E40:E41"/>
    <mergeCell ref="F40:F41"/>
    <mergeCell ref="G40:G41"/>
    <mergeCell ref="H40:H41"/>
    <mergeCell ref="I40:I41"/>
    <mergeCell ref="J40:J41"/>
    <mergeCell ref="I36:I37"/>
    <mergeCell ref="J36:J37"/>
    <mergeCell ref="A38:A39"/>
    <mergeCell ref="D38:D39"/>
    <mergeCell ref="E38:E39"/>
    <mergeCell ref="F38:F39"/>
    <mergeCell ref="G38:G39"/>
    <mergeCell ref="H38:H39"/>
    <mergeCell ref="I38:I39"/>
    <mergeCell ref="A36:A37"/>
    <mergeCell ref="D36:D37"/>
    <mergeCell ref="E36:E37"/>
    <mergeCell ref="F36:F37"/>
    <mergeCell ref="G36:G37"/>
    <mergeCell ref="H36:H37"/>
    <mergeCell ref="A33:A35"/>
    <mergeCell ref="B33:B35"/>
    <mergeCell ref="D33:D35"/>
    <mergeCell ref="E33:E35"/>
    <mergeCell ref="F33:F35"/>
    <mergeCell ref="G33:G35"/>
    <mergeCell ref="A31:A32"/>
    <mergeCell ref="D31:D32"/>
    <mergeCell ref="E31:E32"/>
    <mergeCell ref="F31:F32"/>
    <mergeCell ref="G31:G32"/>
    <mergeCell ref="A28:A29"/>
    <mergeCell ref="D28:D29"/>
    <mergeCell ref="E28:E29"/>
    <mergeCell ref="F28:F29"/>
    <mergeCell ref="G28:G29"/>
    <mergeCell ref="H28:H29"/>
    <mergeCell ref="I28:I29"/>
    <mergeCell ref="J28:J29"/>
    <mergeCell ref="A26:A27"/>
    <mergeCell ref="D26:D27"/>
    <mergeCell ref="E26:E27"/>
    <mergeCell ref="F26:F27"/>
    <mergeCell ref="G26:G27"/>
    <mergeCell ref="H26:H27"/>
    <mergeCell ref="H31:H32"/>
    <mergeCell ref="I31:I32"/>
    <mergeCell ref="J31:J32"/>
    <mergeCell ref="H33:H35"/>
    <mergeCell ref="I33:I35"/>
    <mergeCell ref="J33:J35"/>
    <mergeCell ref="I26:I27"/>
    <mergeCell ref="J26:J27"/>
    <mergeCell ref="H22:H23"/>
    <mergeCell ref="I22:I23"/>
    <mergeCell ref="J22:J23"/>
    <mergeCell ref="H24:H25"/>
    <mergeCell ref="I24:I25"/>
    <mergeCell ref="J24:J25"/>
    <mergeCell ref="A19:A20"/>
    <mergeCell ref="B19:B20"/>
    <mergeCell ref="D19:D20"/>
    <mergeCell ref="E19:E20"/>
    <mergeCell ref="F19:F20"/>
    <mergeCell ref="G19:G20"/>
    <mergeCell ref="H19:H20"/>
    <mergeCell ref="I19:I20"/>
    <mergeCell ref="J19:J20"/>
    <mergeCell ref="A24:A25"/>
    <mergeCell ref="B24:B25"/>
    <mergeCell ref="D24:D25"/>
    <mergeCell ref="E24:E25"/>
    <mergeCell ref="F24:F25"/>
    <mergeCell ref="G24:G25"/>
    <mergeCell ref="A22:A23"/>
    <mergeCell ref="D22:D23"/>
    <mergeCell ref="E22:E23"/>
    <mergeCell ref="F22:F23"/>
    <mergeCell ref="G22:G23"/>
    <mergeCell ref="H14:H15"/>
    <mergeCell ref="I14:I15"/>
    <mergeCell ref="J14:J15"/>
    <mergeCell ref="A16:A18"/>
    <mergeCell ref="B16:B18"/>
    <mergeCell ref="D16:D18"/>
    <mergeCell ref="E16:E18"/>
    <mergeCell ref="F16:F18"/>
    <mergeCell ref="G16:G18"/>
    <mergeCell ref="H16:H18"/>
    <mergeCell ref="A14:A15"/>
    <mergeCell ref="B14:B15"/>
    <mergeCell ref="D14:D15"/>
    <mergeCell ref="E14:E15"/>
    <mergeCell ref="F14:F15"/>
    <mergeCell ref="G14:G15"/>
    <mergeCell ref="I16:I18"/>
    <mergeCell ref="J16:J18"/>
    <mergeCell ref="D10:J10"/>
    <mergeCell ref="A12:A13"/>
    <mergeCell ref="B12:B13"/>
    <mergeCell ref="D12:D13"/>
    <mergeCell ref="E12:E13"/>
    <mergeCell ref="F12:F13"/>
    <mergeCell ref="G12:G13"/>
    <mergeCell ref="H12:H13"/>
    <mergeCell ref="I12:I13"/>
    <mergeCell ref="J12:J13"/>
  </mergeCells>
  <pageMargins left="0.51181102362204722" right="0.31496062992125984" top="0.55118110236220474" bottom="1.3385826771653544" header="0.31496062992125984" footer="0.31496062992125984"/>
  <pageSetup paperSize="5" scale="90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H46"/>
  <sheetViews>
    <sheetView workbookViewId="0">
      <selection activeCell="F32" sqref="F32"/>
    </sheetView>
  </sheetViews>
  <sheetFormatPr defaultRowHeight="14.5" x14ac:dyDescent="0.35"/>
  <cols>
    <col min="1" max="1" width="5.26953125" customWidth="1"/>
    <col min="2" max="2" width="17.81640625" style="307" customWidth="1"/>
    <col min="3" max="6" width="13.54296875" customWidth="1"/>
  </cols>
  <sheetData>
    <row r="1" spans="1:8" ht="18.5" x14ac:dyDescent="0.45">
      <c r="A1" s="586" t="s">
        <v>675</v>
      </c>
      <c r="B1" s="586"/>
      <c r="C1" s="586"/>
      <c r="D1" s="586"/>
      <c r="E1" s="586"/>
      <c r="F1" s="586"/>
      <c r="G1" s="586"/>
      <c r="H1" s="586"/>
    </row>
    <row r="5" spans="1:8" x14ac:dyDescent="0.35">
      <c r="A5" s="1001" t="s">
        <v>611</v>
      </c>
      <c r="B5" s="1001"/>
      <c r="C5" t="s">
        <v>71</v>
      </c>
    </row>
    <row r="6" spans="1:8" x14ac:dyDescent="0.35">
      <c r="A6" s="1001" t="s">
        <v>661</v>
      </c>
      <c r="B6" s="1001"/>
      <c r="C6" t="s">
        <v>71</v>
      </c>
    </row>
    <row r="7" spans="1:8" x14ac:dyDescent="0.35">
      <c r="A7" s="1001" t="s">
        <v>40</v>
      </c>
      <c r="B7" s="1001"/>
      <c r="C7" t="s">
        <v>71</v>
      </c>
    </row>
    <row r="8" spans="1:8" x14ac:dyDescent="0.35">
      <c r="A8" s="1001" t="s">
        <v>478</v>
      </c>
      <c r="B8" s="1001"/>
      <c r="C8" t="s">
        <v>71</v>
      </c>
    </row>
    <row r="9" spans="1:8" x14ac:dyDescent="0.35">
      <c r="A9" s="1002" t="s">
        <v>111</v>
      </c>
      <c r="B9" s="1002"/>
      <c r="C9" t="s">
        <v>71</v>
      </c>
    </row>
    <row r="11" spans="1:8" x14ac:dyDescent="0.35">
      <c r="A11" s="994" t="s">
        <v>1</v>
      </c>
      <c r="B11" s="994" t="s">
        <v>676</v>
      </c>
      <c r="C11" s="994" t="s">
        <v>365</v>
      </c>
      <c r="D11" s="994"/>
      <c r="E11" s="994"/>
      <c r="F11" s="994"/>
      <c r="G11" s="995" t="s">
        <v>181</v>
      </c>
      <c r="H11" s="996"/>
    </row>
    <row r="12" spans="1:8" x14ac:dyDescent="0.35">
      <c r="A12" s="994"/>
      <c r="B12" s="994"/>
      <c r="C12" s="994" t="s">
        <v>647</v>
      </c>
      <c r="D12" s="994" t="s">
        <v>648</v>
      </c>
      <c r="E12" s="994"/>
      <c r="F12" s="994"/>
      <c r="G12" s="997"/>
      <c r="H12" s="998"/>
    </row>
    <row r="13" spans="1:8" x14ac:dyDescent="0.35">
      <c r="A13" s="994"/>
      <c r="B13" s="994"/>
      <c r="C13" s="994"/>
      <c r="D13" s="351" t="s">
        <v>649</v>
      </c>
      <c r="E13" s="351" t="s">
        <v>490</v>
      </c>
      <c r="F13" s="351" t="s">
        <v>650</v>
      </c>
      <c r="G13" s="999"/>
      <c r="H13" s="1000"/>
    </row>
    <row r="14" spans="1:8" x14ac:dyDescent="0.35">
      <c r="A14" s="313">
        <v>1</v>
      </c>
      <c r="B14" s="318"/>
      <c r="C14" s="318">
        <v>4</v>
      </c>
      <c r="D14" s="318">
        <v>2</v>
      </c>
      <c r="E14" s="318">
        <v>2</v>
      </c>
      <c r="F14" s="318" t="s">
        <v>651</v>
      </c>
      <c r="G14" s="350"/>
      <c r="H14" s="350"/>
    </row>
    <row r="15" spans="1:8" x14ac:dyDescent="0.35">
      <c r="A15" s="313">
        <v>2</v>
      </c>
      <c r="B15" s="318"/>
      <c r="C15" s="350"/>
      <c r="D15" s="350"/>
      <c r="E15" s="350"/>
      <c r="F15" s="350"/>
      <c r="G15" s="350"/>
      <c r="H15" s="350"/>
    </row>
    <row r="16" spans="1:8" x14ac:dyDescent="0.35">
      <c r="A16" s="313">
        <v>3</v>
      </c>
      <c r="B16" s="318"/>
      <c r="C16" s="350"/>
      <c r="D16" s="350"/>
      <c r="E16" s="350"/>
      <c r="F16" s="350"/>
      <c r="G16" s="350"/>
      <c r="H16" s="350"/>
    </row>
    <row r="17" spans="1:8" x14ac:dyDescent="0.35">
      <c r="A17" s="313">
        <v>4</v>
      </c>
      <c r="B17" s="318"/>
      <c r="C17" s="350"/>
      <c r="D17" s="350"/>
      <c r="E17" s="350"/>
      <c r="F17" s="350"/>
      <c r="G17" s="350"/>
      <c r="H17" s="350"/>
    </row>
    <row r="18" spans="1:8" x14ac:dyDescent="0.35">
      <c r="A18" s="313">
        <v>5</v>
      </c>
      <c r="B18" s="318"/>
      <c r="C18" s="350"/>
      <c r="D18" s="350"/>
      <c r="E18" s="350"/>
      <c r="F18" s="350"/>
      <c r="G18" s="350"/>
      <c r="H18" s="350"/>
    </row>
    <row r="19" spans="1:8" x14ac:dyDescent="0.35">
      <c r="A19" s="313">
        <v>6</v>
      </c>
      <c r="B19" s="318"/>
      <c r="C19" s="350"/>
      <c r="D19" s="350"/>
      <c r="E19" s="350"/>
      <c r="F19" s="350"/>
      <c r="G19" s="350"/>
      <c r="H19" s="350"/>
    </row>
    <row r="20" spans="1:8" x14ac:dyDescent="0.35">
      <c r="A20" s="313">
        <v>7</v>
      </c>
      <c r="B20" s="318"/>
      <c r="C20" s="350"/>
      <c r="D20" s="350"/>
      <c r="E20" s="350"/>
      <c r="F20" s="350"/>
      <c r="G20" s="350"/>
      <c r="H20" s="350"/>
    </row>
    <row r="21" spans="1:8" x14ac:dyDescent="0.35">
      <c r="A21" s="313">
        <v>8</v>
      </c>
      <c r="B21" s="318"/>
      <c r="C21" s="350"/>
      <c r="D21" s="350"/>
      <c r="E21" s="350"/>
      <c r="F21" s="350"/>
      <c r="G21" s="350"/>
      <c r="H21" s="350"/>
    </row>
    <row r="22" spans="1:8" x14ac:dyDescent="0.35">
      <c r="A22" s="313">
        <v>9</v>
      </c>
      <c r="B22" s="318"/>
      <c r="C22" s="350"/>
      <c r="D22" s="350"/>
      <c r="E22" s="350"/>
      <c r="F22" s="350"/>
      <c r="G22" s="350"/>
      <c r="H22" s="350"/>
    </row>
    <row r="23" spans="1:8" x14ac:dyDescent="0.35">
      <c r="A23" s="313">
        <v>10</v>
      </c>
      <c r="B23" s="318"/>
      <c r="C23" s="350"/>
      <c r="D23" s="350"/>
      <c r="E23" s="350"/>
      <c r="F23" s="350"/>
      <c r="G23" s="350"/>
      <c r="H23" s="350"/>
    </row>
    <row r="24" spans="1:8" x14ac:dyDescent="0.35">
      <c r="A24" s="313">
        <v>11</v>
      </c>
      <c r="B24" s="318"/>
      <c r="C24" s="350"/>
      <c r="D24" s="350"/>
      <c r="E24" s="350"/>
      <c r="F24" s="350"/>
      <c r="G24" s="350"/>
      <c r="H24" s="350"/>
    </row>
    <row r="25" spans="1:8" x14ac:dyDescent="0.35">
      <c r="A25" s="313">
        <v>12</v>
      </c>
      <c r="B25" s="318"/>
      <c r="C25" s="350"/>
      <c r="D25" s="350"/>
      <c r="E25" s="350"/>
      <c r="F25" s="350"/>
      <c r="G25" s="350"/>
      <c r="H25" s="350"/>
    </row>
    <row r="26" spans="1:8" x14ac:dyDescent="0.35">
      <c r="A26" s="313">
        <v>13</v>
      </c>
      <c r="B26" s="318"/>
      <c r="C26" s="350"/>
      <c r="D26" s="350"/>
      <c r="E26" s="350"/>
      <c r="F26" s="350"/>
      <c r="G26" s="350"/>
      <c r="H26" s="350"/>
    </row>
    <row r="27" spans="1:8" x14ac:dyDescent="0.35">
      <c r="A27" s="350"/>
      <c r="B27" s="318"/>
      <c r="C27" s="350"/>
      <c r="D27" s="350"/>
      <c r="E27" s="350"/>
      <c r="F27" s="350"/>
      <c r="G27" s="350"/>
      <c r="H27" s="350"/>
    </row>
    <row r="30" spans="1:8" x14ac:dyDescent="0.35">
      <c r="B30"/>
    </row>
    <row r="31" spans="1:8" x14ac:dyDescent="0.35">
      <c r="B31"/>
      <c r="F31" s="43" t="s">
        <v>674</v>
      </c>
      <c r="G31" s="43"/>
      <c r="H31" s="43"/>
    </row>
    <row r="32" spans="1:8" x14ac:dyDescent="0.35">
      <c r="B32" s="43" t="s">
        <v>34</v>
      </c>
      <c r="F32" s="43"/>
      <c r="G32" s="43"/>
      <c r="H32" s="43"/>
    </row>
    <row r="33" spans="2:8" x14ac:dyDescent="0.35">
      <c r="B33" s="44" t="s">
        <v>331</v>
      </c>
      <c r="F33" s="43" t="s">
        <v>43</v>
      </c>
      <c r="G33" s="43"/>
      <c r="H33" s="43"/>
    </row>
    <row r="34" spans="2:8" x14ac:dyDescent="0.35">
      <c r="B34" s="44"/>
      <c r="F34" s="43"/>
      <c r="G34" s="43"/>
      <c r="H34" s="43"/>
    </row>
    <row r="35" spans="2:8" x14ac:dyDescent="0.35">
      <c r="B35" s="44"/>
      <c r="F35" s="175"/>
      <c r="G35" s="43"/>
      <c r="H35" s="43"/>
    </row>
    <row r="36" spans="2:8" x14ac:dyDescent="0.35">
      <c r="B36" s="44"/>
      <c r="F36" s="43"/>
      <c r="G36" s="43"/>
      <c r="H36" s="43"/>
    </row>
    <row r="37" spans="2:8" x14ac:dyDescent="0.35">
      <c r="B37" s="196"/>
      <c r="F37" s="196"/>
      <c r="G37" s="43"/>
      <c r="H37" s="43"/>
    </row>
    <row r="38" spans="2:8" x14ac:dyDescent="0.35">
      <c r="B38" s="44" t="s">
        <v>384</v>
      </c>
      <c r="F38" s="44" t="s">
        <v>384</v>
      </c>
      <c r="G38" s="43"/>
      <c r="H38" s="43"/>
    </row>
    <row r="39" spans="2:8" x14ac:dyDescent="0.35">
      <c r="B39" s="43"/>
      <c r="F39" s="43"/>
      <c r="G39" s="43"/>
      <c r="H39" s="43"/>
    </row>
    <row r="40" spans="2:8" x14ac:dyDescent="0.35">
      <c r="B40" s="172" t="s">
        <v>144</v>
      </c>
      <c r="F40" s="172" t="s">
        <v>325</v>
      </c>
      <c r="G40" s="43"/>
      <c r="H40" s="173"/>
    </row>
    <row r="41" spans="2:8" x14ac:dyDescent="0.35">
      <c r="B41" s="172"/>
      <c r="F41" s="172"/>
      <c r="G41" s="43"/>
      <c r="H41" s="173"/>
    </row>
    <row r="42" spans="2:8" x14ac:dyDescent="0.35">
      <c r="B42" s="172"/>
      <c r="F42" s="172"/>
      <c r="G42" s="43"/>
      <c r="H42" s="173"/>
    </row>
    <row r="43" spans="2:8" x14ac:dyDescent="0.35">
      <c r="B43" s="44"/>
      <c r="F43" s="44"/>
      <c r="G43" s="43"/>
      <c r="H43" s="44"/>
    </row>
    <row r="44" spans="2:8" x14ac:dyDescent="0.35">
      <c r="B44" s="172" t="s">
        <v>332</v>
      </c>
      <c r="F44" s="53" t="s">
        <v>340</v>
      </c>
      <c r="G44" s="43"/>
      <c r="H44" s="173"/>
    </row>
    <row r="45" spans="2:8" x14ac:dyDescent="0.35">
      <c r="B45" s="172" t="s">
        <v>323</v>
      </c>
      <c r="F45" s="53" t="s">
        <v>343</v>
      </c>
      <c r="G45" s="43"/>
      <c r="H45" s="173"/>
    </row>
    <row r="46" spans="2:8" x14ac:dyDescent="0.35">
      <c r="B46"/>
    </row>
  </sheetData>
  <mergeCells count="12">
    <mergeCell ref="A11:A13"/>
    <mergeCell ref="B11:B13"/>
    <mergeCell ref="G11:H13"/>
    <mergeCell ref="A1:H1"/>
    <mergeCell ref="A5:B5"/>
    <mergeCell ref="A6:B6"/>
    <mergeCell ref="A7:B7"/>
    <mergeCell ref="A8:B8"/>
    <mergeCell ref="A9:B9"/>
    <mergeCell ref="D12:F12"/>
    <mergeCell ref="C12:C13"/>
    <mergeCell ref="C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2</vt:i4>
      </vt:variant>
    </vt:vector>
  </HeadingPairs>
  <TitlesOfParts>
    <vt:vector size="39" baseType="lpstr">
      <vt:lpstr>COVER </vt:lpstr>
      <vt:lpstr>Visi,Misi,Tuj&amp;KebjkMutu</vt:lpstr>
      <vt:lpstr>Daftar Isi </vt:lpstr>
      <vt:lpstr>Kalender Akademik (1)</vt:lpstr>
      <vt:lpstr>Jadwal (2)</vt:lpstr>
      <vt:lpstr>Prhtngn Mingg Ef(3)</vt:lpstr>
      <vt:lpstr>PROTA (4)</vt:lpstr>
      <vt:lpstr>PROSEM(5)  </vt:lpstr>
      <vt:lpstr>CP (6)</vt:lpstr>
      <vt:lpstr>Analisis Materi (7)</vt:lpstr>
      <vt:lpstr>ATP (8)</vt:lpstr>
      <vt:lpstr>TP (9)</vt:lpstr>
      <vt:lpstr>KKTP (10)</vt:lpstr>
      <vt:lpstr>KKM (8) batal</vt:lpstr>
      <vt:lpstr>MA- LKPD (11)</vt:lpstr>
      <vt:lpstr>Daft Hdr (12)</vt:lpstr>
      <vt:lpstr>Penanganan Pesdik Brmslh (13)</vt:lpstr>
      <vt:lpstr>FORMATIF (14)</vt:lpstr>
      <vt:lpstr>NILAI KETRAMPILAN (12.b)</vt:lpstr>
      <vt:lpstr>Sheet1</vt:lpstr>
      <vt:lpstr>Analisis Kebutuhan Alat(15)</vt:lpstr>
      <vt:lpstr>Buku Pegangan (16)</vt:lpstr>
      <vt:lpstr>Kisi-Kisi (17)</vt:lpstr>
      <vt:lpstr>Anailis Hasil Ulangan (18)</vt:lpstr>
      <vt:lpstr>Anl daya serap Hsl Ev (19)</vt:lpstr>
      <vt:lpstr>Prg. Perb.&amp;pengyn(20)</vt:lpstr>
      <vt:lpstr>Prog. Pengayaan(21)</vt:lpstr>
      <vt:lpstr>Agenda  (22)</vt:lpstr>
      <vt:lpstr>Target&amp;Capaian Kur ( (23)</vt:lpstr>
      <vt:lpstr>AJP (22)</vt:lpstr>
      <vt:lpstr>Analisis SKM (8)</vt:lpstr>
      <vt:lpstr>Rencana Penilaian (24)</vt:lpstr>
      <vt:lpstr>Rekap Nil.Peng.(24)</vt:lpstr>
      <vt:lpstr>Rekap Nil. Ket (25)</vt:lpstr>
      <vt:lpstr>Telaah Soal PG (25)</vt:lpstr>
      <vt:lpstr>Telaah Soal Essay (26)</vt:lpstr>
      <vt:lpstr>Alokasi Waktu (28)</vt:lpstr>
      <vt:lpstr>'Analisis Materi (7)'!Print_Area</vt:lpstr>
      <vt:lpstr>'CP (6)'!Print_Area</vt:lpstr>
    </vt:vector>
  </TitlesOfParts>
  <Company>LiteOS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MoZarD</dc:creator>
  <cp:lastModifiedBy>Jumary</cp:lastModifiedBy>
  <cp:lastPrinted>2024-09-26T07:35:27Z</cp:lastPrinted>
  <dcterms:created xsi:type="dcterms:W3CDTF">2008-10-25T13:13:38Z</dcterms:created>
  <dcterms:modified xsi:type="dcterms:W3CDTF">2024-09-26T07:36:14Z</dcterms:modified>
</cp:coreProperties>
</file>