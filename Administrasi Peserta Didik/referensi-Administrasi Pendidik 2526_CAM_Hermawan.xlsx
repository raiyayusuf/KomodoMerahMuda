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/>
  <mc:AlternateContent xmlns:mc="http://schemas.openxmlformats.org/markup-compatibility/2006">
    <mc:Choice Requires="x15">
      <x15ac:absPath xmlns:x15ac="http://schemas.microsoft.com/office/spreadsheetml/2010/11/ac" url="C:\Users\multimedia_37\Documents\"/>
    </mc:Choice>
  </mc:AlternateContent>
  <xr:revisionPtr revIDLastSave="0" documentId="13_ncr:1_{69C78E17-E5AC-4C0B-A6FD-B5F5B572CD27}" xr6:coauthVersionLast="43" xr6:coauthVersionMax="47" xr10:uidLastSave="{00000000-0000-0000-0000-000000000000}"/>
  <bookViews>
    <workbookView xWindow="-120" yWindow="-120" windowWidth="20730" windowHeight="11760" tabRatio="894" firstSheet="2" activeTab="10" xr2:uid="{00000000-000D-0000-FFFF-FFFF00000000}"/>
  </bookViews>
  <sheets>
    <sheet name="COVER " sheetId="127" r:id="rId1"/>
    <sheet name="Visi,Misi,Tuj&amp;KebjkMutu" sheetId="124" r:id="rId2"/>
    <sheet name="Daftar Isi " sheetId="181" r:id="rId3"/>
    <sheet name="kaldik (1)" sheetId="200" r:id="rId4"/>
    <sheet name="Jadwal (2)" sheetId="105" r:id="rId5"/>
    <sheet name="Prhtngn Mingg Ef(3)" sheetId="177" r:id="rId6"/>
    <sheet name="PROTA (4)" sheetId="179" r:id="rId7"/>
    <sheet name="PROSEM(5)  " sheetId="178" r:id="rId8"/>
    <sheet name="CP (6)" sheetId="197" r:id="rId9"/>
    <sheet name="Analisis Materi (7)" sheetId="169" r:id="rId10"/>
    <sheet name="ATP (8)" sheetId="196" r:id="rId11"/>
    <sheet name="TP (9)" sheetId="182" r:id="rId12"/>
    <sheet name="KKTP (10)" sheetId="198" r:id="rId13"/>
    <sheet name="KKM (8) batal" sheetId="183" state="hidden" r:id="rId14"/>
    <sheet name="MA- LKPD (11)" sheetId="184" r:id="rId15"/>
    <sheet name="Dft Hdr (12)" sheetId="201" r:id="rId16"/>
    <sheet name="Penanganan Pesdik Brmslh (13)" sheetId="164" r:id="rId17"/>
    <sheet name="FORMATIF (14)" sheetId="160" r:id="rId18"/>
    <sheet name="NILAI KETRAMPILAN (12.b)" sheetId="161" r:id="rId19"/>
    <sheet name="Sheet1" sheetId="199" state="hidden" r:id="rId20"/>
    <sheet name="Analisis Kebutuhan Alat(15)" sheetId="185" r:id="rId21"/>
    <sheet name="Buku Pegangan (16)" sheetId="8" r:id="rId22"/>
    <sheet name="Kisi-Kisi (17)" sheetId="145" r:id="rId23"/>
    <sheet name="Anailis Hasil Ulangan (18)" sheetId="186" r:id="rId24"/>
    <sheet name="Anl daya serap Hsl Ev (19)" sheetId="154" r:id="rId25"/>
    <sheet name="Prg. Perb.&amp;pengyn(20)" sheetId="141" r:id="rId26"/>
    <sheet name="Prog. Pengayaan(21)" sheetId="187" r:id="rId27"/>
    <sheet name="Agenda  (22)" sheetId="140" r:id="rId28"/>
    <sheet name="Target&amp;Capaian Kur ( (23)" sheetId="188" r:id="rId29"/>
    <sheet name="AJP (22)" sheetId="171" r:id="rId30"/>
    <sheet name="Analisis SKM (8)" sheetId="189" state="hidden" r:id="rId31"/>
    <sheet name="Rencana Penilaian (24)" sheetId="190" r:id="rId32"/>
    <sheet name="Rekap Nil.Peng.(24)" sheetId="191" state="hidden" r:id="rId33"/>
    <sheet name="Rekap Nil. Ket (25)" sheetId="192" state="hidden" r:id="rId34"/>
    <sheet name="Telaah Soal PG (25)" sheetId="193" r:id="rId35"/>
    <sheet name="Telaah Soal Essay (26)" sheetId="194" r:id="rId36"/>
    <sheet name="Alokasi Waktu (28)" sheetId="195" r:id="rId37"/>
  </sheets>
  <definedNames>
    <definedName name="_xlnm.Print_Area" localSheetId="9">'Analisis Materi (7)'!$A$1:$G$35</definedName>
    <definedName name="_xlnm.Print_Area" localSheetId="8">'CP (6)'!$A$1:$D$30</definedName>
    <definedName name="_xlnm.Print_Area" localSheetId="4">'Jadwal (2)'!$A$1:$R$40</definedName>
    <definedName name="_xlnm.Print_Area" localSheetId="5">'Prhtngn Mingg Ef(3)'!$A$1:$H$96</definedName>
    <definedName name="_xlnm.Print_Area" localSheetId="7">'PROSEM(5)  '!$A$27:$AD$52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7" i="177" l="1"/>
  <c r="B16" i="169"/>
  <c r="B17" i="169"/>
  <c r="B17" i="196" s="1"/>
  <c r="B18" i="169"/>
  <c r="B18" i="196" s="1"/>
  <c r="B15" i="169"/>
  <c r="B15" i="196" s="1"/>
  <c r="D24" i="197"/>
  <c r="A24" i="197"/>
  <c r="B41" i="178" l="1"/>
  <c r="B40" i="178"/>
  <c r="B17" i="178" l="1"/>
  <c r="B16" i="178"/>
  <c r="C9" i="179"/>
  <c r="C32" i="179"/>
  <c r="B25" i="179"/>
  <c r="O46" i="178" s="1"/>
  <c r="A17" i="197" s="1"/>
  <c r="B22" i="169" s="1"/>
  <c r="B23" i="196" s="1"/>
  <c r="G15" i="182" s="1"/>
  <c r="E19" i="179"/>
  <c r="D19" i="179"/>
  <c r="F17" i="179"/>
  <c r="D17" i="169" s="1"/>
  <c r="E17" i="169" s="1"/>
  <c r="E17" i="196" s="1"/>
  <c r="F18" i="179"/>
  <c r="D18" i="169" s="1"/>
  <c r="E18" i="169" s="1"/>
  <c r="E18" i="196" s="1"/>
  <c r="F16" i="179"/>
  <c r="D16" i="169" s="1"/>
  <c r="E16" i="169" s="1"/>
  <c r="E16" i="196" s="1"/>
  <c r="F15" i="179"/>
  <c r="D15" i="169" s="1"/>
  <c r="E15" i="169" s="1"/>
  <c r="E15" i="196" s="1"/>
  <c r="R17" i="200"/>
  <c r="R26" i="200"/>
  <c r="R35" i="200"/>
  <c r="R44" i="200"/>
  <c r="R46" i="200" s="1"/>
  <c r="R55" i="200"/>
  <c r="R63" i="200"/>
  <c r="R72" i="200"/>
  <c r="R102" i="200" s="1"/>
  <c r="R81" i="200"/>
  <c r="R90" i="200"/>
  <c r="R100" i="200"/>
  <c r="R108" i="200"/>
  <c r="R117" i="200"/>
  <c r="R8" i="200"/>
  <c r="F13" i="177"/>
  <c r="F14" i="177"/>
  <c r="F15" i="177"/>
  <c r="F16" i="177"/>
  <c r="F17" i="177"/>
  <c r="F12" i="177"/>
  <c r="E19" i="196" l="1"/>
  <c r="F19" i="179"/>
  <c r="G16" i="177"/>
  <c r="H16" i="177" s="1"/>
  <c r="G17" i="177"/>
  <c r="H17" i="177" s="1"/>
  <c r="G12" i="177"/>
  <c r="H12" i="177" s="1"/>
  <c r="G13" i="177"/>
  <c r="H13" i="177" s="1"/>
  <c r="G14" i="177"/>
  <c r="H14" i="177" s="1"/>
  <c r="G15" i="177"/>
  <c r="H15" i="177" s="1"/>
  <c r="C8" i="195" l="1"/>
  <c r="C5" i="195"/>
  <c r="C4" i="195"/>
  <c r="F15" i="171"/>
  <c r="C11" i="171"/>
  <c r="C10" i="171"/>
  <c r="C9" i="171"/>
  <c r="C8" i="171"/>
  <c r="C7" i="171"/>
  <c r="C6" i="171"/>
  <c r="C5" i="171"/>
  <c r="G18" i="177"/>
  <c r="H18" i="177"/>
  <c r="C10" i="197"/>
  <c r="C9" i="197"/>
  <c r="C8" i="197"/>
  <c r="C7" i="197"/>
  <c r="C6" i="197"/>
  <c r="C5" i="197"/>
  <c r="C12" i="141"/>
  <c r="C11" i="141"/>
  <c r="C12" i="187"/>
  <c r="C11" i="187"/>
  <c r="C9" i="194"/>
  <c r="C8" i="194"/>
  <c r="C7" i="194"/>
  <c r="C7" i="195" s="1"/>
  <c r="C6" i="194"/>
  <c r="C6" i="195" s="1"/>
  <c r="C5" i="194"/>
  <c r="C4" i="194"/>
  <c r="C9" i="193"/>
  <c r="C8" i="193"/>
  <c r="C7" i="193"/>
  <c r="C6" i="193"/>
  <c r="D12" i="190"/>
  <c r="D11" i="190"/>
  <c r="D10" i="190"/>
  <c r="D9" i="190"/>
  <c r="D8" i="190"/>
  <c r="D7" i="190"/>
  <c r="D6" i="190"/>
  <c r="E11" i="188"/>
  <c r="E10" i="188"/>
  <c r="E9" i="188"/>
  <c r="E8" i="188"/>
  <c r="E7" i="188"/>
  <c r="E6" i="188"/>
  <c r="E5" i="188"/>
  <c r="E103" i="140"/>
  <c r="F5" i="140"/>
  <c r="F4" i="140"/>
  <c r="D6" i="140"/>
  <c r="D5" i="140"/>
  <c r="D4" i="140"/>
  <c r="C5" i="154"/>
  <c r="D50" i="8"/>
  <c r="D49" i="8"/>
  <c r="B50" i="8"/>
  <c r="B49" i="8"/>
  <c r="B43" i="8"/>
  <c r="B42" i="8"/>
  <c r="C9" i="8"/>
  <c r="C8" i="8"/>
  <c r="C7" i="8"/>
  <c r="C6" i="8"/>
  <c r="C5" i="8"/>
  <c r="I7" i="201"/>
  <c r="I6" i="201"/>
  <c r="C7" i="201"/>
  <c r="C6" i="201"/>
  <c r="C5" i="201"/>
  <c r="E46" i="201"/>
  <c r="E45" i="201"/>
  <c r="D8" i="182"/>
  <c r="D7" i="182"/>
  <c r="D6" i="182"/>
  <c r="D5" i="182"/>
  <c r="D4" i="182"/>
  <c r="D3" i="182"/>
  <c r="D2" i="182"/>
  <c r="C12" i="196"/>
  <c r="C11" i="196"/>
  <c r="C10" i="196"/>
  <c r="C9" i="196"/>
  <c r="C8" i="196"/>
  <c r="C7" i="196"/>
  <c r="C6" i="196"/>
  <c r="C11" i="169"/>
  <c r="C10" i="169"/>
  <c r="C9" i="169"/>
  <c r="C8" i="169"/>
  <c r="C7" i="169"/>
  <c r="C6" i="169"/>
  <c r="C5" i="169"/>
  <c r="C35" i="178"/>
  <c r="C34" i="178"/>
  <c r="C33" i="178"/>
  <c r="C32" i="178"/>
  <c r="C31" i="178"/>
  <c r="C30" i="178"/>
  <c r="C29" i="178"/>
  <c r="C11" i="178"/>
  <c r="C10" i="178"/>
  <c r="C9" i="178"/>
  <c r="C8" i="178"/>
  <c r="C7" i="178"/>
  <c r="C6" i="178"/>
  <c r="C5" i="178"/>
  <c r="C10" i="179"/>
  <c r="C8" i="179"/>
  <c r="C7" i="179"/>
  <c r="C6" i="179"/>
  <c r="C5" i="179"/>
  <c r="C4" i="179"/>
  <c r="C60" i="177"/>
  <c r="C58" i="177"/>
  <c r="C57" i="177"/>
  <c r="C56" i="177"/>
  <c r="C55" i="177"/>
  <c r="C54" i="177"/>
  <c r="C3" i="177"/>
  <c r="C9" i="177"/>
  <c r="C8" i="177"/>
  <c r="C7" i="177"/>
  <c r="C6" i="177"/>
  <c r="C5" i="177"/>
  <c r="C4" i="177"/>
  <c r="E121" i="200"/>
  <c r="E120" i="200"/>
  <c r="E15" i="171" l="1"/>
  <c r="D15" i="171"/>
  <c r="F19" i="183"/>
  <c r="F16" i="183"/>
  <c r="G16" i="183" s="1"/>
  <c r="B29" i="196"/>
  <c r="D29" i="169"/>
  <c r="D30" i="196" s="1"/>
  <c r="B29" i="169"/>
  <c r="B30" i="196" s="1"/>
  <c r="G96" i="177"/>
  <c r="E38" i="179" s="1"/>
  <c r="C24" i="178" s="1"/>
  <c r="B96" i="177"/>
  <c r="B38" i="179" s="1"/>
  <c r="B24" i="178" s="1"/>
  <c r="G95" i="177"/>
  <c r="B95" i="177"/>
  <c r="G91" i="177"/>
  <c r="E33" i="179" s="1"/>
  <c r="B91" i="177"/>
  <c r="B33" i="179" s="1"/>
  <c r="G88" i="177"/>
  <c r="E30" i="179" s="1"/>
  <c r="B88" i="177"/>
  <c r="B87" i="177"/>
  <c r="B29" i="179" s="1"/>
  <c r="D69" i="177"/>
  <c r="C69" i="177"/>
  <c r="F68" i="177"/>
  <c r="G68" i="177" s="1"/>
  <c r="H68" i="177" s="1"/>
  <c r="F67" i="177"/>
  <c r="G67" i="177" s="1"/>
  <c r="H67" i="177" s="1"/>
  <c r="F66" i="177"/>
  <c r="G66" i="177" s="1"/>
  <c r="H66" i="177" s="1"/>
  <c r="F65" i="177"/>
  <c r="G65" i="177" s="1"/>
  <c r="H65" i="177" s="1"/>
  <c r="F64" i="177"/>
  <c r="G64" i="177" s="1"/>
  <c r="F63" i="177"/>
  <c r="G63" i="177" s="1"/>
  <c r="H63" i="177" s="1"/>
  <c r="Q25" i="177"/>
  <c r="E21" i="177"/>
  <c r="E27" i="177" s="1"/>
  <c r="E23" i="177" s="1"/>
  <c r="F18" i="177"/>
  <c r="D18" i="177"/>
  <c r="C18" i="177"/>
  <c r="B30" i="179" l="1"/>
  <c r="O24" i="178" s="1"/>
  <c r="O50" i="178" s="1"/>
  <c r="G20" i="182" s="1"/>
  <c r="J48" i="198" s="1"/>
  <c r="E38" i="164" s="1"/>
  <c r="B65" i="193"/>
  <c r="B48" i="160"/>
  <c r="B50" i="188"/>
  <c r="B24" i="195"/>
  <c r="B48" i="161"/>
  <c r="B48" i="190"/>
  <c r="A104" i="140"/>
  <c r="B25" i="185"/>
  <c r="B37" i="179"/>
  <c r="B23" i="178" s="1"/>
  <c r="B49" i="178" s="1"/>
  <c r="B30" i="195"/>
  <c r="B55" i="188"/>
  <c r="B47" i="154"/>
  <c r="B54" i="190"/>
  <c r="A112" i="140"/>
  <c r="B66" i="187"/>
  <c r="B32" i="185"/>
  <c r="B68" i="141"/>
  <c r="B71" i="193"/>
  <c r="E37" i="179"/>
  <c r="C23" i="178" s="1"/>
  <c r="C49" i="178" s="1"/>
  <c r="F30" i="195"/>
  <c r="I54" i="190"/>
  <c r="E112" i="140"/>
  <c r="F32" i="185"/>
  <c r="D72" i="193"/>
  <c r="K55" i="188"/>
  <c r="F69" i="177"/>
  <c r="H64" i="177"/>
  <c r="H69" i="177" s="1"/>
  <c r="E72" i="177" s="1"/>
  <c r="E74" i="177" s="1"/>
  <c r="E78" i="177" s="1"/>
  <c r="G69" i="177"/>
  <c r="B33" i="185"/>
  <c r="B67" i="187"/>
  <c r="B72" i="193"/>
  <c r="B55" i="190"/>
  <c r="B69" i="141"/>
  <c r="B31" i="195"/>
  <c r="A113" i="140"/>
  <c r="B56" i="188"/>
  <c r="B48" i="154"/>
  <c r="F31" i="195"/>
  <c r="D73" i="193"/>
  <c r="I55" i="190"/>
  <c r="K56" i="188"/>
  <c r="E113" i="140"/>
  <c r="F33" i="185"/>
  <c r="I48" i="190"/>
  <c r="K50" i="188"/>
  <c r="D43" i="8"/>
  <c r="D66" i="193"/>
  <c r="G67" i="187"/>
  <c r="F25" i="185"/>
  <c r="F24" i="195"/>
  <c r="T48" i="154"/>
  <c r="AJ48" i="160"/>
  <c r="AN48" i="161"/>
  <c r="E104" i="140"/>
  <c r="G69" i="141"/>
  <c r="J53" i="201"/>
  <c r="G87" i="177"/>
  <c r="E29" i="179" s="1"/>
  <c r="D42" i="8"/>
  <c r="T47" i="154"/>
  <c r="B64" i="193"/>
  <c r="B47" i="190"/>
  <c r="B23" i="195"/>
  <c r="B49" i="188"/>
  <c r="B47" i="160"/>
  <c r="B47" i="161"/>
  <c r="A103" i="140"/>
  <c r="B24" i="185"/>
  <c r="D21" i="197"/>
  <c r="D26" i="169" s="1"/>
  <c r="D27" i="196" s="1"/>
  <c r="B50" i="178"/>
  <c r="D22" i="197"/>
  <c r="D27" i="169" s="1"/>
  <c r="D28" i="196" s="1"/>
  <c r="Y24" i="178"/>
  <c r="Y50" i="178" s="1"/>
  <c r="J20" i="182" s="1"/>
  <c r="N48" i="198" s="1"/>
  <c r="F38" i="164" s="1"/>
  <c r="C50" i="178"/>
  <c r="A21" i="197"/>
  <c r="B26" i="169" s="1"/>
  <c r="B27" i="196" s="1"/>
  <c r="O23" i="178"/>
  <c r="O49" i="178" s="1"/>
  <c r="G19" i="182" s="1"/>
  <c r="J47" i="198" s="1"/>
  <c r="E37" i="164" s="1"/>
  <c r="A22" i="197" l="1"/>
  <c r="B27" i="169" s="1"/>
  <c r="B28" i="196" s="1"/>
  <c r="E19" i="182"/>
  <c r="I47" i="198" s="1"/>
  <c r="C37" i="164" s="1"/>
  <c r="D28" i="197"/>
  <c r="D33" i="169" s="1"/>
  <c r="D34" i="196" s="1"/>
  <c r="C19" i="182"/>
  <c r="G47" i="198" s="1"/>
  <c r="B37" i="164" s="1"/>
  <c r="A28" i="197"/>
  <c r="B33" i="169" s="1"/>
  <c r="B34" i="196" s="1"/>
  <c r="E20" i="182"/>
  <c r="I48" i="198" s="1"/>
  <c r="C38" i="164" s="1"/>
  <c r="D29" i="197"/>
  <c r="D34" i="169" s="1"/>
  <c r="D35" i="196" s="1"/>
  <c r="C20" i="182"/>
  <c r="G48" i="198" s="1"/>
  <c r="B38" i="164" s="1"/>
  <c r="A29" i="197"/>
  <c r="B34" i="169" s="1"/>
  <c r="B35" i="196" s="1"/>
  <c r="AN47" i="161"/>
  <c r="I47" i="190"/>
  <c r="D65" i="193"/>
  <c r="G68" i="141"/>
  <c r="F23" i="195"/>
  <c r="K49" i="188"/>
  <c r="J52" i="201"/>
  <c r="F24" i="185"/>
  <c r="AJ47" i="160"/>
  <c r="G66" i="187"/>
  <c r="Y23" i="178"/>
  <c r="Y49" i="178" s="1"/>
  <c r="J19" i="182" s="1"/>
  <c r="N47" i="198" s="1"/>
  <c r="F37" i="164" s="1"/>
</calcChain>
</file>

<file path=xl/sharedStrings.xml><?xml version="1.0" encoding="utf-8"?>
<sst xmlns="http://schemas.openxmlformats.org/spreadsheetml/2006/main" count="1947" uniqueCount="1034">
  <si>
    <t>BUKU</t>
  </si>
  <si>
    <t>ADMINISTRASI PENDIDIK</t>
  </si>
  <si>
    <t>PENYUSUNAN PROGRAM</t>
  </si>
  <si>
    <t>Program Keahlian</t>
  </si>
  <si>
    <t>Konsentrasi Keahlian</t>
  </si>
  <si>
    <t>Mata Pelajaran</t>
  </si>
  <si>
    <t>Fase</t>
  </si>
  <si>
    <t>Kelas</t>
  </si>
  <si>
    <t>Semester</t>
  </si>
  <si>
    <t>: Gasal</t>
  </si>
  <si>
    <t>Tahun Pelajaran</t>
  </si>
  <si>
    <t>: 2025/2026</t>
  </si>
  <si>
    <t>Nama Pendidik</t>
  </si>
  <si>
    <t>:</t>
  </si>
  <si>
    <t>N I P</t>
  </si>
  <si>
    <t>SMK NEGERI 3 YOGYAKARTA</t>
  </si>
  <si>
    <t>JL. R. W. MONGINSIDI NO. 2 YOGYAKARTA 55233</t>
  </si>
  <si>
    <t>Telp./Fax : (0274) 513503, e-mail : humas@smkn3jogja.sch.id</t>
  </si>
  <si>
    <t xml:space="preserve">VISI, MISI, TUJUAN DAN KEBIJAKAN MUTU </t>
  </si>
  <si>
    <t>VISI :</t>
  </si>
  <si>
    <t>Menjadi Lembaga Pendidikan dan Pelatihan  yang mampu menyiapkan tamatan berkarakter, kompeten,  berbudaya dan berwawasan lingkungan.</t>
  </si>
  <si>
    <t>MISI :</t>
  </si>
  <si>
    <t>Melaksanakan Pendidikan dan Pelatihan untuk menghasilkan tamatan yang beriman, bertaqwa, kompeten, dan mandiri.</t>
  </si>
  <si>
    <t xml:space="preserve">Melaksanakan Pendidikan dan Pelatihan untuk menghasilkan tamatan unggul dalam iptek dan mampu berkompetisi pada era globalisasi. </t>
  </si>
  <si>
    <t xml:space="preserve">Melaksanakan Pendidikan dan Pelatihan yang berkualitas dengan standar Nasional. </t>
  </si>
  <si>
    <t>Melaksanakan Pendidikan dan Pelatihan dengan menumbuhkan dan melestarikan budaya lokal.</t>
  </si>
  <si>
    <t>Melaksanakan Pendidikan dan Pelatihan dengan membiasakan Warga Sekolah agar selalu peduli terhadap lingkungan.</t>
  </si>
  <si>
    <t>TUJUAN :</t>
  </si>
  <si>
    <t xml:space="preserve">Menghasilkan tamatan yang beriman, bertaqwa, kompeten dan mandiri. </t>
  </si>
  <si>
    <t xml:space="preserve">Menghasilkan tamatan yang unggul dalam iptek, mampu berkompetisi pada era globalisasi tanpa meninggalkan kearifan lokal. </t>
  </si>
  <si>
    <t xml:space="preserve">Menjadi Lembaga Pendidikan dan Pelatihan yang berkualitas dengan standar Nasional. </t>
  </si>
  <si>
    <t>Menampilkan sarana dan prasarana sekolah dengan wujud budaya jogja.</t>
  </si>
  <si>
    <t>Menampilkan sikap sopan, santun dan budi pekerti sebagai cermin akhlak mulia tanpa meninggalkan budaya jogja.</t>
  </si>
  <si>
    <t>Mengembangkan lingkungan sekolah menjadi sekolah adiwiyata dengan melibatkan warga sekolah, stake holder dan instansi terkait.</t>
  </si>
  <si>
    <t>KEBIJAKAN MUTU :</t>
  </si>
  <si>
    <t>H</t>
  </si>
  <si>
    <t>umanis</t>
  </si>
  <si>
    <t>KON</t>
  </si>
  <si>
    <t>struktif</t>
  </si>
  <si>
    <t>A</t>
  </si>
  <si>
    <t>gamis</t>
  </si>
  <si>
    <t>S</t>
  </si>
  <si>
    <t>istematis</t>
  </si>
  <si>
    <t>N</t>
  </si>
  <si>
    <t>ormatif</t>
  </si>
  <si>
    <t>I</t>
  </si>
  <si>
    <t>nteraktif</t>
  </si>
  <si>
    <t>D</t>
  </si>
  <si>
    <t>inamis</t>
  </si>
  <si>
    <t>olutif</t>
  </si>
  <si>
    <t>daptif</t>
  </si>
  <si>
    <t>T</t>
  </si>
  <si>
    <t>aktis</t>
  </si>
  <si>
    <t>L</t>
  </si>
  <si>
    <t>oyal</t>
  </si>
  <si>
    <t>E</t>
  </si>
  <si>
    <t>fektif-Efisien</t>
  </si>
  <si>
    <t>yaman</t>
  </si>
  <si>
    <t xml:space="preserve">DAFTAR ISI </t>
  </si>
  <si>
    <t>Kalender pendidikan</t>
  </si>
  <si>
    <t>Jadwal pelajaran</t>
  </si>
  <si>
    <t>Perhitungan minggu efektif</t>
  </si>
  <si>
    <t>Program tahunan</t>
  </si>
  <si>
    <t>Program semester</t>
  </si>
  <si>
    <t>Analisis CP</t>
  </si>
  <si>
    <t>Analisa Materi</t>
  </si>
  <si>
    <t>ATP</t>
  </si>
  <si>
    <t>TP</t>
  </si>
  <si>
    <t>KKTP</t>
  </si>
  <si>
    <t>MA-LKPD</t>
  </si>
  <si>
    <t>Daftar Hadir</t>
  </si>
  <si>
    <t>Penanganan Peserta Didik</t>
  </si>
  <si>
    <t>Nilai Formatif</t>
  </si>
  <si>
    <t>Analisis Kebutuhan Alat</t>
  </si>
  <si>
    <t>Buku Pegangan</t>
  </si>
  <si>
    <t>Kisi-kisi</t>
  </si>
  <si>
    <t>Analisis Hasil Ulangan</t>
  </si>
  <si>
    <t>Analisis Daya Serap</t>
  </si>
  <si>
    <t>Program Perbaikan</t>
  </si>
  <si>
    <t>Program Pengayaan</t>
  </si>
  <si>
    <t>Agenda Guru</t>
  </si>
  <si>
    <t>Target dan Capaian Kurikulum</t>
  </si>
  <si>
    <t>Rencana Penilaian</t>
  </si>
  <si>
    <t>Telaah Soal Pilihan Ganda</t>
  </si>
  <si>
    <t>Telaah Soal Essay</t>
  </si>
  <si>
    <t>AHAD</t>
  </si>
  <si>
    <t>SENIN</t>
  </si>
  <si>
    <t>SELASA</t>
  </si>
  <si>
    <t>RABU</t>
  </si>
  <si>
    <t>KAMIS</t>
  </si>
  <si>
    <t>JUMÁT</t>
  </si>
  <si>
    <t>SABTU</t>
  </si>
  <si>
    <t>JULI 2025</t>
  </si>
  <si>
    <t>Kepala SMK N 3 Yogyakarta</t>
  </si>
  <si>
    <t>WIDADA, S.Pd., M.Pd.</t>
  </si>
  <si>
    <t>JADWAL MENGAJAR SMK NEGERI 3 YOGYAKARTA</t>
  </si>
  <si>
    <t>F/751/WKS1/-/02</t>
  </si>
  <si>
    <t>Tahun Pelajaran 2025/2026</t>
  </si>
  <si>
    <t>HARI</t>
  </si>
  <si>
    <t>JAM KE</t>
  </si>
  <si>
    <t>Keterangan :</t>
  </si>
  <si>
    <t>JUM'AT</t>
  </si>
  <si>
    <t>WAKTU PELAJARAN</t>
  </si>
  <si>
    <t>Senin s.d Kamis</t>
  </si>
  <si>
    <t>Jumat</t>
  </si>
  <si>
    <t>Catatan :</t>
  </si>
  <si>
    <t>Tidak Upacara</t>
  </si>
  <si>
    <t>Upacara : 07.00 - 08.00</t>
  </si>
  <si>
    <t>LITERASI</t>
  </si>
  <si>
    <t>GER TIMUN MAS</t>
  </si>
  <si>
    <t xml:space="preserve">  0.  06.45 - 07.00</t>
  </si>
  <si>
    <t xml:space="preserve">  0.  06.45 - 07.15</t>
  </si>
  <si>
    <t xml:space="preserve">  1.  07.00 - 07.45</t>
  </si>
  <si>
    <t xml:space="preserve">  1.  08.00 - 08.40</t>
  </si>
  <si>
    <t xml:space="preserve">  1.  07.15 - 07.55</t>
  </si>
  <si>
    <t xml:space="preserve">  2.  07.45 - 08.30</t>
  </si>
  <si>
    <t xml:space="preserve">  2.  08.40 - 09.20</t>
  </si>
  <si>
    <t xml:space="preserve">  2.  07.55 -08.35</t>
  </si>
  <si>
    <t xml:space="preserve">  3.  08.30 - 09.15</t>
  </si>
  <si>
    <t xml:space="preserve">  3.  09.20 - 10.00</t>
  </si>
  <si>
    <t xml:space="preserve">  3.  08.35 - 09.15</t>
  </si>
  <si>
    <t xml:space="preserve">  4.  09.15 - 10.00</t>
  </si>
  <si>
    <t xml:space="preserve">  4.  10.00 - 10.40</t>
  </si>
  <si>
    <t xml:space="preserve">    ISTIRAHAT ( 15' )</t>
  </si>
  <si>
    <t xml:space="preserve">  5.  10.15 - 11.00</t>
  </si>
  <si>
    <t xml:space="preserve">  5.  11.05 - 11.45</t>
  </si>
  <si>
    <t xml:space="preserve">  5.  10.10 - 10.50</t>
  </si>
  <si>
    <t xml:space="preserve">  6.  11.00 - 11.45</t>
  </si>
  <si>
    <t xml:space="preserve">  6.  11.45 - 12.25</t>
  </si>
  <si>
    <t xml:space="preserve">  6.  10.50 - 11.30</t>
  </si>
  <si>
    <t xml:space="preserve">    ISTIRAHAT ( 30' )</t>
  </si>
  <si>
    <t xml:space="preserve">    ISTIRAHAT (20' )</t>
  </si>
  <si>
    <t>SHOLAT JUMAT</t>
  </si>
  <si>
    <t xml:space="preserve">  7.  12.15 - 13.00</t>
  </si>
  <si>
    <t xml:space="preserve">  7.  12.45 - 13.20</t>
  </si>
  <si>
    <t xml:space="preserve">  7.  12.30 - 13.10</t>
  </si>
  <si>
    <t xml:space="preserve">  8.  13.00 - 13.45</t>
  </si>
  <si>
    <t xml:space="preserve">  8.  13.20- 13.55</t>
  </si>
  <si>
    <t xml:space="preserve">  8.  13.10 - 13.50</t>
  </si>
  <si>
    <t xml:space="preserve">  9.  13.45 - 14.30</t>
  </si>
  <si>
    <t xml:space="preserve">  9.  13.55 - 14.30</t>
  </si>
  <si>
    <t xml:space="preserve">  9.  13.50 - 14.30</t>
  </si>
  <si>
    <t>10.  14.30 - 15.15</t>
  </si>
  <si>
    <t>10.  14.30- 15.05</t>
  </si>
  <si>
    <t>10.  14.30- 15.20</t>
  </si>
  <si>
    <t>11.  15.30 - 16.15</t>
  </si>
  <si>
    <t>11.  15.20 - 16.05</t>
  </si>
  <si>
    <t>11.  15.35 - 16.10</t>
  </si>
  <si>
    <t>12.  16.15 - 17.00</t>
  </si>
  <si>
    <t>12.  16.05 - 16.40</t>
  </si>
  <si>
    <t>12.  16.10 - 16.50</t>
  </si>
  <si>
    <t>PERHITUNGAN MINGGU EFEKTIF DAN JAM EFEKTIF</t>
  </si>
  <si>
    <t>F/751/WKS1/-/03</t>
  </si>
  <si>
    <t>No.</t>
  </si>
  <si>
    <t>Bulan</t>
  </si>
  <si>
    <t>Jml Minggu dalam Semester</t>
  </si>
  <si>
    <t>Jml Minggu Tidak Efektif</t>
  </si>
  <si>
    <t>Jml Minggu Efektif</t>
  </si>
  <si>
    <t>Jml Hari Efektif</t>
  </si>
  <si>
    <t>Jml Jam Efektif</t>
  </si>
  <si>
    <t>Jumlah</t>
  </si>
  <si>
    <t xml:space="preserve">Jumlah Jam Pelajaran per Minggu      </t>
  </si>
  <si>
    <t>JP</t>
  </si>
  <si>
    <t xml:space="preserve">Jumlah Jam Pelajaran Efektif                  </t>
  </si>
  <si>
    <t>Rincian :</t>
  </si>
  <si>
    <t xml:space="preserve">a. Tatap Muka                             </t>
  </si>
  <si>
    <t>c. Ulangan Tengah Semester</t>
  </si>
  <si>
    <t xml:space="preserve">Jumlah           </t>
  </si>
  <si>
    <t>Yogyakarta,       Juli  2025</t>
  </si>
  <si>
    <t>Koordinator Mapel/KPK</t>
  </si>
  <si>
    <t xml:space="preserve">Pendidik, </t>
  </si>
  <si>
    <t>Mengetahui :</t>
  </si>
  <si>
    <t>Kepala Sekolah</t>
  </si>
  <si>
    <t>WKS-1</t>
  </si>
  <si>
    <t>F/751/WKS1/-/27</t>
  </si>
  <si>
    <t>: Genap</t>
  </si>
  <si>
    <t xml:space="preserve"> </t>
  </si>
  <si>
    <t>selisih hari antara silabus dan alokasi waktu, maka kekurangan untuk tugas/PKL</t>
  </si>
  <si>
    <t>Pendidik,</t>
  </si>
  <si>
    <t>Mengetahui</t>
  </si>
  <si>
    <t>F/751/WKS1/-/04</t>
  </si>
  <si>
    <t>PROGRAM TAHUNAN</t>
  </si>
  <si>
    <t>Elemen/Topik Pembelajaran</t>
  </si>
  <si>
    <t>Jumlah Jam</t>
  </si>
  <si>
    <t>Kegiatan Tatap Muka</t>
  </si>
  <si>
    <t>Evaluasi Tiap Kompetensi</t>
  </si>
  <si>
    <t>PTS</t>
  </si>
  <si>
    <t>JUMLAH</t>
  </si>
  <si>
    <t>KPK/Koordinator Mapel</t>
  </si>
  <si>
    <t>: F</t>
  </si>
  <si>
    <t>F/751/WKS1/-/05</t>
  </si>
  <si>
    <t>PROGRAM SEMESTER</t>
  </si>
  <si>
    <t>No</t>
  </si>
  <si>
    <t>Jml Jam</t>
  </si>
  <si>
    <t>Ket.</t>
  </si>
  <si>
    <t>B</t>
  </si>
  <si>
    <t>Koord Mapel/KPK</t>
  </si>
  <si>
    <t>Januari</t>
  </si>
  <si>
    <t>Februari</t>
  </si>
  <si>
    <t>Maret</t>
  </si>
  <si>
    <t>April</t>
  </si>
  <si>
    <t>Mei</t>
  </si>
  <si>
    <t>Juni</t>
  </si>
  <si>
    <t>F/751/WKS1/-/06</t>
  </si>
  <si>
    <t>CAPAIAN PEMBELAJARAN</t>
  </si>
  <si>
    <t>NO</t>
  </si>
  <si>
    <t>F/751/WKS1/-/07</t>
  </si>
  <si>
    <t>ANALISIS MATERI PEMBELAJARAN</t>
  </si>
  <si>
    <t>Kode Profil</t>
  </si>
  <si>
    <t>Tempat  Pembelajaran</t>
  </si>
  <si>
    <t>Sekolah (Jam.pel)</t>
  </si>
  <si>
    <t>DU/DI (Jam.pel)</t>
  </si>
  <si>
    <t>F/751/WKS1/-/08</t>
  </si>
  <si>
    <t>ALUR TUJUAN PEMBELAJARAN</t>
  </si>
  <si>
    <t>Alur No</t>
  </si>
  <si>
    <t>Elemen CP</t>
  </si>
  <si>
    <t>Topik Pelajaran</t>
  </si>
  <si>
    <t>Kode</t>
  </si>
  <si>
    <t>Alokasi Waktu</t>
  </si>
  <si>
    <t>TUJUAN PEMBELAJARAN</t>
  </si>
  <si>
    <t>F/751/WKS1/-/09</t>
  </si>
  <si>
    <t>Tujuan Pembelajaran</t>
  </si>
  <si>
    <t>Kelas/ Semester</t>
  </si>
  <si>
    <t>Pemahaman Bermakna</t>
  </si>
  <si>
    <t>Rencana Asesmen</t>
  </si>
  <si>
    <t>Model Pembelajaran</t>
  </si>
  <si>
    <t>Sumber Belajar</t>
  </si>
  <si>
    <t>x</t>
  </si>
  <si>
    <t>Yogyakarta,  Juli 2024</t>
  </si>
  <si>
    <t>WKS 1</t>
  </si>
  <si>
    <t>F/751/WKS1/-/10</t>
  </si>
  <si>
    <t>ANALISA PENGHITUNGAN KKTP</t>
  </si>
  <si>
    <t>Tindak Lanjut</t>
  </si>
  <si>
    <t>KRITERIA KETERCAPAIAN TUJUAN PEMBELAJARAN</t>
  </si>
  <si>
    <t>Baru Berkembang</t>
  </si>
  <si>
    <t>Layak</t>
  </si>
  <si>
    <t>Cakap</t>
  </si>
  <si>
    <t>Mahir</t>
  </si>
  <si>
    <t>0 – 40%</t>
  </si>
  <si>
    <t>41 – 74 %</t>
  </si>
  <si>
    <t>75 – 85%</t>
  </si>
  <si>
    <t>86 – 100%</t>
  </si>
  <si>
    <t>NAMA SEKOLAH</t>
  </si>
  <si>
    <t>BIDANG KEAHLIAN</t>
  </si>
  <si>
    <t>PROGRAM KEAHLIAN</t>
  </si>
  <si>
    <t>KONSENTRASI KEAHLIAN</t>
  </si>
  <si>
    <t>NAMA MATA PELAJARAN</t>
  </si>
  <si>
    <t xml:space="preserve">KELAS/ FASE </t>
  </si>
  <si>
    <t xml:space="preserve">: </t>
  </si>
  <si>
    <t>ALOKASI JAM PELAJARAN TOTAL</t>
  </si>
  <si>
    <t>ALOKASI JP PROJEK (P5)</t>
  </si>
  <si>
    <t xml:space="preserve">DURASI PEMBELAJARAN TIAP PERTEMUAN </t>
  </si>
  <si>
    <t>NAMA ELEMEN CAPAIAN PEMBELAJARAN</t>
  </si>
  <si>
    <t xml:space="preserve">URUTAN ELEMEN  </t>
  </si>
  <si>
    <t xml:space="preserve">MATERI/ KONTEN PEMBELAJARAN </t>
  </si>
  <si>
    <t xml:space="preserve">KEMAMPUAN AKHIR FASE </t>
  </si>
  <si>
    <t>F/751/WKS1/-/32</t>
  </si>
  <si>
    <t>SMK N 3 YOGYAKARTA</t>
  </si>
  <si>
    <t>TH 2023 - 2024</t>
  </si>
  <si>
    <t>: SMK NEGERI 3 YOGYAKARTA</t>
  </si>
  <si>
    <t>MATA PELAJARAN</t>
  </si>
  <si>
    <t xml:space="preserve">KELAS </t>
  </si>
  <si>
    <t>FASE</t>
  </si>
  <si>
    <t>ALOKASI WAKTU</t>
  </si>
  <si>
    <t>Contoh:</t>
  </si>
  <si>
    <t>KOMPETENSI DASAR/ CAPAIAN PEMBELAJARAN</t>
  </si>
  <si>
    <t>INDIKATOR / MATERI POKOK</t>
  </si>
  <si>
    <t>INTAKE</t>
  </si>
  <si>
    <t>KOMPLEKSITAS</t>
  </si>
  <si>
    <t>DAYA DUKUNG</t>
  </si>
  <si>
    <t>SKM</t>
  </si>
  <si>
    <t>INDIKATOR</t>
  </si>
  <si>
    <t>KD/CP</t>
  </si>
  <si>
    <t>KET.</t>
  </si>
  <si>
    <t>Koordinator Mapel</t>
  </si>
  <si>
    <t>Yogyakarta,     Juli 2022</t>
  </si>
  <si>
    <t>Pendidik</t>
  </si>
  <si>
    <t>Waka Kurikulum</t>
  </si>
  <si>
    <t>Drs. B. Sabri</t>
  </si>
  <si>
    <t>Maryuli Darmawan, S.Pd. M.Eng</t>
  </si>
  <si>
    <t>NIP. 19630830 198703 1 003</t>
  </si>
  <si>
    <t xml:space="preserve">NIP.  19700720 199802 1 003    </t>
  </si>
  <si>
    <t>F/751/WKS1/-/11</t>
  </si>
  <si>
    <t>MODUL AJAR DAN LKPD</t>
  </si>
  <si>
    <t>F/751/WKS1/-/12</t>
  </si>
  <si>
    <t>DAFTAR HADIR</t>
  </si>
  <si>
    <t>Wali Kelas</t>
  </si>
  <si>
    <t>Konsentrasi  Keahlian</t>
  </si>
  <si>
    <t>NAMA</t>
  </si>
  <si>
    <t>P</t>
  </si>
  <si>
    <t>Yogyakarta,  …………………</t>
  </si>
  <si>
    <t xml:space="preserve">NIP.  </t>
  </si>
  <si>
    <t>F/751/WKS1/-/13</t>
  </si>
  <si>
    <t>PENANGANAN PESERTA DIDIK BERMASALAH</t>
  </si>
  <si>
    <t xml:space="preserve">Mata Pelajaran :  </t>
  </si>
  <si>
    <t>Kelas/Semester :  Gasal</t>
  </si>
  <si>
    <t>Tahun Pelajaran :  2024/2025</t>
  </si>
  <si>
    <t>NAMA PESERTA DIDIK</t>
  </si>
  <si>
    <t>MASALAH YANG DIHADAPI</t>
  </si>
  <si>
    <t>TANGGAL</t>
  </si>
  <si>
    <t>PENYELESAIAN MASALAH</t>
  </si>
  <si>
    <t>TANDA TANGAN SISWA</t>
  </si>
  <si>
    <t>F/751/WKS1/-/14</t>
  </si>
  <si>
    <t>LEMBAR PENILAIAN FORMATIF</t>
  </si>
  <si>
    <t xml:space="preserve">Mata Pelajaran : </t>
  </si>
  <si>
    <t xml:space="preserve">Kelas : </t>
  </si>
  <si>
    <t xml:space="preserve">Konsentrasi Keahlian : </t>
  </si>
  <si>
    <t>Semester : ………..</t>
  </si>
  <si>
    <t>Tahun Pelajaran : ……….</t>
  </si>
  <si>
    <t>Nama Siswa</t>
  </si>
  <si>
    <t>KURIKULUM MERDEKA</t>
  </si>
  <si>
    <t>ELEMEN</t>
  </si>
  <si>
    <t>PAS/PAT</t>
  </si>
  <si>
    <t>RERATA</t>
  </si>
  <si>
    <t>NA</t>
  </si>
  <si>
    <t>PREDIKAT</t>
  </si>
  <si>
    <t>Tgl/bln</t>
  </si>
  <si>
    <t>NILAI</t>
  </si>
  <si>
    <t>NH</t>
  </si>
  <si>
    <t>R/P</t>
  </si>
  <si>
    <t>Klasifikasi</t>
  </si>
  <si>
    <t>Yogyakarta,   …………………………</t>
  </si>
  <si>
    <t>KP/Koord Mapel</t>
  </si>
  <si>
    <t>Ket :</t>
  </si>
  <si>
    <t xml:space="preserve">A  </t>
  </si>
  <si>
    <t>( 96 s/d 100 )</t>
  </si>
  <si>
    <t>C+</t>
  </si>
  <si>
    <t>( 70 s/d 74 )</t>
  </si>
  <si>
    <t>NILAI RERATA</t>
  </si>
  <si>
    <t>Nilai Harian</t>
  </si>
  <si>
    <t xml:space="preserve">A-   </t>
  </si>
  <si>
    <t>( 91 s/d 95 )</t>
  </si>
  <si>
    <t>C</t>
  </si>
  <si>
    <t>( 65 s/d 69 )</t>
  </si>
  <si>
    <t>LPK.P =  _____________  X 4</t>
  </si>
  <si>
    <t>Remidi/Pengayaan</t>
  </si>
  <si>
    <t>B+</t>
  </si>
  <si>
    <t>( 86 s/d 90 )</t>
  </si>
  <si>
    <t>C-</t>
  </si>
  <si>
    <t>( 60 s/d 64 )</t>
  </si>
  <si>
    <t>Penilaian dalam bentuk Angka Puluhan</t>
  </si>
  <si>
    <t>( 81 s/d 85 )</t>
  </si>
  <si>
    <t>D+</t>
  </si>
  <si>
    <t>( 55 s/d 59 )</t>
  </si>
  <si>
    <t>B-</t>
  </si>
  <si>
    <t>( 75 s/d 80 )</t>
  </si>
  <si>
    <t xml:space="preserve"> ( Kurang dari 54 )</t>
  </si>
  <si>
    <t>F/751/WKS1/37</t>
  </si>
  <si>
    <t>LEMBAR PENILAIAN KETRAMPILAN (K-4)</t>
  </si>
  <si>
    <t>Semester : …………</t>
  </si>
  <si>
    <t>Tahun Pelajaran : …………… / ……………</t>
  </si>
  <si>
    <t>KD KE-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</si>
  <si>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</si>
  <si>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</si>
  <si>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</si>
  <si>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</si>
  <si>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</si>
  <si>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</si>
  <si>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</si>
  <si>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</si>
  <si>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</si>
  <si>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</si>
  <si>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</si>
  <si>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</si>
  <si>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Nilai Lap Pencap Komp. Ketrampiln (LPK.K)</t>
  </si>
  <si>
    <t>NPr</t>
  </si>
  <si>
    <t>NPj</t>
  </si>
  <si>
    <t>Npo</t>
  </si>
  <si>
    <t xml:space="preserve">Yogyakarta,  ……………….  </t>
  </si>
  <si>
    <t>Npr</t>
  </si>
  <si>
    <t>Nilai Praktek</t>
  </si>
  <si>
    <t>LPK.K =  _____________  X 4</t>
  </si>
  <si>
    <t>Npj</t>
  </si>
  <si>
    <t>Nilai Projek</t>
  </si>
  <si>
    <t>Nilai Portopolio</t>
  </si>
  <si>
    <t>Penilaian dalam  Angka Puluhan</t>
  </si>
  <si>
    <t xml:space="preserve">Tidak Terampil </t>
  </si>
  <si>
    <t>Terampil Praktek Dengan Banyak bantuan Pembimbing</t>
  </si>
  <si>
    <t>Trampil Praktek Dengan Sedikit Bantuan pembimbing</t>
  </si>
  <si>
    <t>Trampil Praktek TaNKa Bantuan pembimbing</t>
  </si>
  <si>
    <t>F/751/WKS1/15</t>
  </si>
  <si>
    <t>ANALISIS KEBUTUHAN ALAT</t>
  </si>
  <si>
    <t>KD</t>
  </si>
  <si>
    <t>NAMA ALAT/BAHAN</t>
  </si>
  <si>
    <t>SPESIFIKASI</t>
  </si>
  <si>
    <t>VOLUME</t>
  </si>
  <si>
    <t>KETERANGAN</t>
  </si>
  <si>
    <t xml:space="preserve">Yogyakarta,     </t>
  </si>
  <si>
    <t>KP/Koordinator Mapel</t>
  </si>
  <si>
    <t>Kepala SMK Negeri 3 Yogyakarta,</t>
  </si>
  <si>
    <t>F/751/WKS1/-/16</t>
  </si>
  <si>
    <t>DAFTAR BUKU PEGANGAN</t>
  </si>
  <si>
    <t xml:space="preserve">:  </t>
  </si>
  <si>
    <t>PEGANGAN PENDIDIK</t>
  </si>
  <si>
    <t>Judul Buku</t>
  </si>
  <si>
    <t>Pengarang</t>
  </si>
  <si>
    <t>Penerbit</t>
  </si>
  <si>
    <t>Tahun</t>
  </si>
  <si>
    <t>PEGANGAN PESERTA DIDIK</t>
  </si>
  <si>
    <t xml:space="preserve">Yogyakarta, </t>
  </si>
  <si>
    <t>F/751/WKS1/-/17</t>
  </si>
  <si>
    <t>KISI-KISI PENYUSUNAN SOAL EVALUASI</t>
  </si>
  <si>
    <t>Mata Pelajaran              : Sistem Kendali Elektronika</t>
  </si>
  <si>
    <t>Jumlah Soal     : 35</t>
  </si>
  <si>
    <t>Kelas                             : XI TE 1</t>
  </si>
  <si>
    <t>Bentuk Soal            :   a. Obyektif Tes</t>
  </si>
  <si>
    <t>Waktu             : 90 Menit</t>
  </si>
  <si>
    <t>Konsentrasi Keahlian    : Elektronika Industri</t>
  </si>
  <si>
    <t>KOMPETENSI DASAR</t>
  </si>
  <si>
    <t>JUMLAH SOAL</t>
  </si>
  <si>
    <t>URAIAN MATERI</t>
  </si>
  <si>
    <t>NO SOAL</t>
  </si>
  <si>
    <t>KUNCI JAWABAN</t>
  </si>
  <si>
    <t>Menjabarkan konsep sistem kendali elektronik</t>
  </si>
  <si>
    <t xml:space="preserve">Mendeskripsikan konsep system kendali elektronik open loop dan close loop. </t>
  </si>
  <si>
    <t>Disajikan teks, peserta didik dapat mendeskripsikan konsep sistem kendali elektronik</t>
  </si>
  <si>
    <t xml:space="preserve">Mendeskripsikan fungsi - fungsi pada block diagram sistem kendali open loop dan close loop. </t>
  </si>
  <si>
    <t xml:space="preserve">Disajikan teks dan gambar, peserta didik dapat mendeskripsikan tugas dari masing – masing fungsi pada block diagram open loop dan close loop.   </t>
  </si>
  <si>
    <t xml:space="preserve">Menerapkan penggunaan konsep sistem kendali elektronika open loop dan close loop pada kehidupan sehari – hari.  </t>
  </si>
  <si>
    <t xml:space="preserve">Disajikan teks, peserta didik dapat menyimpulkan fungsi dan memberikan contoh penggunaan konsep sistem kendali elektronik open loop dan close loop.  </t>
  </si>
  <si>
    <t xml:space="preserve">Mendeskripsikan control PID dalam sistem kendali elektronik. </t>
  </si>
  <si>
    <t xml:space="preserve">Disajikan teks, peserta didik dapat mendeskripsikan kontrol PID. </t>
  </si>
  <si>
    <t>Menyimpulkan keuntungan penggunaan sistem kendali elektronik dibanding sistem kendali mekanik (manual)</t>
  </si>
  <si>
    <t>Disajikan teks, peserta didik dapat menyimpulkan keuntungan penggunaan sistem kendali elektronik dibanding sistem kendali mekanik (manual)</t>
  </si>
  <si>
    <t xml:space="preserve">Menjabarkan fungsi kaki Op-Amp LM741. </t>
  </si>
  <si>
    <t>Disajikan teks dan gambar, Op-Amp LM741, peserta didik mampu mengidentifikasi fungsi kaki Op-Amp LM741</t>
  </si>
  <si>
    <t>Yogyakarta, ……………………………..</t>
  </si>
  <si>
    <t>Drs. Bujang Sabri</t>
  </si>
  <si>
    <t>………………………………………………</t>
  </si>
  <si>
    <t>NIP. ………………………………………..</t>
  </si>
  <si>
    <t xml:space="preserve">Menghitung gain (penguatan) pada rangkaian inverting dan non – inverting </t>
  </si>
  <si>
    <t xml:space="preserve">Disajikan teks, peserta didik mampu menghitung gain (penguatan) pada </t>
  </si>
  <si>
    <t xml:space="preserve">Disajikan teks, peserta didik mampu menghitung gain (penguatan) pada rangkaian inverting dan non – inverting. </t>
  </si>
  <si>
    <t xml:space="preserve">Mendeskripsikan hasil pembacaan sinyal oscilloscope. </t>
  </si>
  <si>
    <t xml:space="preserve">Disajikan gambar, peserta didik mampu menyimpulkan rangkaian berdasarkan sinyal input dan outputnya. </t>
  </si>
  <si>
    <t xml:space="preserve">Mendeskripsikan fungsi komponen aktif dan pasif pada rangkaian inverting. </t>
  </si>
  <si>
    <t>Disajikan teks, peserta didik mampu mendeskripsikan fungsi komponen aktif dan pasif pada rangkaian inverting</t>
  </si>
  <si>
    <t>Mendeskripsikan konsep rangkaian Op – Amp proportional.</t>
  </si>
  <si>
    <t xml:space="preserve">Disajikan teks, peserta didik mampu mendeskripsikan konsep rangkaian Op-Amp proportional,  ciri – ciri, dan karakteristik.  </t>
  </si>
  <si>
    <t xml:space="preserve">Mendeskripsikan fungsi komponen aktif dan pasif pada rangkaian PID kontrol. </t>
  </si>
  <si>
    <t xml:space="preserve">Disajikan teks, peserta didik mampu mendeskripsikan fungsi komponen aktif dan pasif pada rangkaian PID kontrol </t>
  </si>
  <si>
    <t xml:space="preserve">Menghitung tegangan keluaran rangkaian Op-Amp proportional. </t>
  </si>
  <si>
    <t xml:space="preserve">Disajikan gambar, peserta didik dapat mengidentifikasi dan menghitung tegangan keluaran (Vout) rangkaian Op-Amp proportional. </t>
  </si>
  <si>
    <t xml:space="preserve">Menghitung penguatan tegangan rangkaian Op-Amp proportional. </t>
  </si>
  <si>
    <t xml:space="preserve">Disajikan gambar, peserta didik dapat mengidentifikasi dan menghitung penguatan tegangan (gain) rangkaian Op-Amp proportional. </t>
  </si>
  <si>
    <t xml:space="preserve">Mendeskripsikan konsep rangkaian Op – Amp Integrator. </t>
  </si>
  <si>
    <t>Disajikan gambar, peserta didik dapat mengidentifikasi rangkaian, fungsi rangkaian, dan fungsi komponen aktif – pasif pada rangkaian Op – Amp integrator</t>
  </si>
  <si>
    <t xml:space="preserve">Menghitung penguatan rangkaian Op – Amp integrator. </t>
  </si>
  <si>
    <t xml:space="preserve">Disajikan teks, peserta didik dapat menghitung penguatan rangkaian Op – Amp integrator. </t>
  </si>
  <si>
    <t xml:space="preserve">Mendeskripsikan ciri – ciri rangkaian Op – Amp integrator. </t>
  </si>
  <si>
    <t>Disajikan teks, peserta didik mampu mendeskripsikan ciri – ciri rangkaian Op – Amp integrator</t>
  </si>
  <si>
    <t xml:space="preserve">Mendeskripsikan rangkaian Op – Amp diferensiator. </t>
  </si>
  <si>
    <t xml:space="preserve">Disajikan teks dan gambar, peserta didik mampu mendeskripsikan rangkaian, komponen, dan fungsi rangkaian diferensiator. </t>
  </si>
  <si>
    <t xml:space="preserve">Menghitung penguatan rangkaia Op – Amp diferensiator. </t>
  </si>
  <si>
    <t xml:space="preserve">Disajikan teks, peserta didik dapat menghitung penguatan (gain) pada rangkaian Op – Amp diferensiator. </t>
  </si>
  <si>
    <t>Mendeskripsikan rumus dari rangkaian Op – Amp diferensiator</t>
  </si>
  <si>
    <t xml:space="preserve">Disajikan teks, siswa dapat mendeskripsikan persamaan matematis tegangan keluaran (Vout) dari rangkaian Op-Amp diferensiator. </t>
  </si>
  <si>
    <t>F/751/WKS1/-/18</t>
  </si>
  <si>
    <t xml:space="preserve">ANBUSO TERLAMPIR </t>
  </si>
  <si>
    <t>Tidak Wajib semua mapel/ Non Mapel UN pakai Manual saja</t>
  </si>
  <si>
    <t>F/84/WKS1/-/19</t>
  </si>
  <si>
    <t xml:space="preserve">ANALISIS KETUNTASAN DAN DAYA SERAP </t>
  </si>
  <si>
    <t xml:space="preserve">Mata Pelajaran           </t>
  </si>
  <si>
    <t>: ……..</t>
  </si>
  <si>
    <t xml:space="preserve">Kelas/Semester  </t>
  </si>
  <si>
    <t>: …………</t>
  </si>
  <si>
    <t>: …………….</t>
  </si>
  <si>
    <t xml:space="preserve">Bentuk Soal                </t>
  </si>
  <si>
    <t xml:space="preserve">Jml Peserta Didik  </t>
  </si>
  <si>
    <t xml:space="preserve">Tanggal Evaluasi           </t>
  </si>
  <si>
    <t xml:space="preserve">Jumlah Soal               </t>
  </si>
  <si>
    <t>Elemen</t>
  </si>
  <si>
    <t>NOMOR DAN BOBOT SOAL</t>
  </si>
  <si>
    <t>JML SKOR</t>
  </si>
  <si>
    <t>TERCAPAI (%)</t>
  </si>
  <si>
    <t>TUNTAS</t>
  </si>
  <si>
    <r>
      <rPr>
        <sz val="10"/>
        <color theme="1"/>
        <rFont val="Times New Roman"/>
        <charset val="134"/>
      </rPr>
      <t xml:space="preserve">a. Nilai = </t>
    </r>
    <r>
      <rPr>
        <u/>
        <sz val="10"/>
        <color indexed="8"/>
        <rFont val="Times New Roman"/>
        <charset val="134"/>
      </rPr>
      <t>Skor yg diperoleh</t>
    </r>
    <r>
      <rPr>
        <sz val="10"/>
        <color indexed="8"/>
        <rFont val="Times New Roman"/>
        <charset val="134"/>
      </rPr>
      <t xml:space="preserve"> X 100</t>
    </r>
  </si>
  <si>
    <t xml:space="preserve">          Total skor</t>
  </si>
  <si>
    <r>
      <rPr>
        <sz val="8"/>
        <color theme="1"/>
        <rFont val="Times New Roman"/>
        <charset val="134"/>
      </rPr>
      <t xml:space="preserve">b. Ketuntasan Klasikal = </t>
    </r>
    <r>
      <rPr>
        <u/>
        <sz val="8"/>
        <color indexed="8"/>
        <rFont val="Times New Roman"/>
        <charset val="134"/>
      </rPr>
      <t>Jml Peserta Didik yg Tuntas</t>
    </r>
    <r>
      <rPr>
        <sz val="8"/>
        <color indexed="8"/>
        <rFont val="Times New Roman"/>
        <charset val="134"/>
      </rPr>
      <t xml:space="preserve"> x 100%</t>
    </r>
  </si>
  <si>
    <t xml:space="preserve">         Jml Peserta Didik </t>
  </si>
  <si>
    <t xml:space="preserve">Peserta didik disebut TUNTAS belajar jika telah menguasai bahan </t>
  </si>
  <si>
    <t xml:space="preserve"> (ketercapaian belajarnya) ≥ KKM</t>
  </si>
  <si>
    <r>
      <rPr>
        <sz val="8"/>
        <color theme="1"/>
        <rFont val="Times New Roman"/>
        <charset val="134"/>
      </rPr>
      <t xml:space="preserve">Kelas disebut TUNTAS belajar jika Peserta Didik yang TUNTAS mencapai </t>
    </r>
    <r>
      <rPr>
        <sz val="8"/>
        <color indexed="8"/>
        <rFont val="Times New Roman"/>
        <charset val="134"/>
      </rPr>
      <t>≥ 85%</t>
    </r>
  </si>
  <si>
    <t>a. Jumlah Peserta Didik</t>
  </si>
  <si>
    <t>: ……</t>
  </si>
  <si>
    <t>b. Jumlah Tuntas</t>
  </si>
  <si>
    <t>c. Jumlah tidak tuntas</t>
  </si>
  <si>
    <t>d. Ketuntasan Klasikal</t>
  </si>
  <si>
    <t>: …... %</t>
  </si>
  <si>
    <t>e. Secara Klasikal</t>
  </si>
  <si>
    <t>: Tuntas / Tidak Tuntas</t>
  </si>
  <si>
    <t xml:space="preserve">Daya Serap = </t>
  </si>
  <si>
    <t>Isi rumus mencari Daya Serap dan ketentuannya</t>
  </si>
  <si>
    <t>Kesimpulan :</t>
  </si>
  <si>
    <t xml:space="preserve">Perlu perbaikan secara klasikal untuk soal </t>
  </si>
  <si>
    <t>nomor : ……………………………………………………..</t>
  </si>
  <si>
    <t xml:space="preserve">Perlu program perbaikan secara individual </t>
  </si>
  <si>
    <t>untuk Peserta Didik nomor</t>
  </si>
  <si>
    <t>…………………………………..</t>
  </si>
  <si>
    <t>Perlu program pengayaan untuk</t>
  </si>
  <si>
    <t>Peserta Didik nomor</t>
  </si>
  <si>
    <t>Yogyakarta, ………………</t>
  </si>
  <si>
    <t>: ……….</t>
  </si>
  <si>
    <t>: …………...</t>
  </si>
  <si>
    <t>F/751/WKS1/-/20</t>
  </si>
  <si>
    <t>PROGRAM PERBAIKAN / PENGAYAAN</t>
  </si>
  <si>
    <t>Tahapan :</t>
  </si>
  <si>
    <t>1. Analisis Ketuntasan Belajar</t>
  </si>
  <si>
    <t>2. Melakukan Pembinaan/Pengarahan sesuai dengan jenis kesukaran</t>
  </si>
  <si>
    <t>3. Pemberian Tugas / Materi Perbaikan / Pengayaan</t>
  </si>
  <si>
    <t>4. Pemberian Nilai Perbaikan / Pengayaan</t>
  </si>
  <si>
    <t>1. Perhitungan Ketuntasan Belajar</t>
  </si>
  <si>
    <t xml:space="preserve">    Mata Pelajaran</t>
  </si>
  <si>
    <t>: ……………</t>
  </si>
  <si>
    <t xml:space="preserve">    Kelas/Program</t>
  </si>
  <si>
    <t xml:space="preserve">    Kompetensi Dasar</t>
  </si>
  <si>
    <t xml:space="preserve">   Tanggal Tes</t>
  </si>
  <si>
    <t>NILAI (INTERVAL)</t>
  </si>
  <si>
    <t>JUMLAH SISWA</t>
  </si>
  <si>
    <t>N &lt; 75</t>
  </si>
  <si>
    <t>Mengikuti Perbaikan</t>
  </si>
  <si>
    <t>N &gt; 75</t>
  </si>
  <si>
    <t>Mengikuti Pengayaan</t>
  </si>
  <si>
    <t>2. Sebelum mendapat tugas, peserta didik mendapat arahan/bimbingan berupa jenis kesukaran</t>
  </si>
  <si>
    <t>KESUKARAN</t>
  </si>
  <si>
    <t>3. Setelah mendapat bimbingan siswa mendapat tugas</t>
  </si>
  <si>
    <t xml:space="preserve">    a. Remedial / PR soal nomor ……………………………….*)</t>
  </si>
  <si>
    <t xml:space="preserve">    b. Membuat ringkasan / ikhtisar materi tentang ………………</t>
  </si>
  <si>
    <t xml:space="preserve">    c. Mengerjakan soal berikutnya</t>
  </si>
  <si>
    <t xml:space="preserve">    d. …………………………….</t>
  </si>
  <si>
    <t xml:space="preserve">   *) Sebut jenis dan bukti fisiknya dilampirkan</t>
  </si>
  <si>
    <t>4. Data peserta didik yang mendapat nilai Perbaikan / Pengayaan</t>
  </si>
  <si>
    <t>Sebelum Perbaikan</t>
  </si>
  <si>
    <t>Setelah Perbaikam</t>
  </si>
  <si>
    <t>Tgl. …….</t>
  </si>
  <si>
    <t>Yogyakarta, ……………………….</t>
  </si>
  <si>
    <t>Kepala sekolah</t>
  </si>
  <si>
    <t>F/751/WKS1/-/21</t>
  </si>
  <si>
    <t>PROGRAM PENGAYAAN</t>
  </si>
  <si>
    <t>2. Sebelum mendapat tugas pengayaan, peserta didik mendapat arahan/bimbingan.</t>
  </si>
  <si>
    <t>JENIS ARAHAN/BIMBINGAN</t>
  </si>
  <si>
    <t xml:space="preserve">    a. Membuat ringkasan / ikhtisar materi tentang ………………………………………...……….*)</t>
  </si>
  <si>
    <t xml:space="preserve">    b. Mengerjakan soal berikutnya</t>
  </si>
  <si>
    <t xml:space="preserve">    c. …………………………….</t>
  </si>
  <si>
    <t>4. Data peserta didik yang mendapat nilai Pengayaan</t>
  </si>
  <si>
    <t>F/751/WKS1/-/22</t>
  </si>
  <si>
    <t>AGENDA HARIAN</t>
  </si>
  <si>
    <t>Nama</t>
  </si>
  <si>
    <t xml:space="preserve">Kelas                    : </t>
  </si>
  <si>
    <t>NIP.</t>
  </si>
  <si>
    <t xml:space="preserve">Tahun Pelajaran     : </t>
  </si>
  <si>
    <t>Hari/Tgl</t>
  </si>
  <si>
    <t>Jam</t>
  </si>
  <si>
    <t>Materi yang disampaikan (Elemen)</t>
  </si>
  <si>
    <t>No.RPP/MA</t>
  </si>
  <si>
    <t>Keterangan</t>
  </si>
  <si>
    <t>Materi yang disampaikan (SK/KD)</t>
  </si>
  <si>
    <t xml:space="preserve">Yogyakarta,  </t>
  </si>
  <si>
    <t>F/84/WKS1/-/23</t>
  </si>
  <si>
    <t>TARGET DAN PENCAPAIAN TARGET KURIKULUM</t>
  </si>
  <si>
    <t>Contoh</t>
  </si>
  <si>
    <t>Jul</t>
  </si>
  <si>
    <t>Ags</t>
  </si>
  <si>
    <t>Sept</t>
  </si>
  <si>
    <t>Okt</t>
  </si>
  <si>
    <t>Nov</t>
  </si>
  <si>
    <t>Des</t>
  </si>
  <si>
    <t>Jan</t>
  </si>
  <si>
    <t>Feb</t>
  </si>
  <si>
    <t>Mar</t>
  </si>
  <si>
    <t>Apr</t>
  </si>
  <si>
    <t>Jun</t>
  </si>
  <si>
    <t xml:space="preserve"> Target Kurikulum =</t>
  </si>
  <si>
    <t xml:space="preserve">Jumlah jam pelajaran yang harus diselesaikan </t>
  </si>
  <si>
    <t>(tampilan berupa histogram)</t>
  </si>
  <si>
    <t>Jumlah jam pelajaran yang harus diselesaikan dalam satu tahun</t>
  </si>
  <si>
    <t>Pencapaian Target Kurikulum :</t>
  </si>
  <si>
    <t xml:space="preserve">Jumlah jam pelajaran yang sudah diselesaikan </t>
  </si>
  <si>
    <t>(tampilan berupa diagram garis)</t>
  </si>
  <si>
    <t>F/751/WKS1/-/47</t>
  </si>
  <si>
    <t>ANALISIS JAM PEMBELAJARAN</t>
  </si>
  <si>
    <t>Standar Kompetensi/Kompetensi Dasar</t>
  </si>
  <si>
    <t>Drs. B Sabri</t>
  </si>
  <si>
    <t>ANALISIS SKM SESUAI DENGAN SILABUS KURIKULUM 2013</t>
  </si>
  <si>
    <t>MATA PELAJARAN................</t>
  </si>
  <si>
    <t>KOMP. DASAR</t>
  </si>
  <si>
    <t>IPK</t>
  </si>
  <si>
    <t>SKM IPK</t>
  </si>
  <si>
    <t>SKM MATERI POKOK</t>
  </si>
  <si>
    <t>SKM KOMP. DASAR</t>
  </si>
  <si>
    <t>SKM MAPEL</t>
  </si>
  <si>
    <t>KET</t>
  </si>
  <si>
    <t>Kompl</t>
  </si>
  <si>
    <t>Daya Duk</t>
  </si>
  <si>
    <t>Input</t>
  </si>
  <si>
    <t>3.1 dan 4.1</t>
  </si>
  <si>
    <t>3.2 dan 4.2</t>
  </si>
  <si>
    <t>3.3 dan 4.3</t>
  </si>
  <si>
    <t>dst</t>
  </si>
  <si>
    <t>Yogyakarta,    Juli 2019</t>
  </si>
  <si>
    <t>F/751/WKS1/-/24</t>
  </si>
  <si>
    <t>PERENCANAAN PENILAIAN</t>
  </si>
  <si>
    <t xml:space="preserve">Kelas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</si>
  <si>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</si>
  <si>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</si>
  <si>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</si>
  <si>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</si>
  <si>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</si>
  <si>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</si>
  <si>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</si>
  <si>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</si>
  <si>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</si>
  <si>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 (UTS)</t>
  </si>
  <si>
    <t>LISAN</t>
  </si>
  <si>
    <t>TULIS</t>
  </si>
  <si>
    <t>TUGAS</t>
  </si>
  <si>
    <t>PORT FL</t>
  </si>
  <si>
    <t>PG/ESAY</t>
  </si>
  <si>
    <t>KINERJA PRODUK</t>
  </si>
  <si>
    <t>KINERJA PRAKTIK</t>
  </si>
  <si>
    <t>PROYEK</t>
  </si>
  <si>
    <t>PORT.FL</t>
  </si>
  <si>
    <t xml:space="preserve">PG/ESAY </t>
  </si>
  <si>
    <t>DST</t>
  </si>
  <si>
    <t>Penilaian Pengetahuan :</t>
  </si>
  <si>
    <t>Penilaian Ketrampilan :</t>
  </si>
  <si>
    <t>P1 : Penilaian Lisan</t>
  </si>
  <si>
    <t>P6 : Penilaian Kinerja (produk)</t>
  </si>
  <si>
    <t>P2 : Penilaian Tertulis</t>
  </si>
  <si>
    <t>P6 : Penilaian Kinerja (praktik)</t>
  </si>
  <si>
    <t>P3 : Penilaian Penugasan</t>
  </si>
  <si>
    <t>P8 : Penilaian Proyek</t>
  </si>
  <si>
    <t>P4 : Penilaian Portofolio</t>
  </si>
  <si>
    <t>P9 : Penilaian Portofolio</t>
  </si>
  <si>
    <t>P5 : Penilaian Harian</t>
  </si>
  <si>
    <t>F/751/WKS1/-/49</t>
  </si>
  <si>
    <t xml:space="preserve"> REKAPITULASI PENILAIAN PENGETAHUAN</t>
  </si>
  <si>
    <t xml:space="preserve">P1 </t>
  </si>
  <si>
    <t xml:space="preserve">P5 ( UH) </t>
  </si>
  <si>
    <t>P10 (UTS) PG, Essay</t>
  </si>
  <si>
    <t xml:space="preserve">P11 </t>
  </si>
  <si>
    <t>N KD</t>
  </si>
  <si>
    <t xml:space="preserve"> Lisan</t>
  </si>
  <si>
    <t xml:space="preserve"> Tulis</t>
  </si>
  <si>
    <t>Tugas</t>
  </si>
  <si>
    <t>Portfol</t>
  </si>
  <si>
    <t>PG, Essay</t>
  </si>
  <si>
    <t>UAS</t>
  </si>
  <si>
    <t>ΣNA</t>
  </si>
  <si>
    <t>ΣB</t>
  </si>
  <si>
    <t>NR</t>
  </si>
  <si>
    <t>Aliansyah</t>
  </si>
  <si>
    <t>Aminuddin</t>
  </si>
  <si>
    <t>Budi Sulistyo</t>
  </si>
  <si>
    <t>N  : Nilai</t>
  </si>
  <si>
    <t>NA : Jumlah N x A</t>
  </si>
  <si>
    <t>B  : Bobot</t>
  </si>
  <si>
    <t xml:space="preserve"> B   : jumlah Bobot</t>
  </si>
  <si>
    <t>NA : N x B</t>
  </si>
  <si>
    <t>NKD : Jumlah N x A / Jumlah Bobot</t>
  </si>
  <si>
    <t>NR : Nilai Raport</t>
  </si>
  <si>
    <t>F/751/WKS1/-/50</t>
  </si>
  <si>
    <t xml:space="preserve"> REKAPITULASI PENILAIAN KETERAMPILAN</t>
  </si>
  <si>
    <t xml:space="preserve">Nilai </t>
  </si>
  <si>
    <t xml:space="preserve">P9 </t>
  </si>
  <si>
    <t>Kinerja (Produk)</t>
  </si>
  <si>
    <t>Kinerja (Praktik)</t>
  </si>
  <si>
    <t>Kinerja</t>
  </si>
  <si>
    <t>Proyek</t>
  </si>
  <si>
    <t>Portofolio</t>
  </si>
  <si>
    <t>SEKOLAH MENENTUKAN KRITERIA PENILAIAN SIKAP</t>
  </si>
  <si>
    <t>NORMA AGAMA</t>
  </si>
  <si>
    <t>PACARAN</t>
  </si>
  <si>
    <t>NORMA SUSILA</t>
  </si>
  <si>
    <t>AGAMA</t>
  </si>
  <si>
    <t>F/751/WKS1/-/25</t>
  </si>
  <si>
    <t>INSTRUMEN TELAAH SOAL PILIHAN GANDA</t>
  </si>
  <si>
    <t>Sekolah</t>
  </si>
  <si>
    <t>ASPEK YANG DINILAI</t>
  </si>
  <si>
    <t>RESPON</t>
  </si>
  <si>
    <t>SKOR SOAL NO</t>
  </si>
  <si>
    <t>MATERI</t>
  </si>
  <si>
    <t>1. Soal sesuai indicator</t>
  </si>
  <si>
    <t>(1) soal sesuai indikator</t>
  </si>
  <si>
    <t>(0) soal tidak sesuai indicator</t>
  </si>
  <si>
    <t>2. Soal dan pilihan jawaban tidak bersifat SARA, propaganda, pornografi, bermuatan politis, dan kekerasan</t>
  </si>
  <si>
    <t>(1) Soal dan pilihan jawaban tidak bersifat SARA, propaganda, pornografi, bermuatan politis, dan kekerasan</t>
  </si>
  <si>
    <t>(0) Soal dan pilihan jawaban  bersifat SARA, propaganda, pornografi, bermuatan politis, dan kekerasan</t>
  </si>
  <si>
    <t>3. Pilihan jawaban homogen dan logis</t>
  </si>
  <si>
    <t>(2) pilihan jawaban homogin dan logis</t>
  </si>
  <si>
    <t>(1)pilihan jawaban homogin atau logis</t>
  </si>
  <si>
    <t>(0) pilihan jawaban tidak homogin dan tidak logis</t>
  </si>
  <si>
    <t>4. Hanya ada satu kunci jawaban</t>
  </si>
  <si>
    <t>(1) kunci jawaban hanya satu</t>
  </si>
  <si>
    <t>(0) kunci jawaban lebih dari satu atau tidak ada atau salah</t>
  </si>
  <si>
    <t>II</t>
  </si>
  <si>
    <t>KOMPETENSI</t>
  </si>
  <si>
    <r>
      <rPr>
        <sz val="11"/>
        <color theme="1"/>
        <rFont val="Calibri"/>
        <charset val="134"/>
        <scheme val="minor"/>
      </rPr>
      <t>1.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Pokok soal jelas dan tegas</t>
    </r>
  </si>
  <si>
    <t xml:space="preserve">(2) Pokok soal jelas dan tegas  </t>
  </si>
  <si>
    <t>(1) Pokok soal jelas atau tegas</t>
  </si>
  <si>
    <t>(0) Pokok soal tidak jelas dan tidak tegas</t>
  </si>
  <si>
    <r>
      <rPr>
        <sz val="11"/>
        <color theme="1"/>
        <rFont val="Calibri"/>
        <charset val="134"/>
        <scheme val="minor"/>
      </rPr>
      <t>2.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Pokok soal atau pilihan jawaban merupakan pernyataan yang diperlukan</t>
    </r>
  </si>
  <si>
    <t>(1) Pokok soal atau pilihan jawaban merupakan pernyataan yang diperlukan</t>
  </si>
  <si>
    <t>(0) Pokok soal atau pilihan jawaban bukan  merupakan pernyataan yang diperlukan</t>
  </si>
  <si>
    <r>
      <rPr>
        <sz val="11"/>
        <color theme="1"/>
        <rFont val="Calibri"/>
        <charset val="134"/>
        <scheme val="minor"/>
      </rPr>
      <t>3.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Pokok soal tidak member petunjuk ke arah jawaban yang benar</t>
    </r>
  </si>
  <si>
    <t>(1) Pokok soal tidak member petunjuk ke arah jawaban yang benar</t>
  </si>
  <si>
    <t>(0) Pokok soal tidak member petunjuk ke arah jawaban yang benar</t>
  </si>
  <si>
    <r>
      <rPr>
        <sz val="11"/>
        <color theme="1"/>
        <rFont val="Calibri"/>
        <charset val="134"/>
        <scheme val="minor"/>
      </rPr>
      <t>4.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Pokok soal tidak mengandung pernyataan yang bersifat negatif ganda</t>
    </r>
  </si>
  <si>
    <t>(1) Tidak mengandung pernyataan yang bersifat negatif ganda</t>
  </si>
  <si>
    <t>(0) Mengandung pernyataan yang bersifat negatif ganda</t>
  </si>
  <si>
    <r>
      <rPr>
        <sz val="11"/>
        <color theme="1"/>
        <rFont val="Calibri"/>
        <charset val="134"/>
        <scheme val="minor"/>
      </rPr>
      <t>5.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Panjang rumusan pilihan jawaban relative sama</t>
    </r>
  </si>
  <si>
    <t>(1) Panjang rumusan pilihan jawaban relative sama</t>
  </si>
  <si>
    <t>(0) Salah satu rumusan pilihan jawaban panjang</t>
  </si>
  <si>
    <r>
      <rPr>
        <sz val="11"/>
        <color theme="1"/>
        <rFont val="Calibri"/>
        <charset val="134"/>
        <scheme val="minor"/>
      </rPr>
      <t>6.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Pilihan jawaban tidak mengandung pernyataan “semua pilihan jawaban di atas salah” atau “ semua pilihan jawaban di atas benar”</t>
    </r>
  </si>
  <si>
    <r>
      <rPr>
        <sz val="11"/>
        <color theme="1"/>
        <rFont val="Calibri"/>
        <charset val="134"/>
        <scheme val="minor"/>
      </rPr>
      <t>(1)</t>
    </r>
    <r>
      <rPr>
        <sz val="7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  <scheme val="minor"/>
      </rPr>
      <t>Pilihan jawaban tidak mengandung pernyataan “semua pilihan jawaban di atas salah” atau “ semua pilihan jawaban di atas benar”</t>
    </r>
  </si>
  <si>
    <r>
      <rPr>
        <sz val="11"/>
        <color theme="1"/>
        <rFont val="Calibri"/>
        <charset val="134"/>
        <scheme val="minor"/>
      </rPr>
      <t>(0)</t>
    </r>
    <r>
      <rPr>
        <sz val="7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  <scheme val="minor"/>
      </rPr>
      <t>Pilihan jawaban mengandung pernyataan “semua pilihan jawaban di atas salah” atau “ semua pilihan jawaban di atas benar”</t>
    </r>
  </si>
  <si>
    <r>
      <rPr>
        <sz val="11"/>
        <color theme="1"/>
        <rFont val="Calibri"/>
        <charset val="134"/>
        <scheme val="minor"/>
      </rPr>
      <t>7.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Pilihan jawaban yang berbentuk angka atau waktu disusun berdasarkan urutan besar kecilnya nilai angka tersebut, atau kronologis</t>
    </r>
  </si>
  <si>
    <t>(*) pilihan jawaban tidak berbentuk urutan angka atau urutan waktu</t>
  </si>
  <si>
    <t>(1) Pilihan jawaban yang berbentuk angka disusun berdasarkan urutan kecil ke besar atau sebaliknya dan pilihan jawaban waktu berdasarkan kronologisnya</t>
  </si>
  <si>
    <t>(0) Pilihan yang berbentuk angka tidak disusun berdasarkan urutan kecil ke besar atau sebaliknya dan pilihan jawaban waktu tidak berdasarkan kronologisnya</t>
  </si>
  <si>
    <r>
      <rPr>
        <sz val="11"/>
        <color theme="1"/>
        <rFont val="Calibri"/>
        <charset val="134"/>
        <scheme val="minor"/>
      </rPr>
      <t>8.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Gambar, grafik, table, diagram, dan sejenisnya yang terdapat pada soal jelas dan berfungsi</t>
    </r>
  </si>
  <si>
    <t>(*) tidk terdapat gambar, grafik, table, diagram, dan sejenisnya</t>
  </si>
  <si>
    <t>(1) gambar, grafik, table, diagram, dan sejenisnya pada soal jelas dan berfungsi</t>
  </si>
  <si>
    <t>(0) gambar, grafik, table, diagram, dan sejenisnya pada soal jelas dan berfungsi</t>
  </si>
  <si>
    <r>
      <rPr>
        <sz val="11"/>
        <color theme="1"/>
        <rFont val="Calibri"/>
        <charset val="134"/>
        <scheme val="minor"/>
      </rPr>
      <t>9.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Butir soal tidak bergantung pada pilihan jawaban soal</t>
    </r>
  </si>
  <si>
    <t>(1) Butir soal tidak bergantung pada pilihan jawaban soal</t>
  </si>
  <si>
    <t>(0) Butir soal  bergantung pada pilihan jawaban soal</t>
  </si>
  <si>
    <t>III</t>
  </si>
  <si>
    <t>BAHASA</t>
  </si>
  <si>
    <r>
      <rPr>
        <sz val="11"/>
        <color theme="1"/>
        <rFont val="Calibri"/>
        <charset val="134"/>
        <scheme val="minor"/>
      </rPr>
      <t>1.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Soal menggunakan bahasa yang sesuai dengan kaidah Bahasa Indonesia, untuk bahasa daerah dan bahasa asing sesuai kaidahnya</t>
    </r>
  </si>
  <si>
    <t>(1) bahasa sesuai dengan kaidah Bahasa Indonesia, untuk bahasa daerah dan bahasa asing sesuai kaidahnya</t>
  </si>
  <si>
    <t>(0) bahasa tidak  sesuai dengan kaidah Bahasa Indonesia, untuk bahasa daerah dan bahasa asing sesuai kaidahnya</t>
  </si>
  <si>
    <r>
      <rPr>
        <sz val="11"/>
        <color theme="1"/>
        <rFont val="Calibri"/>
        <charset val="134"/>
        <scheme val="minor"/>
      </rPr>
      <t>2.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Soal tidak menggunakan bahasa yang berlaku setempat</t>
    </r>
  </si>
  <si>
    <t>(*) khusus Mulok Bahasa Daerah/sejenisnya pilih opsi ini</t>
  </si>
  <si>
    <t>(1) tidak menggunakan bahasa yang berlaku setempat</t>
  </si>
  <si>
    <t>(0) tidak menggunakan bahasa yang berlaku setempat</t>
  </si>
  <si>
    <r>
      <rPr>
        <sz val="11"/>
        <color theme="1"/>
        <rFont val="Calibri"/>
        <charset val="134"/>
        <scheme val="minor"/>
      </rPr>
      <t>3.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Soal menggunakan bahasa yang komunikatif</t>
    </r>
  </si>
  <si>
    <t>(1) menggunakan bahasa yang komunikatif</t>
  </si>
  <si>
    <t>(0) tidak menggunakan bahasa yang komunikatif</t>
  </si>
  <si>
    <r>
      <rPr>
        <sz val="11"/>
        <color theme="1"/>
        <rFont val="Calibri"/>
        <charset val="134"/>
        <scheme val="minor"/>
      </rPr>
      <t>4.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Pilihan jawaban tidak mengulang kata atau frase yang merupakan satu kesatuan pengertian</t>
    </r>
  </si>
  <si>
    <t>(1) tidak mengulang kata atau frase</t>
  </si>
  <si>
    <t>(0) mengulang kata atau frase</t>
  </si>
  <si>
    <t>F/751/WKS1/-/26</t>
  </si>
  <si>
    <t>INSTRUMEN TELAAH SOAL URAIAN/ESSAY</t>
  </si>
  <si>
    <r>
      <rPr>
        <sz val="11"/>
        <color theme="1"/>
        <rFont val="Calibri"/>
        <charset val="134"/>
        <scheme val="minor"/>
      </rPr>
      <t>1.</t>
    </r>
    <r>
      <rPr>
        <sz val="7"/>
        <color theme="1"/>
        <rFont val="Times New Roman"/>
        <charset val="134"/>
      </rPr>
      <t xml:space="preserve">   </t>
    </r>
    <r>
      <rPr>
        <sz val="11"/>
        <color theme="1"/>
        <rFont val="Calibri"/>
        <charset val="134"/>
        <scheme val="minor"/>
      </rPr>
      <t>Soal sesuai dengan indikator (menuntut tes bentuk uraian)</t>
    </r>
  </si>
  <si>
    <r>
      <rPr>
        <sz val="11"/>
        <color rgb="FF000000"/>
        <rFont val="Calibri"/>
        <charset val="134"/>
        <scheme val="minor"/>
      </rPr>
      <t xml:space="preserve">2. </t>
    </r>
    <r>
      <rPr>
        <sz val="11"/>
        <color theme="1"/>
        <rFont val="Calibri"/>
        <charset val="134"/>
        <scheme val="minor"/>
      </rPr>
      <t>Batasan pertanyaan dan jawaban yang diharapkan sesuai</t>
    </r>
  </si>
  <si>
    <r>
      <rPr>
        <sz val="11"/>
        <color theme="1"/>
        <rFont val="Calibri"/>
        <charset val="134"/>
        <scheme val="minor"/>
      </rPr>
      <t>A.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Materi yang diukur sesuai dengan kompetensi (UKRK)</t>
    </r>
  </si>
  <si>
    <r>
      <rPr>
        <sz val="11"/>
        <color theme="1"/>
        <rFont val="Calibri"/>
        <charset val="134"/>
        <scheme val="minor"/>
      </rPr>
      <t>B.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Isi materi yang ditanyakan sesuai dengan jenjang, jenis sekolah, dan tingkat kelas</t>
    </r>
  </si>
  <si>
    <t>1. Ada petunjuk yang jelas mengenai cara mengerjakan soal</t>
  </si>
  <si>
    <t xml:space="preserve">(1) Ada petunjuk yang jelas mengenai cara mengerjakan soal </t>
  </si>
  <si>
    <t>(0) Tidak ada petunjuk yang jelas mengenai cara mengerjakan soal</t>
  </si>
  <si>
    <r>
      <rPr>
        <sz val="11"/>
        <color theme="1"/>
        <rFont val="Calibri"/>
        <charset val="134"/>
        <scheme val="minor"/>
      </rPr>
      <t>2.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Rumusan kalimat Soal/ pertanyaan menggunakan kata tanya atau perintah yang menuntut jawaban terurai</t>
    </r>
  </si>
  <si>
    <t>(1) Rumusan kalimat Soal/ pertanyaan menggunakan kata tanya atau perintah yang menuntut jawaban terurai</t>
  </si>
  <si>
    <t xml:space="preserve"> (0) Rumusan kalimat Soal/ pertanyaan tidak menggunakan kata tanya atau perintah yang menuntut jawaban terurai</t>
  </si>
  <si>
    <r>
      <rPr>
        <sz val="11"/>
        <color theme="1"/>
        <rFont val="Calibri"/>
        <charset val="134"/>
        <scheme val="minor"/>
      </rPr>
      <t>3.</t>
    </r>
    <r>
      <rPr>
        <sz val="7"/>
        <color theme="1"/>
        <rFont val="Times New Roman"/>
        <charset val="134"/>
      </rPr>
      <t xml:space="preserve">     </t>
    </r>
    <r>
      <rPr>
        <sz val="11"/>
        <color theme="1"/>
        <rFont val="Calibri"/>
        <charset val="134"/>
        <scheme val="minor"/>
      </rPr>
      <t>Gambar/grafik/tabel/diagram dan sejenisnya harus jelas dan berfungsi</t>
    </r>
  </si>
  <si>
    <t>(1) Gambar/grafik/tabel/diagram dan sejenisnya harus jelas dan berfungsi</t>
  </si>
  <si>
    <t xml:space="preserve"> (0) Gambar/grafik/tabel/diagram dan sejenisnya tidak jelas dan tidakberfungsi</t>
  </si>
  <si>
    <r>
      <rPr>
        <sz val="11"/>
        <color theme="1"/>
        <rFont val="Calibri"/>
        <charset val="134"/>
        <scheme val="minor"/>
      </rPr>
      <t>4.</t>
    </r>
    <r>
      <rPr>
        <sz val="7"/>
        <color theme="1"/>
        <rFont val="Times New Roman"/>
        <charset val="134"/>
      </rPr>
      <t xml:space="preserve">     </t>
    </r>
    <r>
      <rPr>
        <sz val="11"/>
        <color theme="1"/>
        <rFont val="Calibri"/>
        <charset val="134"/>
        <scheme val="minor"/>
      </rPr>
      <t>Ada pedoman penskoran</t>
    </r>
  </si>
  <si>
    <t>(1) Ada pedoman penskoran</t>
  </si>
  <si>
    <t>(0) Tidak ada pedoman penskoran</t>
  </si>
  <si>
    <r>
      <rPr>
        <sz val="11"/>
        <color theme="1"/>
        <rFont val="Calibri"/>
        <charset val="134"/>
        <scheme val="minor"/>
      </rPr>
      <t>1.</t>
    </r>
    <r>
      <rPr>
        <sz val="7"/>
        <color theme="1"/>
        <rFont val="Times New Roman"/>
        <charset val="134"/>
      </rPr>
      <t xml:space="preserve">     </t>
    </r>
    <r>
      <rPr>
        <sz val="11"/>
        <color theme="1"/>
        <rFont val="Calibri"/>
        <charset val="134"/>
        <scheme val="minor"/>
      </rPr>
      <t>Rumusan kalimat soal/pertanyaan komunikatif</t>
    </r>
  </si>
  <si>
    <t>(1) Rumusan kalimat soal/pertanyaan komunikatif</t>
  </si>
  <si>
    <t>(0) Rumusan kalimat soal/pertanyaan tidak  komunikatif</t>
  </si>
  <si>
    <t>2.  Butir soal menggunakan bahasa Indonesia yang baku</t>
  </si>
  <si>
    <t>(1) Butir soal menggunakan bahasa Indonesia yang baku</t>
  </si>
  <si>
    <t>(0) Butir soal tidak menggunakan bahasa Indonesia yang baku</t>
  </si>
  <si>
    <r>
      <rPr>
        <sz val="11"/>
        <color theme="1"/>
        <rFont val="Calibri"/>
        <charset val="134"/>
        <scheme val="minor"/>
      </rPr>
      <t>3.</t>
    </r>
    <r>
      <rPr>
        <sz val="7"/>
        <color theme="1"/>
        <rFont val="Times New Roman"/>
        <charset val="134"/>
      </rPr>
      <t xml:space="preserve">     </t>
    </r>
    <r>
      <rPr>
        <sz val="11"/>
        <color theme="1"/>
        <rFont val="Calibri"/>
        <charset val="134"/>
        <scheme val="minor"/>
      </rPr>
      <t>Tidak mengandung kata-kata/kalimat yang menimbulkan penafsiran ganda atau salah pengertian</t>
    </r>
  </si>
  <si>
    <t>(1) Tidak mengandung kata-kata/kalimat yang menimbulkan penafsiran ganda atau salah pengertian</t>
  </si>
  <si>
    <t xml:space="preserve"> (0) mengandung kata-kata/kalimat yang menimbulkan penafsiran ganda atau salah pengertian</t>
  </si>
  <si>
    <r>
      <rPr>
        <sz val="11"/>
        <color theme="1"/>
        <rFont val="Calibri"/>
        <charset val="134"/>
        <scheme val="minor"/>
      </rPr>
      <t>4.</t>
    </r>
    <r>
      <rPr>
        <sz val="7"/>
        <color theme="1"/>
        <rFont val="Times New Roman"/>
        <charset val="134"/>
      </rPr>
      <t xml:space="preserve">     </t>
    </r>
    <r>
      <rPr>
        <sz val="11"/>
        <color theme="1"/>
        <rFont val="Calibri"/>
        <charset val="134"/>
        <scheme val="minor"/>
      </rPr>
      <t>Tidak mengandung kata yang menyinggung perasaan</t>
    </r>
  </si>
  <si>
    <t>(1) Tidak mengandung kata yang menyinggung perasaan</t>
  </si>
  <si>
    <t xml:space="preserve"> (0) menggunakan bahasa yang komunikatif Tidak mengandung kata yang menyinggung perasaan</t>
  </si>
  <si>
    <r>
      <rPr>
        <sz val="11"/>
        <color theme="1"/>
        <rFont val="Calibri"/>
        <charset val="134"/>
        <scheme val="minor"/>
      </rPr>
      <t>5.</t>
    </r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Tidak menggunakan bahasa yang berlaku setempat/tabu</t>
    </r>
  </si>
  <si>
    <t>(1) Tidak menggunakan bahasa yang berlaku setempat/tabu</t>
  </si>
  <si>
    <t>(0) Menggunakan bahasa yang berlaku setempat/tabu</t>
  </si>
  <si>
    <t>PEMBAGIAN ALOKASI WAKTU PADA SILABUS / CAPAIAN PEMBELAJARAN</t>
  </si>
  <si>
    <t>KD / CP</t>
  </si>
  <si>
    <t xml:space="preserve">SILABUS </t>
  </si>
  <si>
    <t>PEMBELAJARAN</t>
  </si>
  <si>
    <t>TM</t>
  </si>
  <si>
    <t>PKL</t>
  </si>
  <si>
    <t>-</t>
  </si>
  <si>
    <t>GUNAWAN, S.Pd., M.M.</t>
  </si>
  <si>
    <t>LAMPIRAN KALENDER PENDIDIKAN TAHUN AJARAN 2025/2026</t>
  </si>
  <si>
    <t>SMK N 3 Yogyakarta</t>
  </si>
  <si>
    <t xml:space="preserve">1 - 11 Juli 2025 : Libur Akhir Tahun Ajaran 2024/2025  </t>
  </si>
  <si>
    <t xml:space="preserve">14 Juli 2025 : Hari Pertama Masuk Sekolah Tahun Ajaran Baru 2025/2026  </t>
  </si>
  <si>
    <t>14 - 18 Juli 2025 : MPLS Tahun Ajaran Baru 2025/2026</t>
  </si>
  <si>
    <t>31 Juli 2025 : Gelar Budaya SMK N 3 Yogyakarta</t>
  </si>
  <si>
    <t>Minggu Efektif</t>
  </si>
  <si>
    <t>Hari Efektif</t>
  </si>
  <si>
    <t xml:space="preserve">AGUSTUS 2025 </t>
  </si>
  <si>
    <t xml:space="preserve"> 4-7 Agustus 2025 : Pelaksanaan Asesmen Nasional </t>
  </si>
  <si>
    <t>14 Agustur 2025 : SMK N 3 Bersolawat</t>
  </si>
  <si>
    <t>17 Agustus 2025 : Proklamasi Kemerdekaan</t>
  </si>
  <si>
    <t>5 September 2025 : Maulid Nabi Muhammad SAW</t>
  </si>
  <si>
    <t>OKTOBER 2025</t>
  </si>
  <si>
    <t>1-9 November 2025 : Tes Kemampuan Akademik</t>
  </si>
  <si>
    <t>10-21 November 2025 : Ujian Kompetensi Keahlian Kelas XII (Gelombang 1)</t>
  </si>
  <si>
    <t>25 November 2025 : Hari Guru Nasional</t>
  </si>
  <si>
    <t>26-28 November 2025 : Ujian Sekolah Kelas XII (Gelombang 1)</t>
  </si>
  <si>
    <t>DESEMBER 2025</t>
  </si>
  <si>
    <t>1-2 Desember 2025 : Ujian Sekolah Kelas XII (Gelombang 1)</t>
  </si>
  <si>
    <t>3 - 10 Desember 2025 : Asasmen Sumatif Akhir Semester 1</t>
  </si>
  <si>
    <t>19 Desember 2025 : Penerimaan Laporan Hasil Belajar Akhir Semester 1</t>
  </si>
  <si>
    <t>22 - 31 Desember 2025 : Libur Akhir Semester 1</t>
  </si>
  <si>
    <t>25 Desember 2025 : Hari Kelahiran Yesus Kristus (Natal)</t>
  </si>
  <si>
    <t>26 Desember 2025 : Cuti Bersama Kelahiran Yesus Kristus (Natal)</t>
  </si>
  <si>
    <t>JANUARI 2026</t>
  </si>
  <si>
    <t>1 Januari 2026 : Tahun Baru 2026</t>
  </si>
  <si>
    <t>2 Januari 2026 : Awal Masuk Semester 2</t>
  </si>
  <si>
    <t xml:space="preserve">16 Januari 2026 : Isra Mi'raj Nabi Muhammad SAW  </t>
  </si>
  <si>
    <t xml:space="preserve">FEBRUARI 2026 </t>
  </si>
  <si>
    <t>17 Februari 2026 : Tahun Baru Imlek 2577</t>
  </si>
  <si>
    <t>18 - 19 Februari 2026 : Libur Awal Ramadhan 1447 H</t>
  </si>
  <si>
    <t>MARET 2026</t>
  </si>
  <si>
    <t>16 - 18 Maret 2026 : Libur Akhir Ramadhan 1447 H</t>
  </si>
  <si>
    <t>19 Maret 2026 : Hari Suci Nyepi</t>
  </si>
  <si>
    <t xml:space="preserve"> 20-21 Maret 2026 : Hari Raya Idul Fitri 1447 H</t>
  </si>
  <si>
    <t>23-27 Maret 2026 : Libur Hari Raya Idul Fitri 1447 H</t>
  </si>
  <si>
    <t>3 April 2026 : Wafat Yesus Kristus (Jumat Agung)</t>
  </si>
  <si>
    <t>6 April 2026 : Kebangkitan Yesus Kristus (Paskah)</t>
  </si>
  <si>
    <t>7-17 April 2026 : Ujian Kompetensi Keahlian Kelas XII (Gelombang 2)</t>
  </si>
  <si>
    <t>20-24  April 2026 : Ujian Sekolah Kelas XII, Tingkat X Kenah Bakti Pramuka</t>
  </si>
  <si>
    <t xml:space="preserve">  </t>
  </si>
  <si>
    <t xml:space="preserve">MEI 2026 </t>
  </si>
  <si>
    <t>1 Mei 2026 : Hari Buruh Nasional</t>
  </si>
  <si>
    <t>4 Mei 2026 : Kelulusan SMK</t>
  </si>
  <si>
    <t>5 Mei 2026 : Penyerahan siswa kelas XII</t>
  </si>
  <si>
    <t>14 Mei 2026 : Kenaikan Yesus Kristus</t>
  </si>
  <si>
    <t>27 Mei 2026 : Hari Raya Idul Adha 1447 H</t>
  </si>
  <si>
    <t xml:space="preserve">31 Mei 2026 : Hari Waisak 2570  </t>
  </si>
  <si>
    <t>JUNI 2026</t>
  </si>
  <si>
    <t>1 Juni 2026 : Hari Lahir Pancasila</t>
  </si>
  <si>
    <t>8-16 Juni 2026: Asasmen Sumatif  Akhir Tahun (Kelas X-XI)</t>
  </si>
  <si>
    <t>17 Juni 2026 : Tahun Baru Islam 14448 H</t>
  </si>
  <si>
    <t>26 Juni 2026 : Penerimaan Laporan Hasil Belajar Akhir Tahun</t>
  </si>
  <si>
    <t>29-30 Juni 2026 : Libur Akhir Tahun Ajaran 2025/2026</t>
  </si>
  <si>
    <t>JULI 2026</t>
  </si>
  <si>
    <t>1-10 Juli 2026 : Libur Akhir Tahun Ajaran 2025/2026</t>
  </si>
  <si>
    <t>13 Juli 2026 : Hari Pertama Masuk Sekolah Tahun Ajaran Baru 2026/2027</t>
  </si>
  <si>
    <t>Jumlah minggu Efektif</t>
  </si>
  <si>
    <t>Yogyakarta, Juli 2025</t>
  </si>
  <si>
    <t>Jumlah hari efektif</t>
  </si>
  <si>
    <t>Tugas Tambahan   :</t>
  </si>
  <si>
    <t xml:space="preserve">: Teknik Pemesinan </t>
  </si>
  <si>
    <t>NIP. 19670621 199412 1 003</t>
  </si>
  <si>
    <t>XII TM 3</t>
  </si>
  <si>
    <t>NISN</t>
  </si>
  <si>
    <t>No Induk</t>
  </si>
  <si>
    <t>JK</t>
  </si>
  <si>
    <t>0077354629</t>
  </si>
  <si>
    <t>TM.2321927</t>
  </si>
  <si>
    <t>Advendra Maheswara</t>
  </si>
  <si>
    <t>0087781251</t>
  </si>
  <si>
    <t>TM.2321928</t>
  </si>
  <si>
    <t>Christoper Galang Januart Pantera</t>
  </si>
  <si>
    <t>0071233252</t>
  </si>
  <si>
    <t>TM.2321929</t>
  </si>
  <si>
    <t>Fran Oriza Arlandita Setiawan</t>
  </si>
  <si>
    <t>0086935280</t>
  </si>
  <si>
    <t>TM.2321930</t>
  </si>
  <si>
    <t>Gerardus Rama Mahardika</t>
  </si>
  <si>
    <t>0081827924</t>
  </si>
  <si>
    <t>TM.2321931</t>
  </si>
  <si>
    <t>Krisna Tri Agung Wicaksono</t>
  </si>
  <si>
    <t>0083825158</t>
  </si>
  <si>
    <t>TM.2321932</t>
  </si>
  <si>
    <t>Laurenzo Maurin Zanakiray Jogo Ena</t>
  </si>
  <si>
    <t>0074696776</t>
  </si>
  <si>
    <t>TM.2321933</t>
  </si>
  <si>
    <t>Mada Fikri Priandika Windastyan</t>
  </si>
  <si>
    <t>0079361429</t>
  </si>
  <si>
    <t>TM.2321935</t>
  </si>
  <si>
    <t>Maulana Noval Ramadani</t>
  </si>
  <si>
    <t>0071273234</t>
  </si>
  <si>
    <t>TM.2321936</t>
  </si>
  <si>
    <t>Mirza Arya Pratama</t>
  </si>
  <si>
    <t>0081875805</t>
  </si>
  <si>
    <t>TM.2321937</t>
  </si>
  <si>
    <t>Misbahul Munir</t>
  </si>
  <si>
    <t>0089954679</t>
  </si>
  <si>
    <t>TM.2321938</t>
  </si>
  <si>
    <t>Mochammad Fajarinto Winasis</t>
  </si>
  <si>
    <t>0074116515</t>
  </si>
  <si>
    <t>TM.2321939</t>
  </si>
  <si>
    <t>Muhamad Adi Saputra</t>
  </si>
  <si>
    <t>0053519352</t>
  </si>
  <si>
    <t>TM.2321940</t>
  </si>
  <si>
    <t>Muhamad Galang Ramadhan</t>
  </si>
  <si>
    <t>0073870675</t>
  </si>
  <si>
    <t>TM.2321941</t>
  </si>
  <si>
    <t>Muhammad Abi Prakoso</t>
  </si>
  <si>
    <t>0071408522</t>
  </si>
  <si>
    <t>TM.2321942</t>
  </si>
  <si>
    <t>Muhammad Adnan Althaf Zeta</t>
  </si>
  <si>
    <t>0079348216</t>
  </si>
  <si>
    <t>TM.2321943</t>
  </si>
  <si>
    <t>Muhammad Ardian Juraiza</t>
  </si>
  <si>
    <t>0076039780</t>
  </si>
  <si>
    <t>TM.2321944</t>
  </si>
  <si>
    <t>Muhammad Arifin Valent Nugroho</t>
  </si>
  <si>
    <t>0089257641</t>
  </si>
  <si>
    <t>TM.2321945</t>
  </si>
  <si>
    <t>Muhammad Daffa Aldiska</t>
  </si>
  <si>
    <t>0076445006</t>
  </si>
  <si>
    <t>TM.2321947</t>
  </si>
  <si>
    <t>Muhammad Fatih Ramadhan</t>
  </si>
  <si>
    <t>0074694231</t>
  </si>
  <si>
    <t>TM.2321948</t>
  </si>
  <si>
    <t>Muhammad Ikhsan Saputra</t>
  </si>
  <si>
    <t>0074370660</t>
  </si>
  <si>
    <t>TM.2321949</t>
  </si>
  <si>
    <t>Muhammad Julian</t>
  </si>
  <si>
    <t>0078205903</t>
  </si>
  <si>
    <t>TM.2321950</t>
  </si>
  <si>
    <t>Muhammad Najib</t>
  </si>
  <si>
    <t>0073776258</t>
  </si>
  <si>
    <t>TM.2321951</t>
  </si>
  <si>
    <t>Muhammad Pasha Tri Primantoro</t>
  </si>
  <si>
    <t>0075376239</t>
  </si>
  <si>
    <t>TM.2321952</t>
  </si>
  <si>
    <t>Muhammad Pasma Batuta</t>
  </si>
  <si>
    <t>0077943882</t>
  </si>
  <si>
    <t>TM.2321953</t>
  </si>
  <si>
    <t>Muhammad Raiza Rieqy Saputra</t>
  </si>
  <si>
    <t>0083365012</t>
  </si>
  <si>
    <t>TM.2321954</t>
  </si>
  <si>
    <t>Muhammad Rajendra Basunjaya</t>
  </si>
  <si>
    <t>0088030029</t>
  </si>
  <si>
    <t>TM.2321955</t>
  </si>
  <si>
    <t>Muhammad Reyza Ghifari Suryawan</t>
  </si>
  <si>
    <t>0076534565</t>
  </si>
  <si>
    <t>TM.2321956</t>
  </si>
  <si>
    <t>Muhammad Rizky Pratama</t>
  </si>
  <si>
    <t>0087559952</t>
  </si>
  <si>
    <t>TM.2321958</t>
  </si>
  <si>
    <t>Muhammad Shobirin Pratama</t>
  </si>
  <si>
    <t>0079411267</t>
  </si>
  <si>
    <t>TM.2321959</t>
  </si>
  <si>
    <t>Nicolas Arka Narendra Arifino</t>
  </si>
  <si>
    <t>0086144048</t>
  </si>
  <si>
    <t>TM.2321960</t>
  </si>
  <si>
    <t>Raden Hazael Adnan Putra Sujatmika</t>
  </si>
  <si>
    <t>0071627791</t>
  </si>
  <si>
    <t>TM.2321961</t>
  </si>
  <si>
    <t>Stephanus Patrick Kurniawan Keban</t>
  </si>
  <si>
    <t>0069929241</t>
  </si>
  <si>
    <t>TM.2321962</t>
  </si>
  <si>
    <t>Stevanus Gabriel Davin Wisudana</t>
  </si>
  <si>
    <t>0066305548</t>
  </si>
  <si>
    <t>TM.2221238</t>
  </si>
  <si>
    <t>Noverysa Yutha Desouza</t>
  </si>
  <si>
    <t>: Utomo Pujo Harjono, S.Pd</t>
  </si>
  <si>
    <t>Pertemuan ke/Tanggal</t>
  </si>
  <si>
    <t>16/07/'25</t>
  </si>
  <si>
    <t>23/07/'25</t>
  </si>
  <si>
    <t>30/07/'25</t>
  </si>
  <si>
    <t>Tahun Pelajaran     :  2025 / 2026</t>
  </si>
  <si>
    <t>Yogyakarta,      Juli   2025</t>
  </si>
  <si>
    <t>SMK NEGERI 3 YOGYAKARTA TAHUN PELAJARAN 2025 - 2026</t>
  </si>
  <si>
    <t>Yogyakarta,    Juli 2025</t>
  </si>
  <si>
    <t>: SMKN 3 Yogyakarta</t>
  </si>
  <si>
    <t>Yogyakarta,  Juli 2025</t>
  </si>
  <si>
    <t>LEMBAR TERSENDIRI</t>
  </si>
  <si>
    <t>Membubut Ulir</t>
  </si>
  <si>
    <t>TPMBK.1</t>
  </si>
  <si>
    <t>Teknik Pemesinan Bubut/Membubut Ulir</t>
  </si>
  <si>
    <t>Yogyakarta,   Juli 2025</t>
  </si>
  <si>
    <t>XII TM1 / 5</t>
  </si>
  <si>
    <t>Memahami teknik pemesinan bubut meliputi teknik
pembubutan benda sederhana  serta kompeten sebagai operator mesin bubut dalam mengerjakan job TEFA</t>
  </si>
  <si>
    <t>Siswa mampu mengidentifikasi dan memecahkan masalah yang timbul dalam proses pemesinan bubut lanjutan secara mandiri maupun kolaboratif, serta memberikan solusi perbaikan untuk meningkatkan efisiensi dan kualitas produksi.</t>
  </si>
  <si>
    <t>Praktik</t>
  </si>
  <si>
    <t>Manual Book</t>
  </si>
  <si>
    <t>Memahami teknik pemesinan bubut meliputi teknik pembubutan benda sederhana  serta kompeten sebagai operator mesin bubut dalam mengerjakan job TEFA</t>
  </si>
  <si>
    <t>Indikator Ketercapaian KKTP</t>
  </si>
  <si>
    <t>Kompeten sebagai operator mesin bubut dalam mengerjakan job TEFA.</t>
  </si>
  <si>
    <t>Level KKTP</t>
  </si>
  <si>
    <t>Baru Berkembang:
Belum Mencapai Ketuntasan, Remidial di Seluruh Bagian mulai teori membaca gambar teknik
Layak:
Belum Mencapai Ketuntasan, Remidial di Bagian yang Diperlukan
Cakap:
Sudah Mencapai Ketuntasan, Perlu dilatih berulang
Kompeten :
Sudah Mencapai Ketuntasan, Perlu diikutkan Uji Kompetensi LSP P1 sebagai operator mesin bubut</t>
  </si>
  <si>
    <t>KPK/Koord Mapel</t>
  </si>
  <si>
    <t>Alokasi waktu tiap siswa 20 jpl</t>
  </si>
  <si>
    <t>Drs. M. Hasannuddin</t>
  </si>
  <si>
    <t>: Mata Pelajaran Pilihan (CAM)</t>
  </si>
  <si>
    <t>: XI TM3</t>
  </si>
  <si>
    <t>Hermawan Rochmadi, S. Pd.</t>
  </si>
  <si>
    <t>19920317 201903 1 009</t>
  </si>
  <si>
    <t>MPPTM</t>
  </si>
  <si>
    <t>DDK</t>
  </si>
  <si>
    <t xml:space="preserve">  4.  09.15 - 09.55</t>
  </si>
  <si>
    <t>Kelas/Ruang</t>
  </si>
  <si>
    <t>1. Wali Kelas X TM4  2  jam</t>
  </si>
  <si>
    <t>NIP. 19920317 201903 1 009</t>
  </si>
  <si>
    <t>NIP. 19711213 200501 1 004</t>
  </si>
  <si>
    <t>KPK Teknik Mesin</t>
  </si>
  <si>
    <t>NIP. 19690212 200012 1 002</t>
  </si>
  <si>
    <r>
      <t xml:space="preserve">: </t>
    </r>
    <r>
      <rPr>
        <sz val="10"/>
        <color theme="1"/>
        <rFont val="Times New Roman"/>
        <charset val="134"/>
      </rPr>
      <t>Teknik Mesin</t>
    </r>
  </si>
  <si>
    <t>Juli</t>
  </si>
  <si>
    <t>Agustus</t>
  </si>
  <si>
    <t>September</t>
  </si>
  <si>
    <t>Oktober</t>
  </si>
  <si>
    <t>November</t>
  </si>
  <si>
    <t>Desember</t>
  </si>
  <si>
    <t>b.  UH ( 3 x 4)</t>
  </si>
  <si>
    <t>SEPTEMBER 2025</t>
  </si>
  <si>
    <t>15 September 2025 : Pergantian Blok 2</t>
  </si>
  <si>
    <t>30 Maret 2025 : Pergantian Blok 2</t>
  </si>
  <si>
    <t>11 TM3/4 - Lab Mastercam</t>
  </si>
  <si>
    <t>X TM1/2 - R72</t>
  </si>
  <si>
    <t>11 TM1/2 - Lab Mastercam</t>
  </si>
  <si>
    <t>b. Ulangan Harian (3 x 4)</t>
  </si>
  <si>
    <t>2D Modelling dengan software CAM</t>
  </si>
  <si>
    <t>3D Modelling dengan software CAM</t>
  </si>
  <si>
    <t>Pemrograman 3D dengan software CAM</t>
  </si>
  <si>
    <t>Septermber</t>
  </si>
  <si>
    <t>**</t>
  </si>
  <si>
    <t>** = Libur awal ramadhan</t>
  </si>
  <si>
    <t xml:space="preserve">Pada fase  ini, peserta didik mampu mendemonstrasikan pembuatan modelling 2D dan 3D serta pemrograman 2D dan 3D menggunakan software CAM
</t>
  </si>
  <si>
    <t xml:space="preserve">ELEMEN </t>
  </si>
  <si>
    <t>Mata Pelajaran Pilihan Pemesinan (CAM)</t>
  </si>
  <si>
    <t>2D modelling dengan CAM</t>
  </si>
  <si>
    <t>3D modelling dengan CAM</t>
  </si>
  <si>
    <t>Pemrograman 2D dengan software CAM</t>
  </si>
  <si>
    <t>Pemrograman contour, drill, dan pocket 2D</t>
  </si>
  <si>
    <t xml:space="preserve">Pemrograman 3D </t>
  </si>
  <si>
    <t>MPP1</t>
  </si>
  <si>
    <t>MPP2</t>
  </si>
  <si>
    <t>MPP3</t>
  </si>
  <si>
    <t>MPP4</t>
  </si>
  <si>
    <t>SEM 3</t>
  </si>
  <si>
    <t>SEM 4</t>
  </si>
  <si>
    <t>SEM4</t>
  </si>
  <si>
    <t>Jumlah jam mengajar 24 jam</t>
  </si>
  <si>
    <t>Alokasi Waktu ( JP )</t>
  </si>
  <si>
    <t>ANALISIS CAPAIAN PEMBELAJARAN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</si>
</sst>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0.0"/>
    <numFmt numFmtId="165" formatCode="0.0%"/>
  </numFmts>
  <fonts count="115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4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name val="Times New Roman"/>
      <charset val="134"/>
    </font>
    <font>
      <sz val="11"/>
      <color rgb="FFFF0000"/>
      <name val="Times New Roman"/>
      <charset val="134"/>
    </font>
    <font>
      <b/>
      <u/>
      <sz val="12"/>
      <color theme="1"/>
      <name val="Times New Roman"/>
      <charset val="134"/>
    </font>
    <font>
      <b/>
      <u/>
      <sz val="12"/>
      <name val="Times New Roman"/>
      <charset val="134"/>
    </font>
    <font>
      <sz val="8"/>
      <color theme="1"/>
      <name val="Times New Roman"/>
      <charset val="134"/>
    </font>
    <font>
      <b/>
      <sz val="8"/>
      <name val="Times New Roman"/>
      <charset val="134"/>
    </font>
    <font>
      <i/>
      <sz val="8"/>
      <name val="Times New Roman"/>
      <charset val="134"/>
    </font>
    <font>
      <b/>
      <sz val="6"/>
      <color theme="1"/>
      <name val="Times New Roman"/>
      <charset val="134"/>
    </font>
    <font>
      <sz val="10"/>
      <color rgb="FFFF0000"/>
      <name val="Times New Roman"/>
      <charset val="134"/>
    </font>
    <font>
      <sz val="24"/>
      <color rgb="FFFF0000"/>
      <name val="Calibri"/>
      <charset val="1"/>
      <scheme val="minor"/>
    </font>
    <font>
      <sz val="18"/>
      <color rgb="FFFF0000"/>
      <name val="Calibri"/>
      <charset val="1"/>
      <scheme val="minor"/>
    </font>
    <font>
      <sz val="24"/>
      <color theme="1"/>
      <name val="Calibri"/>
      <charset val="1"/>
      <scheme val="minor"/>
    </font>
    <font>
      <sz val="11"/>
      <color theme="1"/>
      <name val="Arial Narrow"/>
      <charset val="134"/>
    </font>
    <font>
      <sz val="12"/>
      <color indexed="8"/>
      <name val="Times New Roman"/>
      <charset val="134"/>
    </font>
    <font>
      <sz val="10"/>
      <color indexed="8"/>
      <name val="Times New Roman"/>
      <charset val="134"/>
    </font>
    <font>
      <sz val="11"/>
      <color indexed="8"/>
      <name val="Times New Roman"/>
      <charset val="134"/>
    </font>
    <font>
      <sz val="8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theme="1"/>
      <name val="Arial Narrow"/>
      <charset val="134"/>
    </font>
    <font>
      <sz val="12"/>
      <color theme="1"/>
      <name val="Arial Narrow"/>
      <charset val="134"/>
    </font>
    <font>
      <sz val="9"/>
      <color theme="1"/>
      <name val="Arial Narrow"/>
      <charset val="134"/>
    </font>
    <font>
      <sz val="10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indexed="8"/>
      <name val="Arial Narrow"/>
      <charset val="134"/>
    </font>
    <font>
      <b/>
      <sz val="12"/>
      <color indexed="8"/>
      <name val="Times New Roman"/>
      <charset val="134"/>
    </font>
    <font>
      <sz val="12"/>
      <color indexed="8"/>
      <name val="Arial Narrow"/>
      <charset val="134"/>
    </font>
    <font>
      <sz val="12"/>
      <name val="Times New Roman"/>
      <charset val="134"/>
    </font>
    <font>
      <b/>
      <i/>
      <sz val="11"/>
      <color rgb="FFFF0000"/>
      <name val="Times New Roman"/>
      <charset val="134"/>
    </font>
    <font>
      <sz val="10"/>
      <color rgb="FF000000"/>
      <name val="Times New Roman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4"/>
      <name val="Times New Roman"/>
      <charset val="134"/>
    </font>
    <font>
      <sz val="11"/>
      <color theme="1"/>
      <name val="Times New Roman"/>
      <charset val="1"/>
    </font>
    <font>
      <b/>
      <sz val="14"/>
      <color theme="1"/>
      <name val="Arial Narrow"/>
      <charset val="134"/>
    </font>
    <font>
      <sz val="14"/>
      <color theme="1"/>
      <name val="Arial Narrow"/>
      <charset val="134"/>
    </font>
    <font>
      <b/>
      <sz val="20"/>
      <color theme="1"/>
      <name val="Arial Narrow"/>
      <charset val="134"/>
    </font>
    <font>
      <b/>
      <sz val="16"/>
      <color theme="1"/>
      <name val="Arial Narrow"/>
      <charset val="134"/>
    </font>
    <font>
      <i/>
      <sz val="14"/>
      <color theme="1"/>
      <name val="Arial Narrow"/>
      <charset val="134"/>
    </font>
    <font>
      <i/>
      <sz val="14"/>
      <name val="Arial Narrow"/>
      <charset val="134"/>
    </font>
    <font>
      <b/>
      <sz val="18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28"/>
      <color theme="1"/>
      <name val="Times New Roman"/>
      <charset val="134"/>
    </font>
    <font>
      <b/>
      <sz val="20"/>
      <color theme="1"/>
      <name val="Times New Roman"/>
      <charset val="134"/>
    </font>
    <font>
      <sz val="9"/>
      <color rgb="FFFF0000"/>
      <name val="Times New Roman"/>
      <charset val="134"/>
    </font>
    <font>
      <sz val="10"/>
      <name val="Arial"/>
      <charset val="134"/>
    </font>
    <font>
      <sz val="7"/>
      <color theme="1"/>
      <name val="Times New Roman"/>
      <charset val="134"/>
    </font>
    <font>
      <u/>
      <sz val="10"/>
      <color indexed="8"/>
      <name val="Times New Roman"/>
      <charset val="134"/>
    </font>
    <font>
      <u/>
      <sz val="8"/>
      <color indexed="8"/>
      <name val="Times New Roman"/>
      <charset val="134"/>
    </font>
    <font>
      <b/>
      <sz val="12"/>
      <name val="Arial Narrow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 Narrow"/>
      <family val="2"/>
    </font>
    <font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name val="Arial Narrow"/>
      <family val="2"/>
    </font>
    <font>
      <b/>
      <sz val="14"/>
      <color rgb="FF00000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4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FF0000"/>
      <name val="Arial Narrow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i/>
      <sz val="11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rgb="FFDADADA"/>
      </patternFill>
    </fill>
    <fill>
      <patternFill patternType="solid">
        <fgColor rgb="FFF4B084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806000"/>
      </patternFill>
    </fill>
    <fill>
      <patternFill patternType="solid">
        <fgColor rgb="FF00B0F0"/>
      </patternFill>
    </fill>
    <fill>
      <patternFill patternType="solid">
        <fgColor rgb="FFC65911"/>
      </patternFill>
    </fill>
    <fill>
      <patternFill patternType="solid">
        <fgColor rgb="FF70AD47"/>
      </patternFill>
    </fill>
    <fill>
      <patternFill patternType="solid">
        <fgColor rgb="FF007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83F14"/>
      </patternFill>
    </fill>
    <fill>
      <patternFill patternType="solid">
        <fgColor rgb="FF2F75B5"/>
      </patternFill>
    </fill>
    <fill>
      <patternFill patternType="solid">
        <fgColor rgb="FFBF8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ashDotDot">
        <color auto="1"/>
      </bottom>
      <diagonal/>
    </border>
    <border>
      <left style="thin">
        <color auto="1"/>
      </left>
      <right/>
      <top style="dashDotDot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7">
    <xf numFmtId="0" fontId="0" fillId="0" borderId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" fillId="0" borderId="0"/>
  </cellStyleXfs>
  <cellXfs count="101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justify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justify" vertical="center" wrapText="1"/>
    </xf>
    <xf numFmtId="0" fontId="11" fillId="0" borderId="14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2"/>
    </xf>
    <xf numFmtId="0" fontId="1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3" fillId="0" borderId="24" xfId="0" applyFont="1" applyBorder="1" applyAlignment="1">
      <alignment horizontal="center" vertical="center" wrapText="1"/>
    </xf>
    <xf numFmtId="20" fontId="13" fillId="0" borderId="24" xfId="0" applyNumberFormat="1" applyFont="1" applyBorder="1" applyAlignment="1">
      <alignment horizontal="center" vertical="center" wrapText="1"/>
    </xf>
    <xf numFmtId="0" fontId="11" fillId="0" borderId="0" xfId="0" applyFont="1"/>
    <xf numFmtId="0" fontId="13" fillId="0" borderId="24" xfId="0" applyFont="1" applyBorder="1" applyAlignment="1">
      <alignment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0" fillId="0" borderId="24" xfId="0" applyBorder="1" applyAlignment="1">
      <alignment vertical="top" wrapText="1"/>
    </xf>
    <xf numFmtId="15" fontId="10" fillId="0" borderId="0" xfId="0" applyNumberFormat="1" applyFont="1" applyAlignment="1">
      <alignment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20" fontId="13" fillId="0" borderId="26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/>
    </xf>
    <xf numFmtId="0" fontId="11" fillId="0" borderId="1" xfId="0" applyFont="1" applyBorder="1"/>
    <xf numFmtId="0" fontId="3" fillId="0" borderId="0" xfId="0" applyFont="1"/>
    <xf numFmtId="0" fontId="9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4" xfId="0" applyBorder="1"/>
    <xf numFmtId="164" fontId="0" fillId="0" borderId="1" xfId="0" applyNumberFormat="1" applyBorder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4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4" fillId="3" borderId="0" xfId="0" applyFont="1" applyFill="1"/>
    <xf numFmtId="0" fontId="27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top"/>
    </xf>
    <xf numFmtId="0" fontId="28" fillId="0" borderId="0" xfId="0" applyFont="1"/>
    <xf numFmtId="9" fontId="28" fillId="0" borderId="0" xfId="0" applyNumberFormat="1" applyFont="1"/>
    <xf numFmtId="9" fontId="21" fillId="0" borderId="0" xfId="0" applyNumberFormat="1" applyFont="1" applyAlignment="1">
      <alignment vertical="center"/>
    </xf>
    <xf numFmtId="10" fontId="21" fillId="0" borderId="0" xfId="0" applyNumberFormat="1" applyFont="1" applyAlignment="1">
      <alignment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horizontal="center"/>
    </xf>
    <xf numFmtId="165" fontId="21" fillId="0" borderId="0" xfId="0" applyNumberFormat="1" applyFont="1" applyAlignment="1">
      <alignment horizontal="center" vertical="top"/>
    </xf>
    <xf numFmtId="165" fontId="21" fillId="0" borderId="0" xfId="0" applyNumberFormat="1" applyFont="1" applyAlignment="1">
      <alignment horizontal="center"/>
    </xf>
    <xf numFmtId="9" fontId="21" fillId="0" borderId="0" xfId="0" applyNumberFormat="1" applyFont="1" applyAlignment="1">
      <alignment horizontal="center"/>
    </xf>
    <xf numFmtId="9" fontId="21" fillId="0" borderId="0" xfId="0" applyNumberFormat="1" applyFont="1" applyAlignment="1">
      <alignment horizontal="center" vertical="top"/>
    </xf>
    <xf numFmtId="9" fontId="23" fillId="0" borderId="0" xfId="0" applyNumberFormat="1" applyFont="1" applyAlignment="1">
      <alignment horizontal="center" vertical="top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10" fillId="0" borderId="0" xfId="0" applyFont="1"/>
    <xf numFmtId="0" fontId="28" fillId="0" borderId="1" xfId="0" applyFont="1" applyBorder="1" applyAlignment="1">
      <alignment horizontal="center" vertical="center"/>
    </xf>
    <xf numFmtId="15" fontId="28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vertical="top"/>
    </xf>
    <xf numFmtId="165" fontId="21" fillId="0" borderId="0" xfId="0" applyNumberFormat="1" applyFont="1" applyAlignment="1">
      <alignment vertical="top"/>
    </xf>
    <xf numFmtId="165" fontId="21" fillId="0" borderId="0" xfId="0" applyNumberFormat="1" applyFont="1"/>
    <xf numFmtId="0" fontId="21" fillId="0" borderId="0" xfId="0" applyFont="1" applyAlignment="1">
      <alignment horizontal="left" vertical="top"/>
    </xf>
    <xf numFmtId="1" fontId="4" fillId="0" borderId="0" xfId="0" applyNumberFormat="1" applyFont="1"/>
    <xf numFmtId="0" fontId="24" fillId="0" borderId="0" xfId="0" applyFont="1"/>
    <xf numFmtId="0" fontId="2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36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/>
    </xf>
    <xf numFmtId="16" fontId="4" fillId="0" borderId="14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4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wrapText="1"/>
    </xf>
    <xf numFmtId="0" fontId="24" fillId="0" borderId="1" xfId="0" applyFont="1" applyBorder="1" applyAlignment="1">
      <alignment horizontal="center"/>
    </xf>
    <xf numFmtId="0" fontId="25" fillId="0" borderId="47" xfId="0" applyFont="1" applyBorder="1" applyAlignment="1">
      <alignment horizontal="center"/>
    </xf>
    <xf numFmtId="0" fontId="25" fillId="0" borderId="49" xfId="0" applyFont="1" applyBorder="1" applyAlignment="1">
      <alignment horizontal="center" wrapText="1"/>
    </xf>
    <xf numFmtId="0" fontId="24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wrapText="1"/>
    </xf>
    <xf numFmtId="0" fontId="25" fillId="0" borderId="1" xfId="0" applyFont="1" applyBorder="1"/>
    <xf numFmtId="0" fontId="25" fillId="0" borderId="8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/>
    <xf numFmtId="0" fontId="25" fillId="0" borderId="62" xfId="0" applyFont="1" applyBorder="1" applyAlignment="1">
      <alignment horizontal="center"/>
    </xf>
    <xf numFmtId="0" fontId="31" fillId="0" borderId="0" xfId="0" applyFont="1"/>
    <xf numFmtId="0" fontId="24" fillId="0" borderId="28" xfId="0" applyFont="1" applyBorder="1" applyAlignment="1">
      <alignment horizontal="center" wrapText="1"/>
    </xf>
    <xf numFmtId="0" fontId="24" fillId="0" borderId="29" xfId="0" applyFont="1" applyBorder="1" applyAlignment="1">
      <alignment horizontal="center"/>
    </xf>
    <xf numFmtId="0" fontId="25" fillId="0" borderId="47" xfId="0" applyFont="1" applyBorder="1" applyAlignment="1">
      <alignment horizontal="center" wrapText="1"/>
    </xf>
    <xf numFmtId="0" fontId="25" fillId="0" borderId="50" xfId="0" applyFont="1" applyBorder="1"/>
    <xf numFmtId="0" fontId="25" fillId="0" borderId="49" xfId="0" applyFont="1" applyBorder="1" applyAlignment="1">
      <alignment horizontal="center"/>
    </xf>
    <xf numFmtId="0" fontId="21" fillId="0" borderId="0" xfId="0" applyFont="1"/>
    <xf numFmtId="0" fontId="21" fillId="0" borderId="1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4" fillId="0" borderId="46" xfId="0" applyFont="1" applyBorder="1" applyAlignment="1">
      <alignment horizontal="left" vertical="center" indent="1"/>
    </xf>
    <xf numFmtId="1" fontId="33" fillId="0" borderId="14" xfId="0" applyNumberFormat="1" applyFont="1" applyBorder="1"/>
    <xf numFmtId="0" fontId="33" fillId="0" borderId="14" xfId="0" applyFont="1" applyBorder="1"/>
    <xf numFmtId="0" fontId="33" fillId="0" borderId="1" xfId="0" applyFont="1" applyBorder="1" applyAlignment="1">
      <alignment horizontal="center" vertical="center"/>
    </xf>
    <xf numFmtId="0" fontId="34" fillId="0" borderId="1" xfId="9" applyFont="1" applyBorder="1" applyAlignment="1">
      <alignment horizontal="left" vertical="center" indent="1"/>
    </xf>
    <xf numFmtId="1" fontId="33" fillId="0" borderId="1" xfId="0" applyNumberFormat="1" applyFont="1" applyBorder="1"/>
    <xf numFmtId="0" fontId="33" fillId="0" borderId="1" xfId="0" applyFont="1" applyBorder="1"/>
    <xf numFmtId="0" fontId="34" fillId="0" borderId="1" xfId="0" applyFont="1" applyBorder="1" applyAlignment="1">
      <alignment horizontal="left" vertical="center" indent="1"/>
    </xf>
    <xf numFmtId="0" fontId="35" fillId="3" borderId="1" xfId="0" applyFont="1" applyFill="1" applyBorder="1" applyAlignment="1">
      <alignment horizontal="left" vertical="center" indent="1"/>
    </xf>
    <xf numFmtId="164" fontId="28" fillId="0" borderId="0" xfId="0" applyNumberFormat="1" applyFont="1"/>
    <xf numFmtId="0" fontId="10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1" fontId="33" fillId="0" borderId="14" xfId="0" applyNumberFormat="1" applyFont="1" applyBorder="1" applyAlignment="1">
      <alignment horizontal="center"/>
    </xf>
    <xf numFmtId="2" fontId="33" fillId="0" borderId="14" xfId="0" applyNumberFormat="1" applyFont="1" applyBorder="1"/>
    <xf numFmtId="10" fontId="33" fillId="0" borderId="14" xfId="0" applyNumberFormat="1" applyFont="1" applyBorder="1"/>
    <xf numFmtId="2" fontId="33" fillId="0" borderId="1" xfId="0" applyNumberFormat="1" applyFont="1" applyBorder="1"/>
    <xf numFmtId="0" fontId="28" fillId="0" borderId="0" xfId="0" applyFont="1" applyAlignment="1">
      <alignment vertical="top"/>
    </xf>
    <xf numFmtId="0" fontId="33" fillId="0" borderId="0" xfId="0" applyFont="1"/>
    <xf numFmtId="0" fontId="33" fillId="0" borderId="0" xfId="0" applyFont="1" applyAlignment="1">
      <alignment vertical="top"/>
    </xf>
    <xf numFmtId="0" fontId="28" fillId="0" borderId="0" xfId="0" applyFont="1" applyAlignment="1">
      <alignment horizontal="left" indent="2"/>
    </xf>
    <xf numFmtId="0" fontId="37" fillId="0" borderId="0" xfId="0" applyFont="1"/>
    <xf numFmtId="0" fontId="39" fillId="0" borderId="0" xfId="0" applyFont="1" applyAlignment="1">
      <alignment vertical="center"/>
    </xf>
    <xf numFmtId="0" fontId="40" fillId="0" borderId="0" xfId="0" applyFont="1"/>
    <xf numFmtId="0" fontId="41" fillId="0" borderId="0" xfId="5" applyFont="1"/>
    <xf numFmtId="0" fontId="4" fillId="0" borderId="0" xfId="5" applyFont="1"/>
    <xf numFmtId="0" fontId="28" fillId="0" borderId="0" xfId="5" applyFont="1"/>
    <xf numFmtId="0" fontId="5" fillId="0" borderId="1" xfId="5" applyFont="1" applyBorder="1" applyAlignment="1">
      <alignment horizontal="center" vertical="center" wrapText="1"/>
    </xf>
    <xf numFmtId="0" fontId="21" fillId="0" borderId="1" xfId="5" applyFont="1" applyBorder="1" applyAlignment="1">
      <alignment horizontal="center" vertical="center" wrapText="1"/>
    </xf>
    <xf numFmtId="0" fontId="4" fillId="0" borderId="1" xfId="5" applyFont="1" applyBorder="1"/>
    <xf numFmtId="0" fontId="4" fillId="0" borderId="1" xfId="5" applyFont="1" applyBorder="1" applyAlignment="1">
      <alignment horizontal="left" indent="7"/>
    </xf>
    <xf numFmtId="0" fontId="41" fillId="0" borderId="1" xfId="5" applyFont="1" applyBorder="1"/>
    <xf numFmtId="0" fontId="4" fillId="0" borderId="0" xfId="5" applyFont="1" applyAlignment="1">
      <alignment horizontal="left" indent="7"/>
    </xf>
    <xf numFmtId="0" fontId="4" fillId="0" borderId="0" xfId="5" applyFont="1" applyAlignment="1">
      <alignment horizontal="left" indent="4"/>
    </xf>
    <xf numFmtId="0" fontId="5" fillId="0" borderId="3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9" fillId="0" borderId="1" xfId="5" applyFont="1" applyBorder="1" applyAlignment="1">
      <alignment horizontal="center" vertical="center"/>
    </xf>
    <xf numFmtId="0" fontId="9" fillId="0" borderId="0" xfId="5" applyFont="1" applyAlignment="1">
      <alignment vertical="center"/>
    </xf>
    <xf numFmtId="15" fontId="28" fillId="0" borderId="0" xfId="0" applyNumberFormat="1" applyFont="1" applyAlignment="1">
      <alignment vertical="center"/>
    </xf>
    <xf numFmtId="0" fontId="4" fillId="0" borderId="0" xfId="5" applyFont="1" applyAlignment="1">
      <alignment vertical="center"/>
    </xf>
    <xf numFmtId="0" fontId="24" fillId="0" borderId="0" xfId="5" applyFont="1" applyAlignment="1">
      <alignment horizontal="center" vertical="center"/>
    </xf>
    <xf numFmtId="0" fontId="25" fillId="0" borderId="0" xfId="5" applyFont="1" applyAlignment="1">
      <alignment horizontal="left" vertical="center"/>
    </xf>
    <xf numFmtId="0" fontId="25" fillId="0" borderId="0" xfId="5" applyFont="1" applyAlignment="1">
      <alignment vertical="center"/>
    </xf>
    <xf numFmtId="0" fontId="25" fillId="0" borderId="0" xfId="5" applyFont="1" applyAlignment="1">
      <alignment horizontal="center" vertical="center"/>
    </xf>
    <xf numFmtId="0" fontId="21" fillId="0" borderId="71" xfId="5" applyFont="1" applyBorder="1" applyAlignment="1">
      <alignment horizontal="center" vertical="center"/>
    </xf>
    <xf numFmtId="0" fontId="21" fillId="3" borderId="75" xfId="5" applyFont="1" applyFill="1" applyBorder="1" applyAlignment="1">
      <alignment horizontal="center" vertical="center"/>
    </xf>
    <xf numFmtId="0" fontId="21" fillId="3" borderId="76" xfId="5" applyFont="1" applyFill="1" applyBorder="1" applyAlignment="1">
      <alignment horizontal="center" vertical="center"/>
    </xf>
    <xf numFmtId="0" fontId="21" fillId="3" borderId="77" xfId="5" applyFont="1" applyFill="1" applyBorder="1" applyAlignment="1">
      <alignment horizontal="center" vertical="center"/>
    </xf>
    <xf numFmtId="0" fontId="4" fillId="0" borderId="78" xfId="5" applyFont="1" applyBorder="1" applyAlignment="1">
      <alignment horizontal="center" vertical="center"/>
    </xf>
    <xf numFmtId="0" fontId="4" fillId="0" borderId="79" xfId="5" applyFont="1" applyBorder="1" applyAlignment="1">
      <alignment horizontal="center" vertical="center"/>
    </xf>
    <xf numFmtId="0" fontId="21" fillId="0" borderId="78" xfId="5" applyFont="1" applyBorder="1" applyAlignment="1">
      <alignment horizontal="center" vertical="center"/>
    </xf>
    <xf numFmtId="0" fontId="28" fillId="3" borderId="7" xfId="5" applyFont="1" applyFill="1" applyBorder="1" applyAlignment="1">
      <alignment horizontal="center" vertical="center"/>
    </xf>
    <xf numFmtId="0" fontId="28" fillId="3" borderId="14" xfId="5" applyFont="1" applyFill="1" applyBorder="1" applyAlignment="1">
      <alignment horizontal="center" vertical="center"/>
    </xf>
    <xf numFmtId="0" fontId="28" fillId="3" borderId="80" xfId="5" applyFont="1" applyFill="1" applyBorder="1" applyAlignment="1">
      <alignment horizontal="center" vertical="center"/>
    </xf>
    <xf numFmtId="0" fontId="28" fillId="3" borderId="58" xfId="5" applyFont="1" applyFill="1" applyBorder="1" applyAlignment="1">
      <alignment horizontal="center" vertical="center"/>
    </xf>
    <xf numFmtId="0" fontId="4" fillId="0" borderId="81" xfId="5" applyFont="1" applyBorder="1" applyAlignment="1">
      <alignment horizontal="center" vertical="center"/>
    </xf>
    <xf numFmtId="0" fontId="4" fillId="0" borderId="9" xfId="5" applyFont="1" applyBorder="1" applyAlignment="1">
      <alignment horizontal="center" vertical="center"/>
    </xf>
    <xf numFmtId="0" fontId="42" fillId="0" borderId="82" xfId="5" applyFont="1" applyBorder="1" applyAlignment="1">
      <alignment horizontal="left" vertical="center"/>
    </xf>
    <xf numFmtId="3" fontId="4" fillId="0" borderId="15" xfId="5" applyNumberFormat="1" applyFont="1" applyBorder="1" applyAlignment="1">
      <alignment horizontal="center" vertical="center"/>
    </xf>
    <xf numFmtId="3" fontId="4" fillId="0" borderId="1" xfId="5" applyNumberFormat="1" applyFont="1" applyBorder="1" applyAlignment="1">
      <alignment horizontal="center" vertical="center"/>
    </xf>
    <xf numFmtId="0" fontId="4" fillId="0" borderId="48" xfId="5" applyFont="1" applyBorder="1" applyAlignment="1">
      <alignment vertical="center"/>
    </xf>
    <xf numFmtId="3" fontId="4" fillId="0" borderId="47" xfId="5" applyNumberFormat="1" applyFont="1" applyBorder="1" applyAlignment="1">
      <alignment horizontal="center" vertical="center"/>
    </xf>
    <xf numFmtId="0" fontId="42" fillId="0" borderId="81" xfId="5" applyFont="1" applyBorder="1" applyAlignment="1">
      <alignment horizontal="left" vertical="center"/>
    </xf>
    <xf numFmtId="0" fontId="43" fillId="0" borderId="81" xfId="5" applyFont="1" applyBorder="1" applyAlignment="1">
      <alignment horizontal="left" vertical="center"/>
    </xf>
    <xf numFmtId="0" fontId="44" fillId="0" borderId="81" xfId="5" applyFont="1" applyBorder="1" applyAlignment="1">
      <alignment horizontal="left" vertical="center"/>
    </xf>
    <xf numFmtId="0" fontId="45" fillId="0" borderId="81" xfId="5" applyFont="1" applyBorder="1" applyAlignment="1">
      <alignment horizontal="left" vertical="center"/>
    </xf>
    <xf numFmtId="3" fontId="4" fillId="0" borderId="48" xfId="5" applyNumberFormat="1" applyFont="1" applyBorder="1" applyAlignment="1">
      <alignment horizontal="center" vertical="center"/>
    </xf>
    <xf numFmtId="0" fontId="4" fillId="0" borderId="83" xfId="5" applyFont="1" applyBorder="1" applyAlignment="1">
      <alignment horizontal="center" vertical="center"/>
    </xf>
    <xf numFmtId="0" fontId="4" fillId="0" borderId="42" xfId="5" applyFont="1" applyBorder="1" applyAlignment="1">
      <alignment horizontal="center" vertical="center"/>
    </xf>
    <xf numFmtId="0" fontId="42" fillId="0" borderId="83" xfId="5" applyFont="1" applyBorder="1" applyAlignment="1">
      <alignment horizontal="left" vertical="center"/>
    </xf>
    <xf numFmtId="3" fontId="4" fillId="0" borderId="64" xfId="5" applyNumberFormat="1" applyFont="1" applyBorder="1" applyAlignment="1">
      <alignment horizontal="center" vertical="center"/>
    </xf>
    <xf numFmtId="3" fontId="4" fillId="0" borderId="50" xfId="5" applyNumberFormat="1" applyFont="1" applyBorder="1" applyAlignment="1">
      <alignment horizontal="center" vertical="center"/>
    </xf>
    <xf numFmtId="0" fontId="4" fillId="0" borderId="51" xfId="5" applyFont="1" applyBorder="1" applyAlignment="1">
      <alignment vertical="center"/>
    </xf>
    <xf numFmtId="3" fontId="4" fillId="0" borderId="49" xfId="5" applyNumberFormat="1" applyFont="1" applyBorder="1" applyAlignment="1">
      <alignment horizontal="center" vertical="center"/>
    </xf>
    <xf numFmtId="0" fontId="4" fillId="0" borderId="0" xfId="5" applyFont="1" applyAlignment="1">
      <alignment horizontal="left" vertical="center"/>
    </xf>
    <xf numFmtId="0" fontId="24" fillId="0" borderId="0" xfId="5" applyFont="1" applyAlignment="1">
      <alignment horizontal="left" vertical="center"/>
    </xf>
    <xf numFmtId="0" fontId="29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46" fillId="0" borderId="0" xfId="5" applyFont="1" applyAlignment="1">
      <alignment horizontal="center" vertical="center"/>
    </xf>
    <xf numFmtId="0" fontId="29" fillId="0" borderId="0" xfId="5" applyFont="1" applyAlignment="1">
      <alignment horizontal="center" vertical="center"/>
    </xf>
    <xf numFmtId="0" fontId="4" fillId="0" borderId="84" xfId="5" applyFont="1" applyBorder="1" applyAlignment="1">
      <alignment vertical="center"/>
    </xf>
    <xf numFmtId="0" fontId="4" fillId="0" borderId="85" xfId="5" applyFont="1" applyBorder="1" applyAlignment="1">
      <alignment vertical="center"/>
    </xf>
    <xf numFmtId="0" fontId="4" fillId="0" borderId="72" xfId="5" applyFont="1" applyBorder="1" applyAlignment="1">
      <alignment vertical="center"/>
    </xf>
    <xf numFmtId="0" fontId="28" fillId="3" borderId="6" xfId="5" applyFont="1" applyFill="1" applyBorder="1" applyAlignment="1">
      <alignment horizontal="center" vertical="center"/>
    </xf>
    <xf numFmtId="0" fontId="28" fillId="3" borderId="39" xfId="5" applyFont="1" applyFill="1" applyBorder="1" applyAlignment="1">
      <alignment horizontal="center" vertical="center"/>
    </xf>
    <xf numFmtId="0" fontId="4" fillId="0" borderId="8" xfId="5" applyFont="1" applyBorder="1" applyAlignment="1">
      <alignment vertical="center"/>
    </xf>
    <xf numFmtId="3" fontId="4" fillId="0" borderId="86" xfId="5" applyNumberFormat="1" applyFont="1" applyBorder="1" applyAlignment="1">
      <alignment horizontal="center" vertical="center"/>
    </xf>
    <xf numFmtId="0" fontId="28" fillId="3" borderId="86" xfId="5" applyFont="1" applyFill="1" applyBorder="1" applyAlignment="1">
      <alignment horizontal="center" vertical="center"/>
    </xf>
    <xf numFmtId="3" fontId="4" fillId="0" borderId="8" xfId="5" applyNumberFormat="1" applyFont="1" applyBorder="1" applyAlignment="1">
      <alignment horizontal="center" vertical="center"/>
    </xf>
    <xf numFmtId="0" fontId="4" fillId="0" borderId="63" xfId="5" applyFont="1" applyBorder="1" applyAlignment="1">
      <alignment vertical="center"/>
    </xf>
    <xf numFmtId="3" fontId="4" fillId="0" borderId="41" xfId="5" applyNumberFormat="1" applyFont="1" applyBorder="1" applyAlignment="1">
      <alignment horizontal="center" vertical="center"/>
    </xf>
    <xf numFmtId="0" fontId="4" fillId="0" borderId="60" xfId="5" applyFont="1" applyBorder="1" applyAlignment="1">
      <alignment vertical="center"/>
    </xf>
    <xf numFmtId="0" fontId="4" fillId="0" borderId="45" xfId="5" applyFont="1" applyBorder="1" applyAlignment="1">
      <alignment vertical="center"/>
    </xf>
    <xf numFmtId="0" fontId="9" fillId="0" borderId="0" xfId="5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0" fontId="28" fillId="3" borderId="40" xfId="5" applyFont="1" applyFill="1" applyBorder="1" applyAlignment="1">
      <alignment horizontal="center" vertical="center"/>
    </xf>
    <xf numFmtId="0" fontId="28" fillId="3" borderId="59" xfId="5" applyFont="1" applyFill="1" applyBorder="1" applyAlignment="1">
      <alignment horizontal="center" vertical="center"/>
    </xf>
    <xf numFmtId="0" fontId="4" fillId="0" borderId="79" xfId="5" applyFont="1" applyBorder="1" applyAlignment="1">
      <alignment vertical="center"/>
    </xf>
    <xf numFmtId="0" fontId="4" fillId="0" borderId="78" xfId="5" applyFont="1" applyBorder="1" applyAlignment="1">
      <alignment vertical="center"/>
    </xf>
    <xf numFmtId="3" fontId="4" fillId="0" borderId="9" xfId="5" applyNumberFormat="1" applyFont="1" applyBorder="1" applyAlignment="1">
      <alignment horizontal="center" vertical="center"/>
    </xf>
    <xf numFmtId="0" fontId="4" fillId="0" borderId="62" xfId="5" applyFont="1" applyBorder="1" applyAlignment="1">
      <alignment vertical="center"/>
    </xf>
    <xf numFmtId="0" fontId="4" fillId="0" borderId="81" xfId="5" applyFont="1" applyBorder="1" applyAlignment="1">
      <alignment vertical="center"/>
    </xf>
    <xf numFmtId="0" fontId="28" fillId="3" borderId="9" xfId="5" applyFont="1" applyFill="1" applyBorder="1" applyAlignment="1">
      <alignment horizontal="center" vertical="center"/>
    </xf>
    <xf numFmtId="0" fontId="28" fillId="3" borderId="62" xfId="5" applyFont="1" applyFill="1" applyBorder="1" applyAlignment="1">
      <alignment horizontal="center" vertical="center"/>
    </xf>
    <xf numFmtId="3" fontId="4" fillId="0" borderId="42" xfId="5" applyNumberFormat="1" applyFont="1" applyBorder="1" applyAlignment="1">
      <alignment horizontal="center" vertical="center"/>
    </xf>
    <xf numFmtId="0" fontId="4" fillId="0" borderId="65" xfId="5" applyFont="1" applyBorder="1" applyAlignment="1">
      <alignment vertical="center"/>
    </xf>
    <xf numFmtId="0" fontId="4" fillId="0" borderId="27" xfId="5" applyFont="1" applyBorder="1" applyAlignment="1">
      <alignment vertical="center"/>
    </xf>
    <xf numFmtId="0" fontId="4" fillId="0" borderId="83" xfId="5" applyFont="1" applyBorder="1" applyAlignment="1">
      <alignment vertical="center"/>
    </xf>
    <xf numFmtId="0" fontId="41" fillId="0" borderId="0" xfId="5" applyFont="1" applyAlignment="1">
      <alignment vertical="center"/>
    </xf>
    <xf numFmtId="0" fontId="47" fillId="0" borderId="0" xfId="5" applyFont="1" applyAlignment="1">
      <alignment horizontal="center" vertical="center"/>
    </xf>
    <xf numFmtId="0" fontId="43" fillId="0" borderId="79" xfId="5" applyFont="1" applyBorder="1" applyAlignment="1">
      <alignment horizontal="left" vertical="center"/>
    </xf>
    <xf numFmtId="0" fontId="43" fillId="0" borderId="78" xfId="5" applyFont="1" applyBorder="1" applyAlignment="1">
      <alignment horizontal="left" vertical="center"/>
    </xf>
    <xf numFmtId="0" fontId="42" fillId="0" borderId="9" xfId="5" applyFont="1" applyBorder="1" applyAlignment="1">
      <alignment horizontal="left" vertical="center"/>
    </xf>
    <xf numFmtId="0" fontId="45" fillId="0" borderId="9" xfId="5" applyFont="1" applyBorder="1" applyAlignment="1">
      <alignment horizontal="left" vertical="center"/>
    </xf>
    <xf numFmtId="0" fontId="43" fillId="0" borderId="9" xfId="5" applyFont="1" applyBorder="1" applyAlignment="1">
      <alignment horizontal="left" vertical="center"/>
    </xf>
    <xf numFmtId="0" fontId="42" fillId="0" borderId="42" xfId="5" applyFont="1" applyBorder="1" applyAlignment="1">
      <alignment horizontal="left" vertical="center"/>
    </xf>
    <xf numFmtId="0" fontId="48" fillId="0" borderId="0" xfId="5" applyFont="1" applyAlignment="1">
      <alignment horizontal="left" vertical="center"/>
    </xf>
    <xf numFmtId="0" fontId="41" fillId="0" borderId="0" xfId="5" applyFont="1" applyAlignment="1">
      <alignment horizontal="left" vertical="center"/>
    </xf>
    <xf numFmtId="0" fontId="49" fillId="0" borderId="0" xfId="5" applyFont="1" applyAlignment="1">
      <alignment horizontal="center" vertical="center"/>
    </xf>
    <xf numFmtId="0" fontId="21" fillId="3" borderId="30" xfId="5" applyFont="1" applyFill="1" applyBorder="1" applyAlignment="1">
      <alignment horizontal="center" vertical="center"/>
    </xf>
    <xf numFmtId="0" fontId="4" fillId="0" borderId="61" xfId="5" applyFont="1" applyBorder="1" applyAlignment="1">
      <alignment vertical="center"/>
    </xf>
    <xf numFmtId="3" fontId="4" fillId="0" borderId="87" xfId="5" applyNumberFormat="1" applyFont="1" applyBorder="1" applyAlignment="1">
      <alignment horizontal="center" vertical="center"/>
    </xf>
    <xf numFmtId="3" fontId="4" fillId="0" borderId="88" xfId="5" applyNumberFormat="1" applyFont="1" applyBorder="1" applyAlignment="1">
      <alignment horizontal="center" vertical="center"/>
    </xf>
    <xf numFmtId="0" fontId="4" fillId="0" borderId="89" xfId="5" applyFont="1" applyBorder="1" applyAlignment="1">
      <alignment vertical="center"/>
    </xf>
    <xf numFmtId="0" fontId="48" fillId="0" borderId="0" xfId="5" applyFont="1" applyAlignment="1">
      <alignment vertical="center"/>
    </xf>
    <xf numFmtId="0" fontId="5" fillId="0" borderId="0" xfId="5" applyFont="1" applyAlignment="1">
      <alignment vertical="center"/>
    </xf>
    <xf numFmtId="0" fontId="51" fillId="0" borderId="0" xfId="5" applyFont="1" applyAlignment="1">
      <alignment vertical="center"/>
    </xf>
    <xf numFmtId="0" fontId="52" fillId="0" borderId="0" xfId="0" applyFont="1" applyAlignment="1">
      <alignment horizontal="center"/>
    </xf>
    <xf numFmtId="0" fontId="52" fillId="0" borderId="0" xfId="0" applyFont="1"/>
    <xf numFmtId="0" fontId="44" fillId="0" borderId="0" xfId="0" applyFont="1"/>
    <xf numFmtId="0" fontId="43" fillId="0" borderId="1" xfId="0" applyFont="1" applyBorder="1" applyAlignment="1">
      <alignment horizontal="center" vertical="center"/>
    </xf>
    <xf numFmtId="15" fontId="50" fillId="0" borderId="1" xfId="0" applyNumberFormat="1" applyFont="1" applyBorder="1" applyAlignment="1">
      <alignment horizontal="center" vertical="center"/>
    </xf>
    <xf numFmtId="15" fontId="50" fillId="0" borderId="4" xfId="0" applyNumberFormat="1" applyFont="1" applyBorder="1" applyAlignment="1">
      <alignment vertical="center"/>
    </xf>
    <xf numFmtId="15" fontId="50" fillId="0" borderId="0" xfId="0" applyNumberFormat="1" applyFont="1" applyAlignment="1">
      <alignment vertical="center"/>
    </xf>
    <xf numFmtId="0" fontId="42" fillId="0" borderId="0" xfId="0" applyFont="1"/>
    <xf numFmtId="0" fontId="42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54" fillId="0" borderId="0" xfId="0" applyFont="1"/>
    <xf numFmtId="0" fontId="53" fillId="0" borderId="36" xfId="0" applyFont="1" applyBorder="1" applyAlignment="1">
      <alignment horizontal="center" vertical="center"/>
    </xf>
    <xf numFmtId="0" fontId="44" fillId="0" borderId="14" xfId="0" applyFont="1" applyBorder="1"/>
    <xf numFmtId="0" fontId="44" fillId="0" borderId="1" xfId="0" applyFont="1" applyBorder="1"/>
    <xf numFmtId="0" fontId="50" fillId="0" borderId="0" xfId="0" applyFont="1"/>
    <xf numFmtId="0" fontId="25" fillId="0" borderId="0" xfId="0" applyFont="1" applyAlignment="1">
      <alignment horizontal="left" vertical="center"/>
    </xf>
    <xf numFmtId="0" fontId="50" fillId="0" borderId="0" xfId="0" applyFont="1" applyAlignment="1">
      <alignment vertical="center"/>
    </xf>
    <xf numFmtId="0" fontId="41" fillId="0" borderId="0" xfId="0" applyFont="1"/>
    <xf numFmtId="0" fontId="50" fillId="0" borderId="1" xfId="0" applyFont="1" applyBorder="1" applyAlignment="1">
      <alignment horizontal="center" vertical="center"/>
    </xf>
    <xf numFmtId="0" fontId="27" fillId="0" borderId="0" xfId="0" applyFont="1"/>
    <xf numFmtId="0" fontId="25" fillId="0" borderId="0" xfId="0" applyFont="1" applyAlignment="1">
      <alignment horizontal="left"/>
    </xf>
    <xf numFmtId="0" fontId="56" fillId="0" borderId="0" xfId="0" applyFont="1"/>
    <xf numFmtId="15" fontId="55" fillId="0" borderId="1" xfId="0" applyNumberFormat="1" applyFont="1" applyBorder="1" applyAlignment="1">
      <alignment horizontal="center" vertical="center"/>
    </xf>
    <xf numFmtId="15" fontId="55" fillId="0" borderId="0" xfId="0" applyNumberFormat="1" applyFont="1" applyAlignment="1">
      <alignment vertical="center"/>
    </xf>
    <xf numFmtId="0" fontId="24" fillId="0" borderId="15" xfId="0" applyFont="1" applyBorder="1" applyAlignment="1">
      <alignment horizontal="center"/>
    </xf>
    <xf numFmtId="0" fontId="41" fillId="0" borderId="0" xfId="0" applyFont="1" applyAlignment="1">
      <alignment vertical="center"/>
    </xf>
    <xf numFmtId="0" fontId="59" fillId="0" borderId="1" xfId="0" applyFont="1" applyBorder="1" applyAlignment="1">
      <alignment vertical="center" wrapText="1"/>
    </xf>
    <xf numFmtId="0" fontId="59" fillId="0" borderId="1" xfId="0" applyFont="1" applyBorder="1" applyAlignment="1">
      <alignment horizontal="left" vertical="center" wrapText="1" indent="15"/>
    </xf>
    <xf numFmtId="0" fontId="59" fillId="0" borderId="1" xfId="0" applyFont="1" applyBorder="1" applyAlignment="1">
      <alignment horizontal="left" vertical="center" wrapText="1" indent="2"/>
    </xf>
    <xf numFmtId="0" fontId="5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58" fillId="0" borderId="1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justify" vertical="center" wrapText="1"/>
    </xf>
    <xf numFmtId="0" fontId="60" fillId="0" borderId="1" xfId="0" applyFont="1" applyBorder="1" applyAlignment="1">
      <alignment horizontal="justify" vertical="center" wrapText="1"/>
    </xf>
    <xf numFmtId="0" fontId="59" fillId="0" borderId="37" xfId="0" applyFont="1" applyBorder="1" applyAlignment="1">
      <alignment vertical="top" wrapText="1"/>
    </xf>
    <xf numFmtId="0" fontId="59" fillId="0" borderId="1" xfId="0" applyFont="1" applyBorder="1" applyAlignment="1">
      <alignment vertical="top" wrapText="1"/>
    </xf>
    <xf numFmtId="0" fontId="6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26" fillId="0" borderId="0" xfId="0" applyFont="1" applyAlignment="1">
      <alignment horizontal="left"/>
    </xf>
    <xf numFmtId="0" fontId="25" fillId="0" borderId="0" xfId="0" applyFont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51" fillId="0" borderId="2" xfId="0" applyFont="1" applyBorder="1"/>
    <xf numFmtId="0" fontId="41" fillId="0" borderId="4" xfId="0" applyFont="1" applyBorder="1"/>
    <xf numFmtId="0" fontId="41" fillId="0" borderId="79" xfId="0" applyFont="1" applyBorder="1"/>
    <xf numFmtId="0" fontId="41" fillId="0" borderId="6" xfId="0" applyFont="1" applyBorder="1"/>
    <xf numFmtId="0" fontId="64" fillId="0" borderId="0" xfId="0" applyFont="1"/>
    <xf numFmtId="0" fontId="48" fillId="0" borderId="0" xfId="0" applyFont="1"/>
    <xf numFmtId="0" fontId="41" fillId="0" borderId="88" xfId="0" applyFont="1" applyBorder="1"/>
    <xf numFmtId="0" fontId="41" fillId="0" borderId="3" xfId="0" applyFont="1" applyBorder="1"/>
    <xf numFmtId="0" fontId="41" fillId="0" borderId="5" xfId="0" applyFont="1" applyBorder="1"/>
    <xf numFmtId="0" fontId="25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65" fillId="0" borderId="0" xfId="0" applyFont="1"/>
    <xf numFmtId="0" fontId="65" fillId="0" borderId="0" xfId="0" applyFont="1" applyAlignment="1">
      <alignment vertical="justify" wrapText="1"/>
    </xf>
    <xf numFmtId="0" fontId="65" fillId="0" borderId="0" xfId="0" applyFont="1" applyAlignment="1">
      <alignment horizontal="center" vertical="justify"/>
    </xf>
    <xf numFmtId="0" fontId="65" fillId="0" borderId="0" xfId="0" applyFont="1" applyAlignment="1">
      <alignment wrapText="1"/>
    </xf>
    <xf numFmtId="0" fontId="65" fillId="0" borderId="0" xfId="0" applyFont="1" applyAlignment="1">
      <alignment vertical="justify"/>
    </xf>
    <xf numFmtId="0" fontId="64" fillId="0" borderId="0" xfId="0" applyFont="1" applyAlignment="1">
      <alignment vertical="justify"/>
    </xf>
    <xf numFmtId="0" fontId="64" fillId="0" borderId="2" xfId="0" applyFont="1" applyBorder="1" applyAlignment="1">
      <alignment horizontal="right" vertical="justify"/>
    </xf>
    <xf numFmtId="0" fontId="68" fillId="0" borderId="3" xfId="0" applyFont="1" applyBorder="1" applyAlignment="1">
      <alignment horizontal="left" vertical="justify"/>
    </xf>
    <xf numFmtId="0" fontId="68" fillId="0" borderId="0" xfId="0" applyFont="1" applyAlignment="1">
      <alignment horizontal="left" vertical="justify"/>
    </xf>
    <xf numFmtId="0" fontId="64" fillId="0" borderId="4" xfId="0" applyFont="1" applyBorder="1" applyAlignment="1">
      <alignment horizontal="right" vertical="justify"/>
    </xf>
    <xf numFmtId="0" fontId="68" fillId="0" borderId="5" xfId="0" applyFont="1" applyBorder="1" applyAlignment="1">
      <alignment horizontal="left" vertical="justify"/>
    </xf>
    <xf numFmtId="0" fontId="69" fillId="0" borderId="5" xfId="0" applyFont="1" applyBorder="1" applyAlignment="1">
      <alignment horizontal="left" vertical="justify"/>
    </xf>
    <xf numFmtId="0" fontId="65" fillId="0" borderId="6" xfId="0" applyFont="1" applyBorder="1" applyAlignment="1">
      <alignment vertical="justify"/>
    </xf>
    <xf numFmtId="0" fontId="65" fillId="0" borderId="7" xfId="0" applyFont="1" applyBorder="1" applyAlignment="1">
      <alignment vertical="justify"/>
    </xf>
    <xf numFmtId="0" fontId="64" fillId="0" borderId="6" xfId="0" applyFont="1" applyBorder="1" applyAlignment="1">
      <alignment horizontal="right" vertical="justify"/>
    </xf>
    <xf numFmtId="0" fontId="68" fillId="0" borderId="7" xfId="0" applyFont="1" applyBorder="1" applyAlignment="1">
      <alignment horizontal="left" vertical="justify"/>
    </xf>
    <xf numFmtId="0" fontId="24" fillId="0" borderId="84" xfId="0" applyFont="1" applyBorder="1"/>
    <xf numFmtId="0" fontId="24" fillId="0" borderId="85" xfId="0" applyFont="1" applyBorder="1"/>
    <xf numFmtId="0" fontId="20" fillId="0" borderId="85" xfId="0" applyFont="1" applyBorder="1"/>
    <xf numFmtId="0" fontId="24" fillId="0" borderId="72" xfId="0" applyFont="1" applyBorder="1"/>
    <xf numFmtId="0" fontId="24" fillId="0" borderId="27" xfId="0" applyFont="1" applyBorder="1"/>
    <xf numFmtId="15" fontId="74" fillId="0" borderId="0" xfId="0" applyNumberFormat="1" applyFont="1" applyAlignment="1">
      <alignment horizontal="center" vertical="center"/>
    </xf>
    <xf numFmtId="15" fontId="9" fillId="0" borderId="0" xfId="0" applyNumberFormat="1" applyFont="1" applyAlignment="1">
      <alignment horizontal="center" vertical="center"/>
    </xf>
    <xf numFmtId="0" fontId="24" fillId="0" borderId="44" xfId="0" applyFont="1" applyBorder="1"/>
    <xf numFmtId="0" fontId="24" fillId="0" borderId="60" xfId="0" applyFont="1" applyBorder="1"/>
    <xf numFmtId="0" fontId="20" fillId="0" borderId="60" xfId="0" applyFont="1" applyBorder="1"/>
    <xf numFmtId="1" fontId="20" fillId="0" borderId="0" xfId="0" applyNumberFormat="1" applyFont="1" applyBorder="1" applyAlignment="1">
      <alignment horizontal="left"/>
    </xf>
    <xf numFmtId="0" fontId="20" fillId="0" borderId="0" xfId="0" applyFont="1" applyBorder="1"/>
    <xf numFmtId="0" fontId="24" fillId="0" borderId="45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0" fillId="0" borderId="0" xfId="0" applyFont="1"/>
    <xf numFmtId="0" fontId="80" fillId="0" borderId="0" xfId="0" applyFont="1" applyAlignment="1">
      <alignment vertical="center"/>
    </xf>
    <xf numFmtId="0" fontId="82" fillId="0" borderId="0" xfId="0" applyFont="1"/>
    <xf numFmtId="0" fontId="1" fillId="0" borderId="0" xfId="16"/>
    <xf numFmtId="0" fontId="83" fillId="0" borderId="0" xfId="16" applyFont="1"/>
    <xf numFmtId="0" fontId="84" fillId="0" borderId="0" xfId="16" applyFont="1" applyAlignment="1">
      <alignment vertical="center"/>
    </xf>
    <xf numFmtId="0" fontId="85" fillId="0" borderId="0" xfId="16" applyFont="1"/>
    <xf numFmtId="0" fontId="83" fillId="0" borderId="0" xfId="16" applyFont="1" applyAlignment="1">
      <alignment horizontal="left"/>
    </xf>
    <xf numFmtId="0" fontId="86" fillId="0" borderId="0" xfId="16" applyFont="1"/>
    <xf numFmtId="0" fontId="84" fillId="0" borderId="96" xfId="16" applyFont="1" applyBorder="1" applyAlignment="1">
      <alignment horizontal="center" vertical="center"/>
    </xf>
    <xf numFmtId="0" fontId="83" fillId="0" borderId="1" xfId="16" applyFont="1" applyBorder="1" applyAlignment="1">
      <alignment horizontal="center" vertical="center"/>
    </xf>
    <xf numFmtId="0" fontId="83" fillId="0" borderId="1" xfId="16" applyFont="1" applyBorder="1" applyAlignment="1">
      <alignment vertical="center"/>
    </xf>
    <xf numFmtId="0" fontId="83" fillId="0" borderId="9" xfId="16" applyFont="1" applyBorder="1" applyAlignment="1">
      <alignment horizontal="center" vertical="center"/>
    </xf>
    <xf numFmtId="0" fontId="84" fillId="0" borderId="96" xfId="16" applyFont="1" applyBorder="1" applyAlignment="1">
      <alignment vertical="center"/>
    </xf>
    <xf numFmtId="0" fontId="88" fillId="0" borderId="96" xfId="16" applyFont="1" applyBorder="1" applyAlignment="1">
      <alignment vertical="center"/>
    </xf>
    <xf numFmtId="0" fontId="88" fillId="0" borderId="96" xfId="16" applyFont="1" applyBorder="1"/>
    <xf numFmtId="0" fontId="84" fillId="0" borderId="99" xfId="16" applyFont="1" applyBorder="1" applyAlignment="1">
      <alignment horizontal="center" vertical="center"/>
    </xf>
    <xf numFmtId="0" fontId="84" fillId="0" borderId="99" xfId="16" applyFont="1" applyBorder="1" applyAlignment="1">
      <alignment vertical="center"/>
    </xf>
    <xf numFmtId="0" fontId="88" fillId="0" borderId="99" xfId="16" applyFont="1" applyBorder="1" applyAlignment="1">
      <alignment vertical="center"/>
    </xf>
    <xf numFmtId="0" fontId="88" fillId="0" borderId="99" xfId="16" applyFont="1" applyBorder="1"/>
    <xf numFmtId="0" fontId="84" fillId="0" borderId="1" xfId="16" applyFont="1" applyBorder="1" applyAlignment="1">
      <alignment horizontal="center" vertical="center"/>
    </xf>
    <xf numFmtId="0" fontId="84" fillId="0" borderId="1" xfId="16" applyFont="1" applyBorder="1" applyAlignment="1">
      <alignment vertical="center"/>
    </xf>
    <xf numFmtId="0" fontId="88" fillId="0" borderId="1" xfId="16" applyFont="1" applyBorder="1" applyAlignment="1">
      <alignment vertical="center"/>
    </xf>
    <xf numFmtId="0" fontId="88" fillId="0" borderId="1" xfId="16" applyFont="1" applyBorder="1"/>
    <xf numFmtId="0" fontId="83" fillId="3" borderId="96" xfId="16" applyFont="1" applyFill="1" applyBorder="1" applyAlignment="1">
      <alignment vertical="center"/>
    </xf>
    <xf numFmtId="0" fontId="83" fillId="3" borderId="96" xfId="16" applyFont="1" applyFill="1" applyBorder="1" applyAlignment="1">
      <alignment horizontal="center" vertical="center"/>
    </xf>
    <xf numFmtId="0" fontId="84" fillId="0" borderId="0" xfId="16" applyFont="1" applyAlignment="1">
      <alignment horizontal="center" vertical="center"/>
    </xf>
    <xf numFmtId="0" fontId="1" fillId="0" borderId="88" xfId="16" applyBorder="1"/>
    <xf numFmtId="0" fontId="84" fillId="0" borderId="88" xfId="16" applyFont="1" applyBorder="1" applyAlignment="1">
      <alignment horizontal="right" vertical="center"/>
    </xf>
    <xf numFmtId="0" fontId="84" fillId="0" borderId="9" xfId="16" applyFont="1" applyBorder="1" applyAlignment="1">
      <alignment horizontal="center" vertical="center"/>
    </xf>
    <xf numFmtId="0" fontId="88" fillId="0" borderId="0" xfId="16" applyFont="1" applyAlignment="1">
      <alignment vertical="center"/>
    </xf>
    <xf numFmtId="0" fontId="88" fillId="0" borderId="0" xfId="16" applyFont="1"/>
    <xf numFmtId="0" fontId="1" fillId="0" borderId="0" xfId="16" applyAlignment="1">
      <alignment vertical="center"/>
    </xf>
    <xf numFmtId="0" fontId="84" fillId="0" borderId="0" xfId="16" applyFont="1" applyAlignment="1">
      <alignment horizontal="right" vertical="center"/>
    </xf>
    <xf numFmtId="0" fontId="83" fillId="0" borderId="0" xfId="16" applyFont="1" applyAlignment="1">
      <alignment vertical="center"/>
    </xf>
    <xf numFmtId="0" fontId="89" fillId="3" borderId="96" xfId="16" applyFont="1" applyFill="1" applyBorder="1" applyAlignment="1">
      <alignment vertical="center"/>
    </xf>
    <xf numFmtId="0" fontId="87" fillId="0" borderId="1" xfId="16" applyFont="1" applyBorder="1" applyAlignment="1">
      <alignment horizontal="center"/>
    </xf>
    <xf numFmtId="14" fontId="83" fillId="0" borderId="109" xfId="16" applyNumberFormat="1" applyFont="1" applyBorder="1" applyAlignment="1">
      <alignment horizontal="center" vertical="center" textRotation="90"/>
    </xf>
    <xf numFmtId="0" fontId="83" fillId="0" borderId="109" xfId="16" applyFont="1" applyBorder="1" applyAlignment="1">
      <alignment horizontal="center" vertical="center" textRotation="90"/>
    </xf>
    <xf numFmtId="0" fontId="83" fillId="0" borderId="109" xfId="16" applyFont="1" applyBorder="1" applyAlignment="1">
      <alignment textRotation="90"/>
    </xf>
    <xf numFmtId="1" fontId="26" fillId="0" borderId="0" xfId="0" applyNumberFormat="1" applyFont="1"/>
    <xf numFmtId="0" fontId="91" fillId="0" borderId="0" xfId="5" applyFont="1"/>
    <xf numFmtId="1" fontId="28" fillId="0" borderId="0" xfId="0" applyNumberFormat="1" applyFont="1" applyAlignment="1">
      <alignment horizontal="left" indent="2"/>
    </xf>
    <xf numFmtId="1" fontId="25" fillId="0" borderId="0" xfId="0" applyNumberFormat="1" applyFont="1" applyAlignment="1">
      <alignment vertical="center"/>
    </xf>
    <xf numFmtId="1" fontId="20" fillId="0" borderId="0" xfId="0" applyNumberFormat="1" applyFont="1" applyBorder="1" applyAlignment="1"/>
    <xf numFmtId="0" fontId="9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/>
    <xf numFmtId="0" fontId="1" fillId="0" borderId="0" xfId="0" applyFont="1"/>
    <xf numFmtId="0" fontId="93" fillId="0" borderId="0" xfId="0" applyFont="1"/>
    <xf numFmtId="0" fontId="80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61" fillId="0" borderId="1" xfId="0" applyFont="1" applyBorder="1" applyAlignment="1">
      <alignment vertical="center" wrapText="1"/>
    </xf>
    <xf numFmtId="0" fontId="59" fillId="0" borderId="14" xfId="0" applyFont="1" applyBorder="1" applyAlignment="1">
      <alignment vertical="top" wrapText="1"/>
    </xf>
    <xf numFmtId="0" fontId="60" fillId="0" borderId="1" xfId="0" applyFont="1" applyBorder="1" applyAlignment="1">
      <alignment vertical="center" wrapText="1"/>
    </xf>
    <xf numFmtId="0" fontId="59" fillId="0" borderId="38" xfId="0" applyFont="1" applyBorder="1" applyAlignment="1">
      <alignment vertical="top" wrapText="1"/>
    </xf>
    <xf numFmtId="0" fontId="59" fillId="0" borderId="37" xfId="0" applyFont="1" applyBorder="1" applyAlignment="1">
      <alignment vertical="center" wrapText="1"/>
    </xf>
    <xf numFmtId="0" fontId="59" fillId="0" borderId="38" xfId="0" applyFont="1" applyBorder="1" applyAlignment="1">
      <alignment vertical="center" wrapText="1"/>
    </xf>
    <xf numFmtId="0" fontId="59" fillId="0" borderId="14" xfId="0" applyFont="1" applyBorder="1" applyAlignment="1">
      <alignment vertical="center" wrapText="1"/>
    </xf>
    <xf numFmtId="0" fontId="94" fillId="0" borderId="37" xfId="0" applyFont="1" applyBorder="1" applyAlignment="1">
      <alignment vertical="top" wrapText="1"/>
    </xf>
    <xf numFmtId="0" fontId="94" fillId="0" borderId="1" xfId="0" applyFont="1" applyBorder="1" applyAlignment="1">
      <alignment horizontal="justify" vertical="center" wrapText="1"/>
    </xf>
    <xf numFmtId="0" fontId="96" fillId="0" borderId="1" xfId="0" applyFont="1" applyBorder="1" applyAlignment="1">
      <alignment vertical="center" wrapText="1"/>
    </xf>
    <xf numFmtId="0" fontId="97" fillId="0" borderId="0" xfId="0" applyFont="1"/>
    <xf numFmtId="0" fontId="80" fillId="0" borderId="0" xfId="5" applyFont="1" applyAlignment="1">
      <alignment horizontal="left" vertical="center"/>
    </xf>
    <xf numFmtId="0" fontId="80" fillId="0" borderId="4" xfId="0" applyFont="1" applyBorder="1" applyAlignment="1">
      <alignment vertical="center" wrapText="1"/>
    </xf>
    <xf numFmtId="0" fontId="23" fillId="2" borderId="50" xfId="0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wrapText="1"/>
    </xf>
    <xf numFmtId="0" fontId="80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7" fillId="0" borderId="14" xfId="0" applyFont="1" applyFill="1" applyBorder="1" applyAlignment="1">
      <alignment vertical="center"/>
    </xf>
    <xf numFmtId="0" fontId="47" fillId="0" borderId="1" xfId="0" applyFont="1" applyFill="1" applyBorder="1" applyAlignment="1">
      <alignment vertical="center"/>
    </xf>
    <xf numFmtId="0" fontId="51" fillId="0" borderId="0" xfId="0" applyFont="1" applyBorder="1" applyAlignment="1">
      <alignment horizontal="center" vertical="center"/>
    </xf>
    <xf numFmtId="0" fontId="47" fillId="0" borderId="0" xfId="0" applyFont="1" applyFill="1" applyBorder="1" applyAlignment="1">
      <alignment vertical="center"/>
    </xf>
    <xf numFmtId="0" fontId="47" fillId="3" borderId="0" xfId="0" applyFont="1" applyFill="1" applyBorder="1" applyAlignment="1">
      <alignment horizontal="center" vertical="center"/>
    </xf>
    <xf numFmtId="0" fontId="41" fillId="0" borderId="0" xfId="0" applyFont="1" applyBorder="1"/>
    <xf numFmtId="0" fontId="50" fillId="0" borderId="0" xfId="0" applyFont="1" applyBorder="1" applyAlignment="1">
      <alignment horizontal="center"/>
    </xf>
    <xf numFmtId="0" fontId="79" fillId="0" borderId="0" xfId="0" applyFont="1" applyFill="1" applyBorder="1" applyAlignment="1">
      <alignment horizontal="center" vertical="center"/>
    </xf>
    <xf numFmtId="0" fontId="101" fillId="0" borderId="94" xfId="0" applyFont="1" applyBorder="1" applyAlignment="1">
      <alignment horizontal="center"/>
    </xf>
    <xf numFmtId="0" fontId="101" fillId="0" borderId="95" xfId="0" applyFont="1" applyBorder="1" applyAlignment="1">
      <alignment horizontal="center"/>
    </xf>
    <xf numFmtId="0" fontId="100" fillId="0" borderId="0" xfId="0" applyFont="1"/>
    <xf numFmtId="0" fontId="98" fillId="0" borderId="0" xfId="0" applyFont="1"/>
    <xf numFmtId="0" fontId="47" fillId="3" borderId="1" xfId="0" applyFont="1" applyFill="1" applyBorder="1" applyAlignment="1">
      <alignment vertical="center"/>
    </xf>
    <xf numFmtId="0" fontId="47" fillId="3" borderId="14" xfId="0" applyFont="1" applyFill="1" applyBorder="1" applyAlignment="1">
      <alignment vertical="center"/>
    </xf>
    <xf numFmtId="0" fontId="47" fillId="0" borderId="36" xfId="0" applyFont="1" applyFill="1" applyBorder="1" applyAlignment="1">
      <alignment vertical="center"/>
    </xf>
    <xf numFmtId="0" fontId="47" fillId="3" borderId="36" xfId="0" applyFont="1" applyFill="1" applyBorder="1" applyAlignment="1">
      <alignment vertical="center"/>
    </xf>
    <xf numFmtId="0" fontId="47" fillId="0" borderId="14" xfId="0" applyFont="1" applyFill="1" applyBorder="1" applyAlignment="1">
      <alignment horizontal="center" vertical="center"/>
    </xf>
    <xf numFmtId="0" fontId="79" fillId="0" borderId="36" xfId="0" applyFont="1" applyFill="1" applyBorder="1" applyAlignment="1">
      <alignment vertical="center"/>
    </xf>
    <xf numFmtId="0" fontId="47" fillId="0" borderId="3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5"/>
    </xf>
    <xf numFmtId="0" fontId="63" fillId="0" borderId="1" xfId="0" applyFont="1" applyBorder="1" applyAlignment="1">
      <alignment horizontal="center" vertical="center" wrapText="1" readingOrder="1"/>
    </xf>
    <xf numFmtId="0" fontId="63" fillId="0" borderId="14" xfId="0" applyFont="1" applyBorder="1" applyAlignment="1">
      <alignment horizontal="center" vertical="center" wrapText="1" readingOrder="1"/>
    </xf>
    <xf numFmtId="0" fontId="80" fillId="0" borderId="6" xfId="0" applyFont="1" applyBorder="1" applyAlignment="1">
      <alignment horizontal="left" vertical="center" indent="1"/>
    </xf>
    <xf numFmtId="0" fontId="80" fillId="0" borderId="8" xfId="0" applyFont="1" applyBorder="1" applyAlignment="1">
      <alignment horizontal="left" vertical="center" indent="1"/>
    </xf>
    <xf numFmtId="0" fontId="80" fillId="0" borderId="14" xfId="0" applyFont="1" applyBorder="1" applyAlignment="1">
      <alignment horizontal="left" vertical="center" indent="1"/>
    </xf>
    <xf numFmtId="0" fontId="80" fillId="0" borderId="1" xfId="0" applyFont="1" applyBorder="1" applyAlignment="1">
      <alignment horizontal="left" vertical="center" indent="1"/>
    </xf>
    <xf numFmtId="0" fontId="102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/>
    </xf>
    <xf numFmtId="0" fontId="105" fillId="0" borderId="85" xfId="0" applyFont="1" applyFill="1" applyBorder="1" applyAlignment="1">
      <alignment horizontal="left"/>
    </xf>
    <xf numFmtId="0" fontId="106" fillId="0" borderId="0" xfId="0" applyFont="1" applyFill="1" applyBorder="1" applyAlignment="1">
      <alignment horizontal="left"/>
    </xf>
    <xf numFmtId="0" fontId="106" fillId="3" borderId="0" xfId="0" applyFont="1" applyFill="1" applyBorder="1" applyAlignment="1">
      <alignment horizontal="left"/>
    </xf>
    <xf numFmtId="0" fontId="106" fillId="0" borderId="60" xfId="0" applyFont="1" applyFill="1" applyBorder="1" applyAlignment="1">
      <alignment horizontal="left"/>
    </xf>
    <xf numFmtId="0" fontId="106" fillId="0" borderId="101" xfId="0" applyFont="1" applyFill="1" applyBorder="1" applyAlignment="1">
      <alignment horizontal="left" vertical="center" wrapText="1"/>
    </xf>
    <xf numFmtId="0" fontId="106" fillId="8" borderId="96" xfId="0" applyFont="1" applyFill="1" applyBorder="1" applyAlignment="1">
      <alignment horizontal="left" vertical="center" wrapText="1"/>
    </xf>
    <xf numFmtId="0" fontId="107" fillId="8" borderId="96" xfId="0" applyFont="1" applyFill="1" applyBorder="1" applyAlignment="1">
      <alignment horizontal="left" vertical="center" wrapText="1" indent="2"/>
    </xf>
    <xf numFmtId="0" fontId="107" fillId="8" borderId="97" xfId="0" applyFont="1" applyFill="1" applyBorder="1" applyAlignment="1">
      <alignment horizontal="left" vertical="center" wrapText="1" indent="2"/>
    </xf>
    <xf numFmtId="0" fontId="107" fillId="8" borderId="1" xfId="0" applyFont="1" applyFill="1" applyBorder="1" applyAlignment="1">
      <alignment horizontal="left" vertical="center" wrapText="1" indent="2"/>
    </xf>
    <xf numFmtId="0" fontId="107" fillId="3" borderId="0" xfId="0" applyFont="1" applyFill="1" applyBorder="1" applyAlignment="1">
      <alignment horizontal="left" vertical="center" wrapText="1" indent="2"/>
    </xf>
    <xf numFmtId="0" fontId="106" fillId="0" borderId="96" xfId="0" applyFont="1" applyFill="1" applyBorder="1" applyAlignment="1">
      <alignment horizontal="left" vertical="center" wrapText="1"/>
    </xf>
    <xf numFmtId="0" fontId="106" fillId="9" borderId="96" xfId="0" applyFont="1" applyFill="1" applyBorder="1" applyAlignment="1">
      <alignment horizontal="left" vertical="center" wrapText="1" indent="2"/>
    </xf>
    <xf numFmtId="0" fontId="106" fillId="10" borderId="96" xfId="0" applyFont="1" applyFill="1" applyBorder="1" applyAlignment="1">
      <alignment horizontal="left" vertical="center" wrapText="1" indent="2"/>
    </xf>
    <xf numFmtId="0" fontId="106" fillId="0" borderId="97" xfId="0" applyFont="1" applyFill="1" applyBorder="1" applyAlignment="1">
      <alignment horizontal="left" vertical="center" wrapText="1" indent="2"/>
    </xf>
    <xf numFmtId="0" fontId="106" fillId="0" borderId="1" xfId="0" applyFont="1" applyFill="1" applyBorder="1" applyAlignment="1">
      <alignment horizontal="left" vertical="center" wrapText="1" indent="2"/>
    </xf>
    <xf numFmtId="0" fontId="106" fillId="3" borderId="0" xfId="0" applyFont="1" applyFill="1" applyBorder="1" applyAlignment="1">
      <alignment horizontal="left" vertical="center" wrapText="1" indent="2"/>
    </xf>
    <xf numFmtId="0" fontId="106" fillId="11" borderId="96" xfId="0" applyFont="1" applyFill="1" applyBorder="1" applyAlignment="1">
      <alignment horizontal="left" vertical="center" wrapText="1" indent="2"/>
    </xf>
    <xf numFmtId="0" fontId="106" fillId="0" borderId="0" xfId="0" applyFont="1" applyFill="1" applyBorder="1" applyAlignment="1">
      <alignment horizontal="left" vertical="center"/>
    </xf>
    <xf numFmtId="0" fontId="106" fillId="0" borderId="1" xfId="0" applyFont="1" applyFill="1" applyBorder="1" applyAlignment="1">
      <alignment horizontal="left" vertical="center" wrapText="1"/>
    </xf>
    <xf numFmtId="0" fontId="106" fillId="3" borderId="0" xfId="0" applyFont="1" applyFill="1" applyBorder="1" applyAlignment="1">
      <alignment horizontal="left" vertical="center" wrapText="1"/>
    </xf>
    <xf numFmtId="0" fontId="106" fillId="0" borderId="96" xfId="0" applyFont="1" applyFill="1" applyBorder="1" applyAlignment="1">
      <alignment horizontal="left" vertical="center" wrapText="1" indent="2"/>
    </xf>
    <xf numFmtId="0" fontId="106" fillId="0" borderId="85" xfId="0" applyFont="1" applyFill="1" applyBorder="1" applyAlignment="1">
      <alignment horizontal="left"/>
    </xf>
    <xf numFmtId="0" fontId="106" fillId="12" borderId="96" xfId="0" applyFont="1" applyFill="1" applyBorder="1" applyAlignment="1">
      <alignment horizontal="left" vertical="center" wrapText="1" indent="1"/>
    </xf>
    <xf numFmtId="0" fontId="107" fillId="8" borderId="97" xfId="0" applyFont="1" applyFill="1" applyBorder="1" applyAlignment="1">
      <alignment horizontal="left" vertical="center" wrapText="1" indent="1"/>
    </xf>
    <xf numFmtId="0" fontId="106" fillId="13" borderId="96" xfId="0" applyFont="1" applyFill="1" applyBorder="1" applyAlignment="1">
      <alignment horizontal="left" vertical="center" wrapText="1" indent="2"/>
    </xf>
    <xf numFmtId="0" fontId="106" fillId="0" borderId="96" xfId="0" applyFont="1" applyFill="1" applyBorder="1" applyAlignment="1">
      <alignment horizontal="left" vertical="center" wrapText="1" indent="1"/>
    </xf>
    <xf numFmtId="0" fontId="106" fillId="0" borderId="97" xfId="0" applyFont="1" applyFill="1" applyBorder="1" applyAlignment="1">
      <alignment horizontal="left" vertical="center" wrapText="1" indent="1"/>
    </xf>
    <xf numFmtId="17" fontId="105" fillId="0" borderId="85" xfId="0" applyNumberFormat="1" applyFont="1" applyFill="1" applyBorder="1" applyAlignment="1">
      <alignment horizontal="left"/>
    </xf>
    <xf numFmtId="0" fontId="106" fillId="12" borderId="96" xfId="0" applyFont="1" applyFill="1" applyBorder="1" applyAlignment="1">
      <alignment horizontal="left" vertical="center" wrapText="1" indent="2"/>
    </xf>
    <xf numFmtId="0" fontId="106" fillId="0" borderId="0" xfId="0" applyFont="1" applyFill="1" applyBorder="1" applyAlignment="1">
      <alignment horizontal="left" vertical="center" wrapText="1"/>
    </xf>
    <xf numFmtId="0" fontId="106" fillId="0" borderId="85" xfId="0" applyFont="1" applyFill="1" applyBorder="1" applyAlignment="1">
      <alignment vertical="center" wrapText="1"/>
    </xf>
    <xf numFmtId="0" fontId="106" fillId="0" borderId="0" xfId="0" applyFont="1" applyFill="1" applyBorder="1" applyAlignment="1">
      <alignment vertical="center" wrapText="1"/>
    </xf>
    <xf numFmtId="0" fontId="106" fillId="3" borderId="0" xfId="0" applyFont="1" applyFill="1" applyBorder="1" applyAlignment="1">
      <alignment vertical="center" wrapText="1"/>
    </xf>
    <xf numFmtId="0" fontId="106" fillId="0" borderId="0" xfId="0" applyFont="1" applyFill="1" applyBorder="1" applyAlignment="1">
      <alignment vertical="center"/>
    </xf>
    <xf numFmtId="0" fontId="106" fillId="0" borderId="60" xfId="0" applyFont="1" applyFill="1" applyBorder="1" applyAlignment="1">
      <alignment vertical="center" wrapText="1"/>
    </xf>
    <xf numFmtId="0" fontId="107" fillId="13" borderId="96" xfId="0" applyFont="1" applyFill="1" applyBorder="1" applyAlignment="1">
      <alignment horizontal="left" vertical="center" wrapText="1" indent="2"/>
    </xf>
    <xf numFmtId="0" fontId="107" fillId="8" borderId="96" xfId="0" applyFont="1" applyFill="1" applyBorder="1" applyAlignment="1">
      <alignment horizontal="left" vertical="center" wrapText="1" indent="1"/>
    </xf>
    <xf numFmtId="0" fontId="106" fillId="16" borderId="96" xfId="0" applyFont="1" applyFill="1" applyBorder="1" applyAlignment="1">
      <alignment horizontal="left" vertical="center" wrapText="1" indent="2"/>
    </xf>
    <xf numFmtId="0" fontId="106" fillId="17" borderId="96" xfId="0" applyFont="1" applyFill="1" applyBorder="1" applyAlignment="1">
      <alignment horizontal="left" vertical="center" wrapText="1" indent="2"/>
    </xf>
    <xf numFmtId="0" fontId="106" fillId="18" borderId="96" xfId="0" applyFont="1" applyFill="1" applyBorder="1" applyAlignment="1">
      <alignment horizontal="left" vertical="center" wrapText="1" indent="2"/>
    </xf>
    <xf numFmtId="0" fontId="106" fillId="0" borderId="0" xfId="0" applyFont="1" applyFill="1" applyBorder="1" applyAlignment="1">
      <alignment horizontal="left" vertical="center" wrapText="1" indent="4"/>
    </xf>
    <xf numFmtId="0" fontId="106" fillId="0" borderId="60" xfId="0" applyFont="1" applyFill="1" applyBorder="1" applyAlignment="1">
      <alignment horizontal="left" vertical="center"/>
    </xf>
    <xf numFmtId="0" fontId="106" fillId="0" borderId="60" xfId="0" applyFont="1" applyFill="1" applyBorder="1" applyAlignment="1">
      <alignment horizontal="left" vertical="center" wrapText="1"/>
    </xf>
    <xf numFmtId="0" fontId="107" fillId="19" borderId="1" xfId="0" applyFont="1" applyFill="1" applyBorder="1" applyAlignment="1">
      <alignment horizontal="center"/>
    </xf>
    <xf numFmtId="0" fontId="107" fillId="8" borderId="98" xfId="0" applyFont="1" applyFill="1" applyBorder="1" applyAlignment="1">
      <alignment horizontal="left" vertical="center" wrapText="1" indent="2"/>
    </xf>
    <xf numFmtId="0" fontId="106" fillId="0" borderId="1" xfId="0" applyFont="1" applyFill="1" applyBorder="1" applyAlignment="1">
      <alignment horizontal="center"/>
    </xf>
    <xf numFmtId="0" fontId="106" fillId="0" borderId="102" xfId="0" applyFont="1" applyFill="1" applyBorder="1" applyAlignment="1">
      <alignment horizontal="left" vertical="center" wrapText="1"/>
    </xf>
    <xf numFmtId="0" fontId="106" fillId="0" borderId="99" xfId="0" applyFont="1" applyFill="1" applyBorder="1" applyAlignment="1">
      <alignment horizontal="left" vertical="center" wrapText="1" indent="2"/>
    </xf>
    <xf numFmtId="0" fontId="106" fillId="12" borderId="99" xfId="0" applyFont="1" applyFill="1" applyBorder="1" applyAlignment="1">
      <alignment horizontal="left" vertical="center" wrapText="1" indent="2"/>
    </xf>
    <xf numFmtId="0" fontId="106" fillId="9" borderId="99" xfId="0" applyFont="1" applyFill="1" applyBorder="1" applyAlignment="1">
      <alignment horizontal="left" vertical="center" wrapText="1" indent="2"/>
    </xf>
    <xf numFmtId="0" fontId="106" fillId="0" borderId="47" xfId="0" applyFont="1" applyFill="1" applyBorder="1" applyAlignment="1">
      <alignment horizontal="left" vertical="center" wrapText="1"/>
    </xf>
    <xf numFmtId="0" fontId="106" fillId="12" borderId="1" xfId="0" applyFont="1" applyFill="1" applyBorder="1" applyAlignment="1">
      <alignment horizontal="left" vertical="center" wrapText="1" indent="2"/>
    </xf>
    <xf numFmtId="0" fontId="106" fillId="0" borderId="98" xfId="0" applyFont="1" applyFill="1" applyBorder="1" applyAlignment="1">
      <alignment horizontal="left" vertical="center" wrapText="1"/>
    </xf>
    <xf numFmtId="0" fontId="106" fillId="0" borderId="104" xfId="0" applyFont="1" applyFill="1" applyBorder="1" applyAlignment="1">
      <alignment horizontal="left" vertical="center" wrapText="1"/>
    </xf>
    <xf numFmtId="0" fontId="106" fillId="8" borderId="98" xfId="0" applyFont="1" applyFill="1" applyBorder="1" applyAlignment="1">
      <alignment horizontal="left" vertical="center" wrapText="1"/>
    </xf>
    <xf numFmtId="0" fontId="106" fillId="14" borderId="96" xfId="0" applyFont="1" applyFill="1" applyBorder="1" applyAlignment="1">
      <alignment horizontal="left" vertical="center" wrapText="1" indent="2"/>
    </xf>
    <xf numFmtId="0" fontId="106" fillId="20" borderId="96" xfId="0" applyFont="1" applyFill="1" applyBorder="1" applyAlignment="1">
      <alignment horizontal="left" vertical="center" wrapText="1" indent="2"/>
    </xf>
    <xf numFmtId="0" fontId="106" fillId="0" borderId="98" xfId="0" applyFont="1" applyFill="1" applyBorder="1" applyAlignment="1">
      <alignment horizontal="left" vertical="center" wrapText="1" indent="2"/>
    </xf>
    <xf numFmtId="0" fontId="106" fillId="12" borderId="98" xfId="0" applyFont="1" applyFill="1" applyBorder="1" applyAlignment="1">
      <alignment horizontal="left" vertical="center" wrapText="1" indent="2"/>
    </xf>
    <xf numFmtId="0" fontId="106" fillId="0" borderId="100" xfId="0" applyFont="1" applyFill="1" applyBorder="1" applyAlignment="1">
      <alignment horizontal="left"/>
    </xf>
    <xf numFmtId="0" fontId="106" fillId="0" borderId="0" xfId="0" applyFont="1" applyFill="1" applyBorder="1" applyAlignment="1">
      <alignment horizontal="left" vertical="center" wrapText="1" indent="16"/>
    </xf>
    <xf numFmtId="0" fontId="106" fillId="3" borderId="0" xfId="0" applyFont="1" applyFill="1" applyBorder="1" applyAlignment="1">
      <alignment horizontal="left" vertical="center" wrapText="1" indent="1"/>
    </xf>
    <xf numFmtId="0" fontId="106" fillId="21" borderId="96" xfId="0" applyFont="1" applyFill="1" applyBorder="1" applyAlignment="1">
      <alignment horizontal="left" vertical="center" wrapText="1" indent="2"/>
    </xf>
    <xf numFmtId="0" fontId="106" fillId="8" borderId="105" xfId="0" applyFont="1" applyFill="1" applyBorder="1" applyAlignment="1">
      <alignment horizontal="left" vertical="center" wrapText="1"/>
    </xf>
    <xf numFmtId="0" fontId="106" fillId="0" borderId="105" xfId="0" applyFont="1" applyFill="1" applyBorder="1" applyAlignment="1">
      <alignment horizontal="left" vertical="center" wrapText="1"/>
    </xf>
    <xf numFmtId="0" fontId="106" fillId="22" borderId="96" xfId="0" applyFont="1" applyFill="1" applyBorder="1" applyAlignment="1">
      <alignment horizontal="left" vertical="center" wrapText="1" indent="2"/>
    </xf>
    <xf numFmtId="0" fontId="106" fillId="9" borderId="105" xfId="0" applyFont="1" applyFill="1" applyBorder="1" applyAlignment="1">
      <alignment horizontal="left" vertical="center" wrapText="1" indent="2"/>
    </xf>
    <xf numFmtId="0" fontId="106" fillId="0" borderId="105" xfId="0" applyFont="1" applyFill="1" applyBorder="1" applyAlignment="1">
      <alignment horizontal="left" vertical="center" wrapText="1" indent="2"/>
    </xf>
    <xf numFmtId="0" fontId="106" fillId="0" borderId="72" xfId="0" applyFont="1" applyFill="1" applyBorder="1" applyAlignment="1">
      <alignment horizontal="left"/>
    </xf>
    <xf numFmtId="0" fontId="106" fillId="0" borderId="27" xfId="0" applyFont="1" applyFill="1" applyBorder="1" applyAlignment="1">
      <alignment horizontal="left"/>
    </xf>
    <xf numFmtId="0" fontId="106" fillId="3" borderId="27" xfId="0" applyFont="1" applyFill="1" applyBorder="1" applyAlignment="1">
      <alignment horizontal="left"/>
    </xf>
    <xf numFmtId="0" fontId="106" fillId="0" borderId="45" xfId="0" applyFont="1" applyFill="1" applyBorder="1" applyAlignment="1">
      <alignment horizontal="left"/>
    </xf>
    <xf numFmtId="0" fontId="106" fillId="14" borderId="96" xfId="0" applyFont="1" applyFill="1" applyBorder="1" applyAlignment="1">
      <alignment horizontal="left" vertical="center" wrapText="1" indent="1"/>
    </xf>
    <xf numFmtId="0" fontId="106" fillId="15" borderId="97" xfId="0" applyFont="1" applyFill="1" applyBorder="1" applyAlignment="1">
      <alignment horizontal="left" vertical="center" wrapText="1" indent="2"/>
    </xf>
    <xf numFmtId="0" fontId="106" fillId="16" borderId="97" xfId="0" applyFont="1" applyFill="1" applyBorder="1" applyAlignment="1">
      <alignment horizontal="left" vertical="center" wrapText="1" indent="2"/>
    </xf>
    <xf numFmtId="0" fontId="106" fillId="7" borderId="98" xfId="0" applyFont="1" applyFill="1" applyBorder="1" applyAlignment="1">
      <alignment horizontal="left" vertical="center" wrapText="1" indent="2"/>
    </xf>
    <xf numFmtId="0" fontId="106" fillId="7" borderId="103" xfId="0" applyFont="1" applyFill="1" applyBorder="1" applyAlignment="1">
      <alignment horizontal="left" vertical="center" wrapText="1" indent="2"/>
    </xf>
    <xf numFmtId="0" fontId="106" fillId="0" borderId="15" xfId="0" applyFont="1" applyFill="1" applyBorder="1" applyAlignment="1">
      <alignment horizontal="left" vertical="center" wrapText="1" indent="2"/>
    </xf>
    <xf numFmtId="49" fontId="105" fillId="0" borderId="85" xfId="0" applyNumberFormat="1" applyFont="1" applyFill="1" applyBorder="1" applyAlignment="1">
      <alignment horizontal="left"/>
    </xf>
    <xf numFmtId="0" fontId="106" fillId="25" borderId="96" xfId="0" applyFont="1" applyFill="1" applyBorder="1" applyAlignment="1">
      <alignment horizontal="left" vertical="center" wrapText="1" indent="2"/>
    </xf>
    <xf numFmtId="0" fontId="106" fillId="25" borderId="0" xfId="0" applyFont="1" applyFill="1" applyBorder="1" applyAlignment="1">
      <alignment horizontal="left"/>
    </xf>
    <xf numFmtId="0" fontId="80" fillId="0" borderId="0" xfId="0" applyFont="1" applyFill="1" applyAlignment="1">
      <alignment vertical="center"/>
    </xf>
    <xf numFmtId="0" fontId="80" fillId="0" borderId="0" xfId="0" applyFont="1" applyFill="1" applyAlignment="1"/>
    <xf numFmtId="0" fontId="80" fillId="0" borderId="1" xfId="0" applyFont="1" applyBorder="1" applyAlignment="1">
      <alignment horizontal="center" vertical="center"/>
    </xf>
    <xf numFmtId="0" fontId="92" fillId="0" borderId="0" xfId="0" applyFont="1"/>
    <xf numFmtId="0" fontId="82" fillId="0" borderId="0" xfId="0" applyFont="1" applyAlignment="1">
      <alignment horizontal="left"/>
    </xf>
    <xf numFmtId="0" fontId="80" fillId="0" borderId="1" xfId="0" applyFont="1" applyBorder="1" applyAlignment="1">
      <alignment horizontal="center" vertical="center"/>
    </xf>
    <xf numFmtId="0" fontId="80" fillId="0" borderId="1" xfId="0" applyFont="1" applyFill="1" applyBorder="1" applyAlignment="1">
      <alignment horizontal="center" vertical="center"/>
    </xf>
    <xf numFmtId="0" fontId="80" fillId="0" borderId="1" xfId="0" applyFont="1" applyFill="1" applyBorder="1" applyAlignment="1">
      <alignment horizontal="left" vertical="center" indent="1"/>
    </xf>
    <xf numFmtId="0" fontId="80" fillId="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102" fillId="0" borderId="0" xfId="0" applyFont="1" applyAlignment="1">
      <alignment vertical="center"/>
    </xf>
    <xf numFmtId="0" fontId="102" fillId="0" borderId="0" xfId="0" applyFont="1"/>
    <xf numFmtId="0" fontId="80" fillId="3" borderId="1" xfId="0" applyFont="1" applyFill="1" applyBorder="1" applyAlignment="1">
      <alignment horizontal="center" vertical="center"/>
    </xf>
    <xf numFmtId="0" fontId="80" fillId="0" borderId="1" xfId="0" applyFont="1" applyBorder="1" applyAlignment="1">
      <alignment horizontal="justify" vertical="center"/>
    </xf>
    <xf numFmtId="0" fontId="80" fillId="3" borderId="1" xfId="0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left" vertical="center" wrapText="1"/>
    </xf>
    <xf numFmtId="0" fontId="73" fillId="0" borderId="85" xfId="0" applyFont="1" applyBorder="1" applyAlignment="1">
      <alignment horizontal="center"/>
    </xf>
    <xf numFmtId="0" fontId="73" fillId="0" borderId="0" xfId="0" applyFont="1" applyBorder="1" applyAlignment="1">
      <alignment horizontal="center"/>
    </xf>
    <xf numFmtId="0" fontId="27" fillId="0" borderId="85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60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70" fillId="0" borderId="85" xfId="0" applyFont="1" applyBorder="1" applyAlignment="1">
      <alignment horizontal="center"/>
    </xf>
    <xf numFmtId="0" fontId="70" fillId="0" borderId="60" xfId="0" applyFont="1" applyBorder="1" applyAlignment="1">
      <alignment horizontal="center"/>
    </xf>
    <xf numFmtId="0" fontId="71" fillId="0" borderId="85" xfId="0" applyFont="1" applyBorder="1" applyAlignment="1">
      <alignment horizontal="center" vertical="center"/>
    </xf>
    <xf numFmtId="0" fontId="71" fillId="0" borderId="60" xfId="0" applyFont="1" applyBorder="1" applyAlignment="1">
      <alignment horizontal="center" vertical="center"/>
    </xf>
    <xf numFmtId="0" fontId="72" fillId="0" borderId="85" xfId="0" applyFont="1" applyBorder="1" applyAlignment="1">
      <alignment horizontal="center" vertical="center"/>
    </xf>
    <xf numFmtId="0" fontId="72" fillId="0" borderId="60" xfId="0" applyFont="1" applyBorder="1" applyAlignment="1">
      <alignment horizontal="center" vertical="center"/>
    </xf>
    <xf numFmtId="0" fontId="20" fillId="0" borderId="8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60" xfId="0" applyFont="1" applyBorder="1" applyAlignment="1">
      <alignment horizontal="center"/>
    </xf>
    <xf numFmtId="0" fontId="66" fillId="0" borderId="0" xfId="0" applyFont="1" applyAlignment="1">
      <alignment horizontal="center" vertical="justify"/>
    </xf>
    <xf numFmtId="0" fontId="67" fillId="0" borderId="0" xfId="0" applyFont="1" applyAlignment="1">
      <alignment horizontal="center" vertical="justify"/>
    </xf>
    <xf numFmtId="0" fontId="20" fillId="0" borderId="0" xfId="0" applyFont="1" applyAlignment="1">
      <alignment horizontal="center" vertical="justify" wrapText="1"/>
    </xf>
    <xf numFmtId="0" fontId="27" fillId="0" borderId="0" xfId="0" applyFont="1" applyAlignment="1">
      <alignment horizontal="left" vertical="justify" wrapText="1"/>
    </xf>
    <xf numFmtId="0" fontId="55" fillId="0" borderId="0" xfId="0" applyFont="1" applyAlignment="1">
      <alignment horizontal="left" vertical="center" wrapText="1"/>
    </xf>
    <xf numFmtId="0" fontId="104" fillId="5" borderId="84" xfId="0" applyFont="1" applyFill="1" applyBorder="1" applyAlignment="1">
      <alignment horizontal="center"/>
    </xf>
    <xf numFmtId="0" fontId="104" fillId="5" borderId="43" xfId="0" applyFont="1" applyFill="1" applyBorder="1" applyAlignment="1">
      <alignment horizontal="center"/>
    </xf>
    <xf numFmtId="0" fontId="104" fillId="5" borderId="44" xfId="0" applyFont="1" applyFill="1" applyBorder="1" applyAlignment="1">
      <alignment horizontal="center"/>
    </xf>
    <xf numFmtId="0" fontId="104" fillId="5" borderId="85" xfId="0" applyFont="1" applyFill="1" applyBorder="1" applyAlignment="1">
      <alignment horizontal="center"/>
    </xf>
    <xf numFmtId="0" fontId="104" fillId="5" borderId="0" xfId="0" applyFont="1" applyFill="1" applyBorder="1" applyAlignment="1">
      <alignment horizontal="center"/>
    </xf>
    <xf numFmtId="0" fontId="104" fillId="5" borderId="60" xfId="0" applyFont="1" applyFill="1" applyBorder="1" applyAlignment="1">
      <alignment horizontal="center"/>
    </xf>
    <xf numFmtId="0" fontId="106" fillId="0" borderId="104" xfId="0" applyFont="1" applyFill="1" applyBorder="1" applyAlignment="1">
      <alignment horizontal="left" vertical="center" wrapText="1"/>
    </xf>
    <xf numFmtId="0" fontId="106" fillId="0" borderId="0" xfId="0" applyFont="1" applyFill="1" applyBorder="1" applyAlignment="1">
      <alignment horizontal="left" vertical="center" wrapText="1"/>
    </xf>
    <xf numFmtId="0" fontId="47" fillId="24" borderId="14" xfId="0" applyFont="1" applyFill="1" applyBorder="1" applyAlignment="1">
      <alignment horizontal="center" vertical="center"/>
    </xf>
    <xf numFmtId="0" fontId="79" fillId="24" borderId="1" xfId="0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51" fillId="0" borderId="1" xfId="0" applyFont="1" applyBorder="1" applyAlignment="1">
      <alignment horizontal="center" vertical="center"/>
    </xf>
    <xf numFmtId="0" fontId="51" fillId="0" borderId="36" xfId="0" applyFont="1" applyBorder="1" applyAlignment="1">
      <alignment horizontal="center" vertical="center"/>
    </xf>
    <xf numFmtId="0" fontId="79" fillId="24" borderId="36" xfId="0" applyFont="1" applyFill="1" applyBorder="1" applyAlignment="1">
      <alignment horizontal="center" vertical="center"/>
    </xf>
    <xf numFmtId="0" fontId="47" fillId="23" borderId="14" xfId="0" applyFont="1" applyFill="1" applyBorder="1" applyAlignment="1">
      <alignment horizontal="center" vertical="center"/>
    </xf>
    <xf numFmtId="0" fontId="99" fillId="23" borderId="36" xfId="0" applyFont="1" applyFill="1" applyBorder="1" applyAlignment="1">
      <alignment horizontal="center" vertical="center"/>
    </xf>
    <xf numFmtId="0" fontId="47" fillId="23" borderId="3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1" fillId="0" borderId="37" xfId="0" applyFont="1" applyBorder="1" applyAlignment="1">
      <alignment horizontal="center" vertical="center"/>
    </xf>
    <xf numFmtId="0" fontId="51" fillId="0" borderId="67" xfId="0" applyFont="1" applyBorder="1" applyAlignment="1">
      <alignment horizontal="center" vertical="center"/>
    </xf>
    <xf numFmtId="0" fontId="51" fillId="0" borderId="46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51" fillId="0" borderId="66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" fillId="2" borderId="91" xfId="0" applyFont="1" applyFill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 vertical="center" wrapText="1"/>
    </xf>
    <xf numFmtId="0" fontId="63" fillId="0" borderId="14" xfId="0" applyFont="1" applyBorder="1" applyAlignment="1">
      <alignment horizontal="center" vertical="center" wrapText="1" readingOrder="1"/>
    </xf>
    <xf numFmtId="0" fontId="63" fillId="0" borderId="1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" fontId="80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90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0" fillId="0" borderId="8" xfId="0" applyFont="1" applyBorder="1" applyAlignment="1">
      <alignment horizontal="center" vertical="center"/>
    </xf>
    <xf numFmtId="0" fontId="80" fillId="0" borderId="15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15" fontId="80" fillId="0" borderId="1" xfId="0" applyNumberFormat="1" applyFont="1" applyBorder="1" applyAlignment="1">
      <alignment horizontal="center" vertical="center"/>
    </xf>
    <xf numFmtId="0" fontId="102" fillId="2" borderId="1" xfId="0" applyFont="1" applyFill="1" applyBorder="1" applyAlignment="1">
      <alignment horizontal="center" vertical="center" wrapText="1"/>
    </xf>
    <xf numFmtId="0" fontId="102" fillId="2" borderId="1" xfId="0" applyFont="1" applyFill="1" applyBorder="1" applyAlignment="1">
      <alignment horizontal="center" vertical="center"/>
    </xf>
    <xf numFmtId="0" fontId="102" fillId="2" borderId="37" xfId="0" applyFont="1" applyFill="1" applyBorder="1" applyAlignment="1">
      <alignment horizontal="center" vertical="center"/>
    </xf>
    <xf numFmtId="0" fontId="102" fillId="2" borderId="37" xfId="0" applyFont="1" applyFill="1" applyBorder="1" applyAlignment="1">
      <alignment horizontal="center" vertical="center" wrapText="1"/>
    </xf>
    <xf numFmtId="0" fontId="102" fillId="2" borderId="38" xfId="0" applyFont="1" applyFill="1" applyBorder="1" applyAlignment="1">
      <alignment horizontal="center" vertical="center" wrapText="1"/>
    </xf>
    <xf numFmtId="0" fontId="102" fillId="0" borderId="37" xfId="0" applyFont="1" applyFill="1" applyBorder="1" applyAlignment="1">
      <alignment horizontal="center" vertical="center"/>
    </xf>
    <xf numFmtId="0" fontId="102" fillId="0" borderId="14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3" borderId="1" xfId="0" applyFont="1" applyFill="1" applyBorder="1" applyAlignment="1">
      <alignment horizontal="center" vertical="center"/>
    </xf>
    <xf numFmtId="0" fontId="80" fillId="3" borderId="1" xfId="0" applyFont="1" applyFill="1" applyBorder="1" applyAlignment="1">
      <alignment horizontal="center" vertical="center" wrapText="1"/>
    </xf>
    <xf numFmtId="0" fontId="80" fillId="3" borderId="38" xfId="0" applyFont="1" applyFill="1" applyBorder="1" applyAlignment="1">
      <alignment horizontal="center" vertical="center" wrapText="1"/>
    </xf>
    <xf numFmtId="0" fontId="80" fillId="3" borderId="1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5" fontId="55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25" fillId="0" borderId="8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95" fillId="0" borderId="8" xfId="0" applyFont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 wrapText="1"/>
    </xf>
    <xf numFmtId="0" fontId="58" fillId="0" borderId="15" xfId="0" applyFont="1" applyBorder="1" applyAlignment="1">
      <alignment horizontal="center" vertical="center" wrapText="1"/>
    </xf>
    <xf numFmtId="0" fontId="59" fillId="0" borderId="1" xfId="0" applyFont="1" applyBorder="1" applyAlignment="1">
      <alignment vertical="center" wrapText="1"/>
    </xf>
    <xf numFmtId="0" fontId="58" fillId="0" borderId="37" xfId="0" applyFont="1" applyBorder="1" applyAlignment="1">
      <alignment horizontal="center" vertical="center" wrapText="1"/>
    </xf>
    <xf numFmtId="0" fontId="58" fillId="0" borderId="38" xfId="0" applyFont="1" applyBorder="1" applyAlignment="1">
      <alignment horizontal="center" vertical="center" wrapText="1"/>
    </xf>
    <xf numFmtId="0" fontId="95" fillId="0" borderId="37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0" borderId="37" xfId="0" applyFont="1" applyBorder="1" applyAlignment="1">
      <alignment horizontal="left" vertical="center" wrapText="1"/>
    </xf>
    <xf numFmtId="0" fontId="59" fillId="0" borderId="14" xfId="0" applyFont="1" applyBorder="1" applyAlignment="1">
      <alignment horizontal="left" vertical="center" wrapText="1"/>
    </xf>
    <xf numFmtId="0" fontId="59" fillId="0" borderId="37" xfId="0" applyFont="1" applyBorder="1" applyAlignment="1">
      <alignment horizontal="center" vertical="center" wrapText="1"/>
    </xf>
    <xf numFmtId="0" fontId="59" fillId="0" borderId="38" xfId="0" applyFont="1" applyBorder="1" applyAlignment="1">
      <alignment horizontal="center" vertical="center" wrapText="1"/>
    </xf>
    <xf numFmtId="0" fontId="59" fillId="0" borderId="14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0" fontId="26" fillId="0" borderId="0" xfId="0" applyNumberFormat="1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4" fillId="0" borderId="1" xfId="0" applyFont="1" applyBorder="1" applyAlignment="1">
      <alignment horizontal="center"/>
    </xf>
    <xf numFmtId="0" fontId="24" fillId="0" borderId="37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57" fillId="0" borderId="37" xfId="0" applyFont="1" applyBorder="1" applyAlignment="1">
      <alignment horizontal="left" vertical="top" wrapText="1"/>
    </xf>
    <xf numFmtId="0" fontId="57" fillId="0" borderId="38" xfId="0" applyFont="1" applyBorder="1" applyAlignment="1">
      <alignment horizontal="left" vertical="top" wrapText="1"/>
    </xf>
    <xf numFmtId="0" fontId="57" fillId="0" borderId="14" xfId="0" applyFont="1" applyBorder="1" applyAlignment="1">
      <alignment horizontal="left" vertical="top" wrapText="1"/>
    </xf>
    <xf numFmtId="0" fontId="57" fillId="0" borderId="37" xfId="0" applyFont="1" applyBorder="1" applyAlignment="1">
      <alignment horizontal="left" vertical="center" wrapText="1"/>
    </xf>
    <xf numFmtId="0" fontId="57" fillId="0" borderId="38" xfId="0" applyFont="1" applyBorder="1" applyAlignment="1">
      <alignment horizontal="left" vertical="center" wrapText="1"/>
    </xf>
    <xf numFmtId="0" fontId="57" fillId="0" borderId="1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50" fillId="0" borderId="1" xfId="0" applyFont="1" applyBorder="1" applyAlignment="1">
      <alignment horizontal="center" vertical="center"/>
    </xf>
    <xf numFmtId="15" fontId="50" fillId="0" borderId="1" xfId="0" applyNumberFormat="1" applyFont="1" applyBorder="1" applyAlignment="1">
      <alignment horizontal="center" vertical="center"/>
    </xf>
    <xf numFmtId="0" fontId="81" fillId="0" borderId="0" xfId="0" applyFont="1" applyAlignment="1">
      <alignment horizontal="left"/>
    </xf>
    <xf numFmtId="0" fontId="25" fillId="0" borderId="9" xfId="0" applyFont="1" applyBorder="1" applyAlignment="1">
      <alignment horizontal="center" vertical="center"/>
    </xf>
    <xf numFmtId="15" fontId="25" fillId="0" borderId="8" xfId="0" applyNumberFormat="1" applyFont="1" applyBorder="1" applyAlignment="1">
      <alignment horizontal="center" vertical="center"/>
    </xf>
    <xf numFmtId="15" fontId="25" fillId="0" borderId="9" xfId="0" applyNumberFormat="1" applyFont="1" applyBorder="1" applyAlignment="1">
      <alignment horizontal="center" vertical="center"/>
    </xf>
    <xf numFmtId="15" fontId="25" fillId="0" borderId="15" xfId="0" applyNumberFormat="1" applyFont="1" applyBorder="1" applyAlignment="1">
      <alignment horizontal="center" vertical="center"/>
    </xf>
    <xf numFmtId="0" fontId="90" fillId="0" borderId="0" xfId="16" applyFont="1" applyAlignment="1">
      <alignment horizontal="center"/>
    </xf>
    <xf numFmtId="0" fontId="81" fillId="0" borderId="0" xfId="16" applyFont="1"/>
    <xf numFmtId="0" fontId="85" fillId="0" borderId="99" xfId="16" applyFont="1" applyBorder="1" applyAlignment="1">
      <alignment horizontal="center" vertical="center"/>
    </xf>
    <xf numFmtId="0" fontId="85" fillId="0" borderId="107" xfId="16" applyFont="1" applyBorder="1" applyAlignment="1">
      <alignment horizontal="center" vertical="center"/>
    </xf>
    <xf numFmtId="0" fontId="87" fillId="0" borderId="107" xfId="16" applyFont="1" applyBorder="1"/>
    <xf numFmtId="0" fontId="85" fillId="0" borderId="100" xfId="16" applyFont="1" applyBorder="1" applyAlignment="1">
      <alignment horizontal="center" vertical="center"/>
    </xf>
    <xf numFmtId="0" fontId="83" fillId="0" borderId="108" xfId="16" applyFont="1" applyBorder="1" applyAlignment="1">
      <alignment horizontal="center" vertical="center"/>
    </xf>
    <xf numFmtId="0" fontId="87" fillId="0" borderId="104" xfId="16" applyFont="1" applyBorder="1"/>
    <xf numFmtId="0" fontId="87" fillId="0" borderId="103" xfId="16" applyFont="1" applyBorder="1"/>
    <xf numFmtId="0" fontId="53" fillId="0" borderId="0" xfId="0" applyFont="1" applyAlignment="1">
      <alignment horizontal="center"/>
    </xf>
    <xf numFmtId="0" fontId="48" fillId="0" borderId="1" xfId="5" applyFont="1" applyBorder="1" applyAlignment="1">
      <alignment horizontal="center" vertical="center"/>
    </xf>
    <xf numFmtId="0" fontId="49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/>
    </xf>
    <xf numFmtId="0" fontId="24" fillId="0" borderId="5" xfId="5" applyFont="1" applyBorder="1" applyAlignment="1">
      <alignment horizontal="center" vertical="center"/>
    </xf>
    <xf numFmtId="15" fontId="48" fillId="0" borderId="1" xfId="0" applyNumberFormat="1" applyFont="1" applyBorder="1" applyAlignment="1">
      <alignment horizontal="center" vertical="center"/>
    </xf>
    <xf numFmtId="15" fontId="50" fillId="0" borderId="0" xfId="0" applyNumberFormat="1" applyFont="1" applyAlignment="1">
      <alignment horizontal="center" vertical="center"/>
    </xf>
    <xf numFmtId="0" fontId="24" fillId="0" borderId="69" xfId="5" applyFont="1" applyBorder="1" applyAlignment="1">
      <alignment horizontal="center" vertical="center"/>
    </xf>
    <xf numFmtId="0" fontId="24" fillId="0" borderId="13" xfId="5" applyFont="1" applyBorder="1" applyAlignment="1">
      <alignment horizontal="center" vertical="center"/>
    </xf>
    <xf numFmtId="0" fontId="24" fillId="0" borderId="16" xfId="5" applyFont="1" applyBorder="1" applyAlignment="1">
      <alignment horizontal="center" vertical="center"/>
    </xf>
    <xf numFmtId="0" fontId="25" fillId="0" borderId="13" xfId="0" applyFont="1" applyBorder="1"/>
    <xf numFmtId="0" fontId="25" fillId="0" borderId="16" xfId="0" applyFont="1" applyBorder="1"/>
    <xf numFmtId="0" fontId="24" fillId="0" borderId="13" xfId="0" applyFont="1" applyBorder="1"/>
    <xf numFmtId="0" fontId="24" fillId="0" borderId="0" xfId="5" applyFont="1" applyAlignment="1">
      <alignment horizontal="left" vertical="center"/>
    </xf>
    <xf numFmtId="0" fontId="4" fillId="0" borderId="43" xfId="5" applyFont="1" applyBorder="1" applyAlignment="1">
      <alignment horizontal="center" vertical="center"/>
    </xf>
    <xf numFmtId="0" fontId="4" fillId="0" borderId="44" xfId="5" applyFont="1" applyBorder="1" applyAlignment="1">
      <alignment horizontal="center" vertical="center"/>
    </xf>
    <xf numFmtId="0" fontId="25" fillId="0" borderId="0" xfId="5" applyFont="1" applyAlignment="1">
      <alignment horizontal="left" vertical="center"/>
    </xf>
    <xf numFmtId="0" fontId="4" fillId="0" borderId="27" xfId="5" applyFont="1" applyBorder="1" applyAlignment="1">
      <alignment horizontal="center" vertical="center"/>
    </xf>
    <xf numFmtId="0" fontId="4" fillId="0" borderId="45" xfId="5" applyFont="1" applyBorder="1" applyAlignment="1">
      <alignment horizontal="center" vertical="center"/>
    </xf>
    <xf numFmtId="0" fontId="21" fillId="0" borderId="68" xfId="5" applyFont="1" applyBorder="1" applyAlignment="1">
      <alignment horizontal="center" vertical="center"/>
    </xf>
    <xf numFmtId="0" fontId="21" fillId="0" borderId="70" xfId="5" applyFont="1" applyBorder="1" applyAlignment="1">
      <alignment horizontal="center" vertical="center"/>
    </xf>
    <xf numFmtId="0" fontId="21" fillId="0" borderId="74" xfId="5" applyFont="1" applyBorder="1" applyAlignment="1">
      <alignment horizontal="center" vertical="center"/>
    </xf>
    <xf numFmtId="0" fontId="5" fillId="0" borderId="68" xfId="5" applyFont="1" applyBorder="1" applyAlignment="1">
      <alignment horizontal="center" vertical="center"/>
    </xf>
    <xf numFmtId="0" fontId="5" fillId="0" borderId="70" xfId="5" applyFont="1" applyBorder="1" applyAlignment="1">
      <alignment horizontal="center" vertical="center"/>
    </xf>
    <xf numFmtId="0" fontId="5" fillId="0" borderId="74" xfId="5" applyFont="1" applyBorder="1" applyAlignment="1">
      <alignment horizontal="center" vertical="center"/>
    </xf>
    <xf numFmtId="0" fontId="22" fillId="0" borderId="44" xfId="5" applyFont="1" applyBorder="1" applyAlignment="1">
      <alignment horizontal="center" vertical="center" wrapText="1"/>
    </xf>
    <xf numFmtId="0" fontId="22" fillId="0" borderId="60" xfId="5" applyFont="1" applyBorder="1" applyAlignment="1">
      <alignment horizontal="center" vertical="center" wrapText="1"/>
    </xf>
    <xf numFmtId="0" fontId="22" fillId="0" borderId="45" xfId="5" applyFont="1" applyBorder="1" applyAlignment="1">
      <alignment horizontal="center" vertical="center" wrapText="1"/>
    </xf>
    <xf numFmtId="0" fontId="24" fillId="0" borderId="84" xfId="5" applyFont="1" applyBorder="1" applyAlignment="1">
      <alignment horizontal="center" vertical="center"/>
    </xf>
    <xf numFmtId="0" fontId="24" fillId="0" borderId="43" xfId="5" applyFont="1" applyBorder="1" applyAlignment="1">
      <alignment horizontal="center" vertical="center"/>
    </xf>
    <xf numFmtId="0" fontId="24" fillId="0" borderId="44" xfId="5" applyFont="1" applyBorder="1" applyAlignment="1">
      <alignment horizontal="center" vertical="center"/>
    </xf>
    <xf numFmtId="0" fontId="24" fillId="0" borderId="85" xfId="5" applyFont="1" applyBorder="1" applyAlignment="1">
      <alignment horizontal="center" vertical="center"/>
    </xf>
    <xf numFmtId="0" fontId="24" fillId="0" borderId="60" xfId="5" applyFont="1" applyBorder="1" applyAlignment="1">
      <alignment horizontal="center" vertical="center"/>
    </xf>
    <xf numFmtId="0" fontId="24" fillId="0" borderId="72" xfId="5" applyFont="1" applyBorder="1" applyAlignment="1">
      <alignment horizontal="center" vertical="center"/>
    </xf>
    <xf numFmtId="0" fontId="24" fillId="0" borderId="27" xfId="5" applyFont="1" applyBorder="1" applyAlignment="1">
      <alignment horizontal="center" vertical="center"/>
    </xf>
    <xf numFmtId="0" fontId="24" fillId="0" borderId="45" xfId="5" applyFont="1" applyBorder="1" applyAlignment="1">
      <alignment horizontal="center" vertical="center"/>
    </xf>
    <xf numFmtId="0" fontId="21" fillId="0" borderId="69" xfId="5" applyFont="1" applyBorder="1" applyAlignment="1">
      <alignment horizontal="center" vertical="center"/>
    </xf>
    <xf numFmtId="0" fontId="21" fillId="0" borderId="13" xfId="5" applyFont="1" applyBorder="1" applyAlignment="1">
      <alignment horizontal="center" vertical="center"/>
    </xf>
    <xf numFmtId="0" fontId="21" fillId="0" borderId="16" xfId="5" applyFont="1" applyBorder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0" fontId="9" fillId="0" borderId="15" xfId="5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15" fontId="28" fillId="0" borderId="1" xfId="0" applyNumberFormat="1" applyFont="1" applyBorder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0" fontId="21" fillId="0" borderId="72" xfId="5" applyFont="1" applyBorder="1" applyAlignment="1">
      <alignment horizontal="center" vertical="center"/>
    </xf>
    <xf numFmtId="0" fontId="21" fillId="0" borderId="27" xfId="5" applyFont="1" applyBorder="1" applyAlignment="1">
      <alignment horizontal="center" vertical="center"/>
    </xf>
    <xf numFmtId="0" fontId="21" fillId="0" borderId="73" xfId="5" applyFont="1" applyBorder="1" applyAlignment="1">
      <alignment horizontal="center" vertical="center"/>
    </xf>
    <xf numFmtId="0" fontId="21" fillId="0" borderId="0" xfId="5" applyFont="1" applyAlignment="1">
      <alignment horizontal="center" vertical="center"/>
    </xf>
    <xf numFmtId="0" fontId="5" fillId="0" borderId="69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5" fontId="28" fillId="0" borderId="8" xfId="0" applyNumberFormat="1" applyFont="1" applyBorder="1" applyAlignment="1">
      <alignment horizontal="center" vertical="center"/>
    </xf>
    <xf numFmtId="15" fontId="28" fillId="0" borderId="15" xfId="0" applyNumberFormat="1" applyFont="1" applyBorder="1" applyAlignment="1">
      <alignment horizontal="center" vertical="center"/>
    </xf>
    <xf numFmtId="0" fontId="20" fillId="0" borderId="0" xfId="5" applyFont="1" applyAlignment="1">
      <alignment horizontal="center"/>
    </xf>
    <xf numFmtId="0" fontId="4" fillId="0" borderId="37" xfId="5" applyFont="1" applyBorder="1" applyAlignment="1">
      <alignment horizontal="center" vertical="center" wrapText="1"/>
    </xf>
    <xf numFmtId="0" fontId="4" fillId="0" borderId="38" xfId="5" applyFont="1" applyBorder="1" applyAlignment="1">
      <alignment horizontal="center" vertical="center" wrapText="1"/>
    </xf>
    <xf numFmtId="0" fontId="4" fillId="0" borderId="14" xfId="5" applyFont="1" applyBorder="1" applyAlignment="1">
      <alignment horizontal="center" vertical="center" wrapText="1"/>
    </xf>
    <xf numFmtId="0" fontId="4" fillId="0" borderId="37" xfId="5" applyFont="1" applyBorder="1" applyAlignment="1">
      <alignment horizontal="center" vertical="center"/>
    </xf>
    <xf numFmtId="0" fontId="4" fillId="0" borderId="14" xfId="5" applyFont="1" applyBorder="1" applyAlignment="1">
      <alignment horizontal="center" vertical="center"/>
    </xf>
    <xf numFmtId="0" fontId="41" fillId="0" borderId="37" xfId="5" applyFont="1" applyBorder="1" applyAlignment="1">
      <alignment horizontal="center" vertical="center" wrapText="1"/>
    </xf>
    <xf numFmtId="0" fontId="41" fillId="0" borderId="38" xfId="5" applyFont="1" applyBorder="1" applyAlignment="1">
      <alignment horizontal="center" vertical="center" wrapText="1"/>
    </xf>
    <xf numFmtId="0" fontId="41" fillId="0" borderId="14" xfId="5" applyFont="1" applyBorder="1" applyAlignment="1">
      <alignment horizontal="center" vertical="center" wrapText="1"/>
    </xf>
    <xf numFmtId="0" fontId="4" fillId="0" borderId="37" xfId="5" applyFont="1" applyBorder="1" applyAlignment="1">
      <alignment horizontal="left" vertical="top" wrapText="1"/>
    </xf>
    <xf numFmtId="0" fontId="4" fillId="0" borderId="14" xfId="5" applyFont="1" applyBorder="1" applyAlignment="1">
      <alignment horizontal="left" vertical="top" wrapText="1"/>
    </xf>
    <xf numFmtId="0" fontId="4" fillId="0" borderId="38" xfId="5" applyFont="1" applyBorder="1" applyAlignment="1">
      <alignment horizontal="left" vertical="top" wrapText="1"/>
    </xf>
    <xf numFmtId="0" fontId="41" fillId="0" borderId="37" xfId="5" applyFont="1" applyBorder="1" applyAlignment="1">
      <alignment horizontal="left" vertical="top" wrapText="1"/>
    </xf>
    <xf numFmtId="0" fontId="41" fillId="0" borderId="38" xfId="5" applyFont="1" applyBorder="1" applyAlignment="1">
      <alignment horizontal="left" vertical="top" wrapText="1"/>
    </xf>
    <xf numFmtId="0" fontId="41" fillId="0" borderId="14" xfId="5" applyFont="1" applyBorder="1" applyAlignment="1">
      <alignment horizontal="left" vertical="top" wrapText="1"/>
    </xf>
    <xf numFmtId="0" fontId="4" fillId="0" borderId="37" xfId="5" applyFont="1" applyBorder="1" applyAlignment="1">
      <alignment horizontal="center" wrapText="1"/>
    </xf>
    <xf numFmtId="0" fontId="4" fillId="0" borderId="14" xfId="5" applyFont="1" applyBorder="1" applyAlignment="1">
      <alignment horizontal="center" wrapText="1"/>
    </xf>
    <xf numFmtId="0" fontId="4" fillId="0" borderId="38" xfId="5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0" fontId="33" fillId="0" borderId="0" xfId="0" applyFont="1" applyAlignment="1">
      <alignment horizontal="left" wrapText="1"/>
    </xf>
    <xf numFmtId="0" fontId="28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15" fontId="25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24" fillId="0" borderId="47" xfId="0" applyFont="1" applyBorder="1" applyAlignment="1">
      <alignment horizontal="center"/>
    </xf>
    <xf numFmtId="0" fontId="24" fillId="0" borderId="48" xfId="0" applyFont="1" applyBorder="1" applyAlignment="1">
      <alignment horizontal="center"/>
    </xf>
    <xf numFmtId="0" fontId="25" fillId="0" borderId="47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48" xfId="0" applyFont="1" applyBorder="1" applyAlignment="1">
      <alignment horizontal="center"/>
    </xf>
    <xf numFmtId="0" fontId="25" fillId="0" borderId="49" xfId="0" applyFont="1" applyBorder="1" applyAlignment="1">
      <alignment horizontal="center" wrapText="1"/>
    </xf>
    <xf numFmtId="0" fontId="25" fillId="0" borderId="50" xfId="0" applyFont="1" applyBorder="1" applyAlignment="1">
      <alignment horizontal="center" wrapText="1"/>
    </xf>
    <xf numFmtId="0" fontId="25" fillId="0" borderId="50" xfId="0" applyFont="1" applyBorder="1" applyAlignment="1">
      <alignment horizontal="center"/>
    </xf>
    <xf numFmtId="0" fontId="25" fillId="0" borderId="51" xfId="0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62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5" fillId="0" borderId="63" xfId="0" applyFont="1" applyBorder="1" applyAlignment="1">
      <alignment horizontal="center"/>
    </xf>
    <xf numFmtId="0" fontId="25" fillId="0" borderId="64" xfId="0" applyFont="1" applyBorder="1" applyAlignment="1">
      <alignment horizontal="center"/>
    </xf>
    <xf numFmtId="0" fontId="25" fillId="0" borderId="65" xfId="0" applyFont="1" applyBorder="1" applyAlignment="1">
      <alignment horizontal="center"/>
    </xf>
    <xf numFmtId="0" fontId="24" fillId="0" borderId="28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wrapText="1"/>
    </xf>
    <xf numFmtId="0" fontId="24" fillId="0" borderId="54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52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9" fontId="4" fillId="0" borderId="44" xfId="0" applyNumberFormat="1" applyFont="1" applyBorder="1" applyAlignment="1">
      <alignment horizontal="center" vertical="center"/>
    </xf>
    <xf numFmtId="9" fontId="4" fillId="0" borderId="45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28" fillId="0" borderId="41" xfId="0" applyFont="1" applyBorder="1" applyAlignment="1">
      <alignment horizontal="center"/>
    </xf>
    <xf numFmtId="0" fontId="28" fillId="0" borderId="42" xfId="0" applyFont="1" applyBorder="1" applyAlignment="1">
      <alignment horizontal="center"/>
    </xf>
    <xf numFmtId="9" fontId="4" fillId="0" borderId="43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1" fillId="2" borderId="106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2" fillId="2" borderId="56" xfId="0" applyFont="1" applyFill="1" applyBorder="1" applyAlignment="1">
      <alignment horizontal="center" vertical="center"/>
    </xf>
    <xf numFmtId="0" fontId="22" fillId="2" borderId="50" xfId="0" applyFont="1" applyFill="1" applyBorder="1" applyAlignment="1">
      <alignment horizontal="center" vertical="center"/>
    </xf>
    <xf numFmtId="0" fontId="23" fillId="2" borderId="56" xfId="0" applyFont="1" applyFill="1" applyBorder="1" applyAlignment="1">
      <alignment horizontal="center" vertical="center" wrapText="1"/>
    </xf>
    <xf numFmtId="0" fontId="23" fillId="2" borderId="5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23" fillId="2" borderId="56" xfId="0" applyFont="1" applyFill="1" applyBorder="1" applyAlignment="1">
      <alignment horizontal="center" vertical="center"/>
    </xf>
    <xf numFmtId="0" fontId="23" fillId="2" borderId="1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2"/>
    </xf>
    <xf numFmtId="0" fontId="12" fillId="0" borderId="1" xfId="0" applyFont="1" applyBorder="1" applyAlignment="1">
      <alignment horizontal="left" vertical="center" wrapText="1" indent="2"/>
    </xf>
    <xf numFmtId="0" fontId="11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0" fillId="26" borderId="1" xfId="0" applyFont="1" applyFill="1" applyBorder="1" applyAlignment="1">
      <alignment horizontal="center" vertical="center"/>
    </xf>
    <xf numFmtId="0" fontId="80" fillId="27" borderId="1" xfId="0" applyFont="1" applyFill="1" applyBorder="1" applyAlignment="1">
      <alignment horizontal="center" vertical="center"/>
    </xf>
    <xf numFmtId="0" fontId="80" fillId="3" borderId="8" xfId="0" applyFont="1" applyFill="1" applyBorder="1" applyAlignment="1">
      <alignment horizontal="center" vertical="center"/>
    </xf>
    <xf numFmtId="0" fontId="80" fillId="3" borderId="9" xfId="0" applyFont="1" applyFill="1" applyBorder="1" applyAlignment="1">
      <alignment horizontal="center" vertical="center"/>
    </xf>
    <xf numFmtId="0" fontId="80" fillId="3" borderId="15" xfId="0" applyFont="1" applyFill="1" applyBorder="1" applyAlignment="1">
      <alignment horizontal="center" vertical="center"/>
    </xf>
    <xf numFmtId="0" fontId="80" fillId="3" borderId="4" xfId="0" applyFont="1" applyFill="1" applyBorder="1" applyAlignment="1">
      <alignment horizontal="center" vertical="center" wrapText="1"/>
    </xf>
    <xf numFmtId="0" fontId="80" fillId="28" borderId="1" xfId="0" applyFont="1" applyFill="1" applyBorder="1" applyAlignment="1">
      <alignment horizontal="center" vertical="center"/>
    </xf>
    <xf numFmtId="0" fontId="80" fillId="3" borderId="2" xfId="0" applyFont="1" applyFill="1" applyBorder="1" applyAlignment="1">
      <alignment horizontal="center" vertical="center" wrapText="1"/>
    </xf>
    <xf numFmtId="0" fontId="80" fillId="3" borderId="3" xfId="0" applyFont="1" applyFill="1" applyBorder="1" applyAlignment="1">
      <alignment horizontal="center" vertical="center" wrapText="1"/>
    </xf>
    <xf numFmtId="0" fontId="80" fillId="3" borderId="5" xfId="0" applyFont="1" applyFill="1" applyBorder="1" applyAlignment="1">
      <alignment horizontal="center" vertical="center" wrapText="1"/>
    </xf>
    <xf numFmtId="0" fontId="80" fillId="3" borderId="6" xfId="0" applyFont="1" applyFill="1" applyBorder="1" applyAlignment="1">
      <alignment horizontal="center" vertical="center" wrapText="1"/>
    </xf>
    <xf numFmtId="0" fontId="80" fillId="3" borderId="7" xfId="0" applyFont="1" applyFill="1" applyBorder="1" applyAlignment="1">
      <alignment horizontal="center" vertical="center" wrapText="1"/>
    </xf>
    <xf numFmtId="0" fontId="80" fillId="0" borderId="1" xfId="0" applyFont="1" applyBorder="1" applyAlignment="1">
      <alignment horizontal="left" vertical="top" wrapText="1"/>
    </xf>
    <xf numFmtId="0" fontId="93" fillId="0" borderId="8" xfId="0" applyFont="1" applyBorder="1" applyAlignment="1">
      <alignment horizontal="center" vertical="center"/>
    </xf>
    <xf numFmtId="15" fontId="108" fillId="0" borderId="8" xfId="0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0" fontId="109" fillId="0" borderId="1" xfId="0" applyFont="1" applyBorder="1" applyAlignment="1">
      <alignment horizontal="center" vertical="center"/>
    </xf>
    <xf numFmtId="0" fontId="109" fillId="0" borderId="8" xfId="0" applyFont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10" fillId="0" borderId="0" xfId="0" applyFont="1"/>
    <xf numFmtId="0" fontId="80" fillId="0" borderId="1" xfId="0" applyFont="1" applyBorder="1" applyAlignment="1">
      <alignment horizontal="center" vertical="top"/>
    </xf>
    <xf numFmtId="0" fontId="80" fillId="0" borderId="1" xfId="0" applyFont="1" applyBorder="1" applyAlignment="1">
      <alignment horizontal="left" vertical="top" wrapText="1"/>
    </xf>
    <xf numFmtId="0" fontId="80" fillId="0" borderId="14" xfId="0" applyFont="1" applyBorder="1" applyAlignment="1">
      <alignment horizontal="left" vertical="center"/>
    </xf>
    <xf numFmtId="0" fontId="80" fillId="0" borderId="1" xfId="0" applyFont="1" applyBorder="1" applyAlignment="1">
      <alignment horizontal="left" vertical="center"/>
    </xf>
    <xf numFmtId="15" fontId="92" fillId="0" borderId="1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/>
    </xf>
    <xf numFmtId="0" fontId="102" fillId="0" borderId="0" xfId="0" applyFont="1" applyAlignment="1">
      <alignment horizontal="left" vertical="center" indent="20"/>
    </xf>
    <xf numFmtId="0" fontId="80" fillId="0" borderId="0" xfId="0" applyFont="1" applyAlignment="1">
      <alignment horizontal="left" vertical="center"/>
    </xf>
    <xf numFmtId="0" fontId="80" fillId="0" borderId="0" xfId="0" applyFont="1" applyAlignment="1">
      <alignment horizontal="left" vertical="center" indent="20"/>
    </xf>
    <xf numFmtId="0" fontId="80" fillId="0" borderId="0" xfId="0" applyFont="1" applyAlignment="1">
      <alignment horizontal="left"/>
    </xf>
    <xf numFmtId="0" fontId="102" fillId="2" borderId="78" xfId="0" applyFont="1" applyFill="1" applyBorder="1" applyAlignment="1">
      <alignment horizontal="center" vertical="center"/>
    </xf>
    <xf numFmtId="0" fontId="102" fillId="2" borderId="40" xfId="0" applyFont="1" applyFill="1" applyBorder="1" applyAlignment="1">
      <alignment horizontal="center" vertical="center"/>
    </xf>
    <xf numFmtId="0" fontId="102" fillId="2" borderId="78" xfId="0" applyFont="1" applyFill="1" applyBorder="1" applyAlignment="1">
      <alignment horizontal="center" vertical="center" wrapText="1"/>
    </xf>
    <xf numFmtId="0" fontId="102" fillId="2" borderId="53" xfId="0" applyFont="1" applyFill="1" applyBorder="1" applyAlignment="1">
      <alignment horizontal="center" vertical="center"/>
    </xf>
    <xf numFmtId="0" fontId="102" fillId="2" borderId="110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 wrapText="1"/>
    </xf>
    <xf numFmtId="0" fontId="102" fillId="2" borderId="83" xfId="0" applyFont="1" applyFill="1" applyBorder="1" applyAlignment="1">
      <alignment horizontal="center" vertical="center"/>
    </xf>
    <xf numFmtId="0" fontId="102" fillId="2" borderId="42" xfId="0" applyFont="1" applyFill="1" applyBorder="1" applyAlignment="1">
      <alignment horizontal="center" vertical="center"/>
    </xf>
    <xf numFmtId="0" fontId="102" fillId="2" borderId="83" xfId="0" applyFont="1" applyFill="1" applyBorder="1" applyAlignment="1">
      <alignment horizontal="center" vertical="center" wrapText="1"/>
    </xf>
    <xf numFmtId="0" fontId="102" fillId="2" borderId="64" xfId="0" applyFont="1" applyFill="1" applyBorder="1" applyAlignment="1">
      <alignment horizontal="center" vertical="center" wrapText="1"/>
    </xf>
    <xf numFmtId="0" fontId="102" fillId="2" borderId="5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80" fillId="0" borderId="0" xfId="0" applyFont="1" applyBorder="1" applyAlignment="1">
      <alignment horizontal="center"/>
    </xf>
    <xf numFmtId="0" fontId="80" fillId="0" borderId="0" xfId="0" applyFont="1" applyBorder="1" applyAlignment="1">
      <alignment horizontal="left"/>
    </xf>
    <xf numFmtId="0" fontId="80" fillId="0" borderId="0" xfId="0" applyFont="1" applyBorder="1"/>
    <xf numFmtId="0" fontId="82" fillId="0" borderId="0" xfId="0" applyFont="1" applyAlignment="1">
      <alignment horizontal="right"/>
    </xf>
    <xf numFmtId="0" fontId="80" fillId="0" borderId="0" xfId="0" applyFont="1" applyAlignment="1">
      <alignment horizontal="right" vertical="center"/>
    </xf>
    <xf numFmtId="0" fontId="100" fillId="0" borderId="0" xfId="0" applyFont="1" applyBorder="1" applyAlignment="1">
      <alignment horizontal="center"/>
    </xf>
    <xf numFmtId="0" fontId="100" fillId="0" borderId="0" xfId="0" applyFont="1" applyAlignment="1">
      <alignment horizontal="center"/>
    </xf>
    <xf numFmtId="0" fontId="111" fillId="0" borderId="1" xfId="0" applyFont="1" applyBorder="1" applyAlignment="1">
      <alignment horizontal="center" wrapText="1"/>
    </xf>
    <xf numFmtId="0" fontId="111" fillId="0" borderId="1" xfId="0" applyFont="1" applyBorder="1" applyAlignment="1">
      <alignment horizontal="center"/>
    </xf>
    <xf numFmtId="0" fontId="111" fillId="0" borderId="1" xfId="0" applyFont="1" applyBorder="1" applyAlignment="1">
      <alignment horizontal="center" vertical="center"/>
    </xf>
    <xf numFmtId="0" fontId="111" fillId="0" borderId="1" xfId="0" applyFont="1" applyBorder="1" applyAlignment="1">
      <alignment horizontal="center" wrapText="1"/>
    </xf>
    <xf numFmtId="0" fontId="101" fillId="0" borderId="1" xfId="0" applyFont="1" applyBorder="1" applyAlignment="1">
      <alignment horizontal="center" vertical="center"/>
    </xf>
    <xf numFmtId="0" fontId="101" fillId="0" borderId="1" xfId="0" applyFont="1" applyBorder="1" applyAlignment="1">
      <alignment horizontal="center" vertical="center"/>
    </xf>
    <xf numFmtId="0" fontId="101" fillId="0" borderId="1" xfId="0" applyFont="1" applyBorder="1" applyAlignment="1">
      <alignment horizontal="center"/>
    </xf>
    <xf numFmtId="0" fontId="41" fillId="0" borderId="7" xfId="0" applyFont="1" applyBorder="1"/>
    <xf numFmtId="0" fontId="112" fillId="19" borderId="1" xfId="0" applyFont="1" applyFill="1" applyBorder="1" applyAlignment="1">
      <alignment vertical="center"/>
    </xf>
    <xf numFmtId="0" fontId="112" fillId="19" borderId="1" xfId="0" applyFont="1" applyFill="1" applyBorder="1" applyAlignment="1">
      <alignment horizontal="center" vertical="center"/>
    </xf>
    <xf numFmtId="0" fontId="113" fillId="19" borderId="1" xfId="0" applyFont="1" applyFill="1" applyBorder="1" applyAlignment="1">
      <alignment horizontal="center" vertical="center"/>
    </xf>
    <xf numFmtId="0" fontId="112" fillId="2" borderId="1" xfId="0" applyFont="1" applyFill="1" applyBorder="1" applyAlignment="1">
      <alignment horizontal="center" vertical="center"/>
    </xf>
    <xf numFmtId="0" fontId="112" fillId="2" borderId="1" xfId="0" applyFont="1" applyFill="1" applyBorder="1" applyAlignment="1">
      <alignment horizontal="center" vertical="center"/>
    </xf>
    <xf numFmtId="0" fontId="114" fillId="0" borderId="0" xfId="0" applyFont="1" applyAlignment="1">
      <alignment vertical="center"/>
    </xf>
    <xf numFmtId="0" fontId="102" fillId="0" borderId="37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80" fillId="0" borderId="1" xfId="0" applyFont="1" applyBorder="1"/>
    <xf numFmtId="0" fontId="80" fillId="0" borderId="1" xfId="0" applyFont="1" applyBorder="1" applyAlignment="1">
      <alignment vertical="center" wrapText="1"/>
    </xf>
    <xf numFmtId="0" fontId="80" fillId="0" borderId="8" xfId="0" applyFont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 wrapText="1"/>
    </xf>
    <xf numFmtId="0" fontId="80" fillId="0" borderId="15" xfId="0" applyFont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15" fontId="92" fillId="0" borderId="8" xfId="0" applyNumberFormat="1" applyFont="1" applyBorder="1" applyAlignment="1">
      <alignment horizontal="center" vertical="center"/>
    </xf>
    <xf numFmtId="15" fontId="92" fillId="0" borderId="15" xfId="0" applyNumberFormat="1" applyFont="1" applyBorder="1" applyAlignment="1">
      <alignment horizontal="center" vertical="center"/>
    </xf>
    <xf numFmtId="0" fontId="80" fillId="0" borderId="0" xfId="0" applyFont="1" applyAlignment="1">
      <alignment horizontal="left" vertical="center" indent="2"/>
    </xf>
    <xf numFmtId="0" fontId="82" fillId="0" borderId="0" xfId="0" applyFont="1" applyAlignment="1">
      <alignment horizontal="left" indent="2"/>
    </xf>
    <xf numFmtId="0" fontId="24" fillId="0" borderId="0" xfId="0" applyFont="1" applyBorder="1"/>
    <xf numFmtId="0" fontId="70" fillId="0" borderId="0" xfId="0" applyFont="1" applyBorder="1" applyAlignment="1">
      <alignment horizontal="center"/>
    </xf>
    <xf numFmtId="0" fontId="71" fillId="0" borderId="0" xfId="0" applyFont="1" applyBorder="1" applyAlignment="1">
      <alignment horizontal="center" vertical="center"/>
    </xf>
    <xf numFmtId="0" fontId="72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80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1" fontId="20" fillId="0" borderId="60" xfId="0" applyNumberFormat="1" applyFont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81" fillId="0" borderId="0" xfId="0" applyFont="1" applyBorder="1"/>
    <xf numFmtId="0" fontId="20" fillId="0" borderId="0" xfId="0" applyFont="1" applyBorder="1" applyAlignment="1">
      <alignment horizontal="left"/>
    </xf>
    <xf numFmtId="1" fontId="81" fillId="0" borderId="0" xfId="0" applyNumberFormat="1" applyFont="1" applyBorder="1" applyAlignment="1"/>
    <xf numFmtId="1" fontId="20" fillId="0" borderId="60" xfId="0" applyNumberFormat="1" applyFont="1" applyBorder="1" applyAlignment="1"/>
    <xf numFmtId="0" fontId="73" fillId="0" borderId="60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80" fillId="0" borderId="8" xfId="0" applyFont="1" applyBorder="1" applyAlignment="1">
      <alignment horizontal="left" vertical="top" wrapText="1"/>
    </xf>
    <xf numFmtId="0" fontId="80" fillId="0" borderId="15" xfId="0" applyFont="1" applyBorder="1" applyAlignment="1">
      <alignment horizontal="left" vertical="top" wrapText="1"/>
    </xf>
    <xf numFmtId="0" fontId="80" fillId="0" borderId="8" xfId="0" applyFont="1" applyBorder="1" applyAlignment="1">
      <alignment horizontal="center"/>
    </xf>
    <xf numFmtId="0" fontId="80" fillId="0" borderId="15" xfId="0" applyFont="1" applyBorder="1" applyAlignment="1">
      <alignment horizontal="center"/>
    </xf>
    <xf numFmtId="0" fontId="80" fillId="3" borderId="37" xfId="0" applyFont="1" applyFill="1" applyBorder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80" fillId="0" borderId="0" xfId="0" applyFont="1" applyAlignment="1">
      <alignment horizontal="left" vertical="center" indent="12"/>
    </xf>
  </cellXfs>
  <cellStyles count="17">
    <cellStyle name="Currency [0] 2" xfId="1" xr:uid="{00000000-0005-0000-0000-000000000000}"/>
    <cellStyle name="Currency [0] 2 2" xfId="2" xr:uid="{00000000-0005-0000-0000-000001000000}"/>
    <cellStyle name="Currency [0] 2 3" xfId="3" xr:uid="{00000000-0005-0000-0000-000002000000}"/>
    <cellStyle name="Currency [0] 2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3" xfId="7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_SISWA BARU 1011 2" xfId="11" xr:uid="{00000000-0005-0000-0000-00000B000000}"/>
    <cellStyle name="Normal 3" xfId="12" xr:uid="{00000000-0005-0000-0000-00000C000000}"/>
    <cellStyle name="Normal 4" xfId="13" xr:uid="{00000000-0005-0000-0000-00000D000000}"/>
    <cellStyle name="Normal 5" xfId="14" xr:uid="{00000000-0005-0000-0000-00000E000000}"/>
    <cellStyle name="Normal 6" xfId="15" xr:uid="{00000000-0005-0000-0000-00000F000000}"/>
    <cellStyle name="Normal 7" xfId="16" xr:uid="{867DBC2A-C0CE-406C-8BA1-B3E878D03F9A}"/>
  </cellStyles>
  <dxfs count="0"/>
  <tableStyles count="0" defaultTableStyle="TableStyleMedium9" defaultPivotStyle="PivotStyleLight16"/>
  <colors>
    <mruColors>
      <color rgb="FFFFFF66"/>
      <color rgb="FFFF9933"/>
      <color rgb="FFFF5050"/>
      <color rgb="FF33CC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47627</xdr:rowOff>
    </xdr:from>
    <xdr:to>
      <xdr:col>7</xdr:col>
      <xdr:colOff>257174</xdr:colOff>
      <xdr:row>20</xdr:row>
      <xdr:rowOff>0</xdr:rowOff>
    </xdr:to>
    <xdr:pic>
      <xdr:nvPicPr>
        <xdr:cNvPr id="3" name="Picture 1" descr="tut-wuri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09040" y="2190750"/>
          <a:ext cx="2265045" cy="2152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344366</xdr:colOff>
      <xdr:row>23</xdr:row>
      <xdr:rowOff>114300</xdr:rowOff>
    </xdr:from>
    <xdr:to>
      <xdr:col>5</xdr:col>
      <xdr:colOff>344366</xdr:colOff>
      <xdr:row>32</xdr:row>
      <xdr:rowOff>13190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2172335" y="4543425"/>
          <a:ext cx="352425" cy="1612900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344366</xdr:colOff>
      <xdr:row>19</xdr:row>
      <xdr:rowOff>104775</xdr:rowOff>
    </xdr:from>
    <xdr:to>
      <xdr:col>7</xdr:col>
      <xdr:colOff>0</xdr:colOff>
      <xdr:row>32</xdr:row>
      <xdr:rowOff>3664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2524760" y="3771900"/>
          <a:ext cx="360680" cy="2374900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180976</xdr:colOff>
      <xdr:row>14</xdr:row>
      <xdr:rowOff>76201</xdr:rowOff>
    </xdr:from>
    <xdr:to>
      <xdr:col>1</xdr:col>
      <xdr:colOff>428625</xdr:colOff>
      <xdr:row>26</xdr:row>
      <xdr:rowOff>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1C00-000031000000}"/>
            </a:ext>
          </a:extLst>
        </xdr:cNvPr>
        <xdr:cNvSpPr/>
      </xdr:nvSpPr>
      <xdr:spPr>
        <a:xfrm>
          <a:off x="733425" y="2790825"/>
          <a:ext cx="247650" cy="2209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Prosentase</a:t>
          </a:r>
        </a:p>
      </xdr:txBody>
    </xdr:sp>
    <xdr:clientData/>
  </xdr:twoCellAnchor>
  <xdr:twoCellAnchor>
    <xdr:from>
      <xdr:col>2</xdr:col>
      <xdr:colOff>342900</xdr:colOff>
      <xdr:row>32</xdr:row>
      <xdr:rowOff>3969</xdr:rowOff>
    </xdr:from>
    <xdr:to>
      <xdr:col>16</xdr:col>
      <xdr:colOff>9525</xdr:colOff>
      <xdr:row>32</xdr:row>
      <xdr:rowOff>9525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1C00-000032000000}"/>
            </a:ext>
          </a:extLst>
        </xdr:cNvPr>
        <xdr:cNvCxnSpPr/>
      </xdr:nvCxnSpPr>
      <xdr:spPr>
        <a:xfrm>
          <a:off x="1466215" y="6147435"/>
          <a:ext cx="4619625" cy="5715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180976</xdr:colOff>
      <xdr:row>14</xdr:row>
      <xdr:rowOff>76201</xdr:rowOff>
    </xdr:from>
    <xdr:to>
      <xdr:col>1</xdr:col>
      <xdr:colOff>428625</xdr:colOff>
      <xdr:row>26</xdr:row>
      <xdr:rowOff>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1C00-000033000000}"/>
            </a:ext>
          </a:extLst>
        </xdr:cNvPr>
        <xdr:cNvSpPr/>
      </xdr:nvSpPr>
      <xdr:spPr>
        <a:xfrm>
          <a:off x="733425" y="2790825"/>
          <a:ext cx="247650" cy="2209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Prosentase</a:t>
          </a:r>
        </a:p>
      </xdr:txBody>
    </xdr:sp>
    <xdr:clientData/>
  </xdr:twoCellAnchor>
  <xdr:twoCellAnchor>
    <xdr:from>
      <xdr:col>2</xdr:col>
      <xdr:colOff>342900</xdr:colOff>
      <xdr:row>32</xdr:row>
      <xdr:rowOff>3969</xdr:rowOff>
    </xdr:from>
    <xdr:to>
      <xdr:col>16</xdr:col>
      <xdr:colOff>9525</xdr:colOff>
      <xdr:row>32</xdr:row>
      <xdr:rowOff>9525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1C00-000034000000}"/>
            </a:ext>
          </a:extLst>
        </xdr:cNvPr>
        <xdr:cNvCxnSpPr/>
      </xdr:nvCxnSpPr>
      <xdr:spPr>
        <a:xfrm>
          <a:off x="1466215" y="6147435"/>
          <a:ext cx="4619625" cy="57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7327</xdr:colOff>
      <xdr:row>26</xdr:row>
      <xdr:rowOff>161926</xdr:rowOff>
    </xdr:from>
    <xdr:to>
      <xdr:col>4</xdr:col>
      <xdr:colOff>337038</xdr:colOff>
      <xdr:row>32</xdr:row>
      <xdr:rowOff>9526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1C00-000035000000}"/>
            </a:ext>
          </a:extLst>
        </xdr:cNvPr>
        <xdr:cNvSpPr/>
      </xdr:nvSpPr>
      <xdr:spPr>
        <a:xfrm>
          <a:off x="1835150" y="5162550"/>
          <a:ext cx="329565" cy="990600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endParaRPr lang="en-US" sz="800">
            <a:solidFill>
              <a:sysClr val="windowText" lastClr="000000"/>
            </a:solidFill>
            <a:latin typeface="Bodoni MT Condensed" panose="02070606080606020203" pitchFamily="18" charset="0"/>
          </a:endParaRPr>
        </a:p>
      </xdr:txBody>
    </xdr:sp>
    <xdr:clientData/>
  </xdr:twoCellAnchor>
  <xdr:twoCellAnchor>
    <xdr:from>
      <xdr:col>7</xdr:col>
      <xdr:colOff>5129</xdr:colOff>
      <xdr:row>18</xdr:row>
      <xdr:rowOff>47625</xdr:rowOff>
    </xdr:from>
    <xdr:to>
      <xdr:col>7</xdr:col>
      <xdr:colOff>342900</xdr:colOff>
      <xdr:row>31</xdr:row>
      <xdr:rowOff>186836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1C00-000036000000}"/>
            </a:ext>
          </a:extLst>
        </xdr:cNvPr>
        <xdr:cNvSpPr/>
      </xdr:nvSpPr>
      <xdr:spPr>
        <a:xfrm>
          <a:off x="2890520" y="3524250"/>
          <a:ext cx="337820" cy="2615565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20515</xdr:colOff>
      <xdr:row>18</xdr:row>
      <xdr:rowOff>47625</xdr:rowOff>
    </xdr:from>
    <xdr:to>
      <xdr:col>10</xdr:col>
      <xdr:colOff>13189</xdr:colOff>
      <xdr:row>32</xdr:row>
      <xdr:rowOff>13188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1C00-000037000000}"/>
            </a:ext>
          </a:extLst>
        </xdr:cNvPr>
        <xdr:cNvSpPr/>
      </xdr:nvSpPr>
      <xdr:spPr>
        <a:xfrm>
          <a:off x="3610610" y="3524250"/>
          <a:ext cx="335280" cy="2632075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9525</xdr:colOff>
      <xdr:row>18</xdr:row>
      <xdr:rowOff>47625</xdr:rowOff>
    </xdr:from>
    <xdr:to>
      <xdr:col>8</xdr:col>
      <xdr:colOff>346563</xdr:colOff>
      <xdr:row>32</xdr:row>
      <xdr:rowOff>5861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1C00-000038000000}"/>
            </a:ext>
          </a:extLst>
        </xdr:cNvPr>
        <xdr:cNvSpPr/>
      </xdr:nvSpPr>
      <xdr:spPr>
        <a:xfrm>
          <a:off x="3247390" y="3524250"/>
          <a:ext cx="336550" cy="2625090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30040</xdr:colOff>
      <xdr:row>18</xdr:row>
      <xdr:rowOff>47626</xdr:rowOff>
    </xdr:from>
    <xdr:to>
      <xdr:col>10</xdr:col>
      <xdr:colOff>382465</xdr:colOff>
      <xdr:row>32</xdr:row>
      <xdr:rowOff>5862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1C00-000039000000}"/>
            </a:ext>
          </a:extLst>
        </xdr:cNvPr>
        <xdr:cNvSpPr/>
      </xdr:nvSpPr>
      <xdr:spPr>
        <a:xfrm>
          <a:off x="3963035" y="3524250"/>
          <a:ext cx="313055" cy="2625090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0</xdr:colOff>
      <xdr:row>16</xdr:row>
      <xdr:rowOff>47625</xdr:rowOff>
    </xdr:from>
    <xdr:to>
      <xdr:col>12</xdr:col>
      <xdr:colOff>0</xdr:colOff>
      <xdr:row>32</xdr:row>
      <xdr:rowOff>5860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1C00-00003A000000}"/>
            </a:ext>
          </a:extLst>
        </xdr:cNvPr>
        <xdr:cNvSpPr/>
      </xdr:nvSpPr>
      <xdr:spPr>
        <a:xfrm>
          <a:off x="4276090" y="3143250"/>
          <a:ext cx="390525" cy="3006090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13</xdr:row>
      <xdr:rowOff>57150</xdr:rowOff>
    </xdr:from>
    <xdr:to>
      <xdr:col>13</xdr:col>
      <xdr:colOff>0</xdr:colOff>
      <xdr:row>32</xdr:row>
      <xdr:rowOff>5861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1C00-00003B000000}"/>
            </a:ext>
          </a:extLst>
        </xdr:cNvPr>
        <xdr:cNvSpPr/>
      </xdr:nvSpPr>
      <xdr:spPr>
        <a:xfrm>
          <a:off x="4666615" y="2581275"/>
          <a:ext cx="352425" cy="3568065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0</xdr:colOff>
      <xdr:row>32</xdr:row>
      <xdr:rowOff>5862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1C00-00003C000000}"/>
            </a:ext>
          </a:extLst>
        </xdr:cNvPr>
        <xdr:cNvSpPr/>
      </xdr:nvSpPr>
      <xdr:spPr>
        <a:xfrm>
          <a:off x="5019040" y="2333625"/>
          <a:ext cx="352425" cy="3815715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15</xdr:col>
      <xdr:colOff>0</xdr:colOff>
      <xdr:row>32</xdr:row>
      <xdr:rowOff>5862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1C00-00003D000000}"/>
            </a:ext>
          </a:extLst>
        </xdr:cNvPr>
        <xdr:cNvSpPr/>
      </xdr:nvSpPr>
      <xdr:spPr>
        <a:xfrm>
          <a:off x="5371465" y="2333625"/>
          <a:ext cx="352425" cy="3815715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323850</xdr:colOff>
      <xdr:row>11</xdr:row>
      <xdr:rowOff>95250</xdr:rowOff>
    </xdr:from>
    <xdr:to>
      <xdr:col>2</xdr:col>
      <xdr:colOff>342900</xdr:colOff>
      <xdr:row>32</xdr:row>
      <xdr:rowOff>38102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1C00-00003E000000}"/>
            </a:ext>
          </a:extLst>
        </xdr:cNvPr>
        <xdr:cNvCxnSpPr/>
      </xdr:nvCxnSpPr>
      <xdr:spPr>
        <a:xfrm flipH="1" flipV="1">
          <a:off x="1447165" y="2238375"/>
          <a:ext cx="19050" cy="3943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30</xdr:row>
      <xdr:rowOff>161925</xdr:rowOff>
    </xdr:from>
    <xdr:to>
      <xdr:col>3</xdr:col>
      <xdr:colOff>348761</xdr:colOff>
      <xdr:row>32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1C00-00005E000000}"/>
            </a:ext>
          </a:extLst>
        </xdr:cNvPr>
        <xdr:cNvSpPr/>
      </xdr:nvSpPr>
      <xdr:spPr>
        <a:xfrm>
          <a:off x="1494790" y="5924550"/>
          <a:ext cx="329565" cy="219075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endParaRPr lang="en-US" sz="800">
            <a:solidFill>
              <a:sysClr val="windowText" lastClr="000000"/>
            </a:solidFill>
            <a:latin typeface="Bodoni MT Condensed" panose="02070606080606020203" pitchFamily="18" charset="0"/>
          </a:endParaRPr>
        </a:p>
      </xdr:txBody>
    </xdr:sp>
    <xdr:clientData/>
  </xdr:twoCellAnchor>
  <xdr:twoCellAnchor>
    <xdr:from>
      <xdr:col>4</xdr:col>
      <xdr:colOff>9525</xdr:colOff>
      <xdr:row>26</xdr:row>
      <xdr:rowOff>57150</xdr:rowOff>
    </xdr:from>
    <xdr:to>
      <xdr:col>4</xdr:col>
      <xdr:colOff>333375</xdr:colOff>
      <xdr:row>26</xdr:row>
      <xdr:rowOff>57150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1C00-00005F000000}"/>
            </a:ext>
          </a:extLst>
        </xdr:cNvPr>
        <xdr:cNvCxnSpPr/>
      </xdr:nvCxnSpPr>
      <xdr:spPr>
        <a:xfrm>
          <a:off x="1837690" y="5057775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20516</xdr:colOff>
      <xdr:row>24</xdr:row>
      <xdr:rowOff>38100</xdr:rowOff>
    </xdr:from>
    <xdr:to>
      <xdr:col>5</xdr:col>
      <xdr:colOff>344366</xdr:colOff>
      <xdr:row>24</xdr:row>
      <xdr:rowOff>38100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1C00-000060000000}"/>
            </a:ext>
          </a:extLst>
        </xdr:cNvPr>
        <xdr:cNvCxnSpPr/>
      </xdr:nvCxnSpPr>
      <xdr:spPr>
        <a:xfrm>
          <a:off x="2200910" y="4657725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19</xdr:row>
      <xdr:rowOff>9525</xdr:rowOff>
    </xdr:from>
    <xdr:to>
      <xdr:col>7</xdr:col>
      <xdr:colOff>0</xdr:colOff>
      <xdr:row>19</xdr:row>
      <xdr:rowOff>9525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1C00-000061000000}"/>
            </a:ext>
          </a:extLst>
        </xdr:cNvPr>
        <xdr:cNvCxnSpPr/>
      </xdr:nvCxnSpPr>
      <xdr:spPr>
        <a:xfrm>
          <a:off x="2561590" y="3676650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17</xdr:row>
      <xdr:rowOff>142875</xdr:rowOff>
    </xdr:from>
    <xdr:to>
      <xdr:col>7</xdr:col>
      <xdr:colOff>342900</xdr:colOff>
      <xdr:row>17</xdr:row>
      <xdr:rowOff>142875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1C00-000062000000}"/>
            </a:ext>
          </a:extLst>
        </xdr:cNvPr>
        <xdr:cNvCxnSpPr/>
      </xdr:nvCxnSpPr>
      <xdr:spPr>
        <a:xfrm>
          <a:off x="2904490" y="3429000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323850</xdr:colOff>
      <xdr:row>17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1C00-000063000000}"/>
            </a:ext>
          </a:extLst>
        </xdr:cNvPr>
        <xdr:cNvCxnSpPr/>
      </xdr:nvCxnSpPr>
      <xdr:spPr>
        <a:xfrm>
          <a:off x="3237865" y="3286125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133350</xdr:rowOff>
    </xdr:from>
    <xdr:to>
      <xdr:col>9</xdr:col>
      <xdr:colOff>333375</xdr:colOff>
      <xdr:row>16</xdr:row>
      <xdr:rowOff>133350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1C00-000064000000}"/>
            </a:ext>
          </a:extLst>
        </xdr:cNvPr>
        <xdr:cNvCxnSpPr/>
      </xdr:nvCxnSpPr>
      <xdr:spPr>
        <a:xfrm>
          <a:off x="3599815" y="3228975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16</xdr:row>
      <xdr:rowOff>66675</xdr:rowOff>
    </xdr:from>
    <xdr:to>
      <xdr:col>10</xdr:col>
      <xdr:colOff>333375</xdr:colOff>
      <xdr:row>16</xdr:row>
      <xdr:rowOff>66675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1C00-000065000000}"/>
            </a:ext>
          </a:extLst>
        </xdr:cNvPr>
        <xdr:cNvCxnSpPr/>
      </xdr:nvCxnSpPr>
      <xdr:spPr>
        <a:xfrm>
          <a:off x="3952240" y="3162300"/>
          <a:ext cx="314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15</xdr:row>
      <xdr:rowOff>142875</xdr:rowOff>
    </xdr:from>
    <xdr:to>
      <xdr:col>11</xdr:col>
      <xdr:colOff>361950</xdr:colOff>
      <xdr:row>15</xdr:row>
      <xdr:rowOff>142875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1C00-000066000000}"/>
            </a:ext>
          </a:extLst>
        </xdr:cNvPr>
        <xdr:cNvCxnSpPr/>
      </xdr:nvCxnSpPr>
      <xdr:spPr>
        <a:xfrm>
          <a:off x="4314190" y="3048000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24</xdr:row>
      <xdr:rowOff>38100</xdr:rowOff>
    </xdr:from>
    <xdr:to>
      <xdr:col>5</xdr:col>
      <xdr:colOff>161925</xdr:colOff>
      <xdr:row>26</xdr:row>
      <xdr:rowOff>66676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1C00-000067000000}"/>
            </a:ext>
          </a:extLst>
        </xdr:cNvPr>
        <xdr:cNvCxnSpPr/>
      </xdr:nvCxnSpPr>
      <xdr:spPr>
        <a:xfrm flipV="1">
          <a:off x="1999615" y="4657725"/>
          <a:ext cx="342900" cy="409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19</xdr:row>
      <xdr:rowOff>9525</xdr:rowOff>
    </xdr:from>
    <xdr:to>
      <xdr:col>6</xdr:col>
      <xdr:colOff>209550</xdr:colOff>
      <xdr:row>24</xdr:row>
      <xdr:rowOff>76202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1C00-000068000000}"/>
            </a:ext>
          </a:extLst>
        </xdr:cNvPr>
        <xdr:cNvCxnSpPr/>
      </xdr:nvCxnSpPr>
      <xdr:spPr>
        <a:xfrm flipV="1">
          <a:off x="2342515" y="3676650"/>
          <a:ext cx="400050" cy="1019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17</xdr:row>
      <xdr:rowOff>152400</xdr:rowOff>
    </xdr:from>
    <xdr:to>
      <xdr:col>7</xdr:col>
      <xdr:colOff>209550</xdr:colOff>
      <xdr:row>19</xdr:row>
      <xdr:rowOff>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1C00-000069000000}"/>
            </a:ext>
          </a:extLst>
        </xdr:cNvPr>
        <xdr:cNvCxnSpPr/>
      </xdr:nvCxnSpPr>
      <xdr:spPr>
        <a:xfrm flipV="1">
          <a:off x="2780665" y="3438525"/>
          <a:ext cx="314325" cy="228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Technic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CCAF0A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00C8C3"/>
      </a:hlink>
      <a:folHlink>
        <a:srgbClr val="A116E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opLeftCell="A19" zoomScale="70" zoomScaleNormal="70" workbookViewId="0">
      <selection activeCell="B34" sqref="B34"/>
    </sheetView>
  </sheetViews>
  <sheetFormatPr defaultColWidth="9.140625" defaultRowHeight="15.75"/>
  <cols>
    <col min="1" max="1" width="15" style="93" customWidth="1"/>
    <col min="2" max="2" width="7.140625" style="93" customWidth="1"/>
    <col min="3" max="3" width="4.7109375" style="93" customWidth="1"/>
    <col min="4" max="4" width="12.140625" style="93" customWidth="1"/>
    <col min="5" max="5" width="2.5703125" style="93" customWidth="1"/>
    <col min="6" max="6" width="1.85546875" style="93" customWidth="1"/>
    <col min="7" max="9" width="9.140625" style="93"/>
    <col min="10" max="10" width="15.42578125" style="93" customWidth="1"/>
    <col min="11" max="16384" width="9.140625" style="93"/>
  </cols>
  <sheetData>
    <row r="1" spans="1:10" ht="2.25" customHeight="1">
      <c r="J1" s="349"/>
    </row>
    <row r="2" spans="1:10" ht="15" customHeight="1">
      <c r="J2" s="350"/>
    </row>
    <row r="3" spans="1:10" ht="15.75" customHeight="1">
      <c r="A3" s="344"/>
      <c r="B3" s="563"/>
      <c r="C3" s="563"/>
      <c r="D3" s="563"/>
      <c r="E3" s="563"/>
      <c r="F3" s="563"/>
      <c r="G3" s="563"/>
      <c r="H3" s="563"/>
      <c r="I3" s="563"/>
      <c r="J3" s="351"/>
    </row>
    <row r="4" spans="1:10">
      <c r="A4" s="345"/>
      <c r="B4" s="992"/>
      <c r="C4" s="992"/>
      <c r="D4" s="992"/>
      <c r="E4" s="992"/>
      <c r="F4" s="992"/>
      <c r="G4" s="992"/>
      <c r="H4" s="992"/>
      <c r="I4" s="992"/>
      <c r="J4" s="352"/>
    </row>
    <row r="5" spans="1:10" ht="22.5">
      <c r="A5" s="564" t="s">
        <v>0</v>
      </c>
      <c r="B5" s="993"/>
      <c r="C5" s="993"/>
      <c r="D5" s="993"/>
      <c r="E5" s="993"/>
      <c r="F5" s="993"/>
      <c r="G5" s="993"/>
      <c r="H5" s="993"/>
      <c r="I5" s="993"/>
      <c r="J5" s="565"/>
    </row>
    <row r="6" spans="1:10" ht="27">
      <c r="A6" s="566" t="s">
        <v>1</v>
      </c>
      <c r="B6" s="994"/>
      <c r="C6" s="994"/>
      <c r="D6" s="994"/>
      <c r="E6" s="994"/>
      <c r="F6" s="994"/>
      <c r="G6" s="994"/>
      <c r="H6" s="994"/>
      <c r="I6" s="994"/>
      <c r="J6" s="567"/>
    </row>
    <row r="7" spans="1:10" ht="34.5">
      <c r="A7" s="568" t="s">
        <v>2</v>
      </c>
      <c r="B7" s="995"/>
      <c r="C7" s="995"/>
      <c r="D7" s="995"/>
      <c r="E7" s="995"/>
      <c r="F7" s="995"/>
      <c r="G7" s="995"/>
      <c r="H7" s="995"/>
      <c r="I7" s="995"/>
      <c r="J7" s="569"/>
    </row>
    <row r="8" spans="1:10">
      <c r="A8" s="345"/>
      <c r="B8" s="992"/>
      <c r="C8" s="992"/>
      <c r="D8" s="992"/>
      <c r="E8" s="992"/>
      <c r="F8" s="992"/>
      <c r="G8" s="992"/>
      <c r="H8" s="992"/>
      <c r="I8" s="992"/>
      <c r="J8" s="352"/>
    </row>
    <row r="9" spans="1:10">
      <c r="A9" s="345"/>
      <c r="B9" s="992"/>
      <c r="C9" s="992"/>
      <c r="D9" s="996"/>
      <c r="E9" s="992"/>
      <c r="F9" s="992"/>
      <c r="G9" s="992"/>
      <c r="H9" s="992"/>
      <c r="I9" s="992"/>
      <c r="J9" s="352"/>
    </row>
    <row r="10" spans="1:10">
      <c r="A10" s="345"/>
      <c r="B10" s="992"/>
      <c r="C10" s="992"/>
      <c r="D10" s="996"/>
      <c r="E10" s="992"/>
      <c r="F10" s="992"/>
      <c r="G10" s="992"/>
      <c r="H10" s="992"/>
      <c r="I10" s="992"/>
      <c r="J10" s="352"/>
    </row>
    <row r="11" spans="1:10">
      <c r="A11" s="345"/>
      <c r="B11" s="992"/>
      <c r="C11" s="992"/>
      <c r="D11" s="996"/>
      <c r="E11" s="992"/>
      <c r="F11" s="992"/>
      <c r="G11" s="992"/>
      <c r="H11" s="992"/>
      <c r="I11" s="992"/>
      <c r="J11" s="352"/>
    </row>
    <row r="12" spans="1:10">
      <c r="A12" s="345"/>
      <c r="B12" s="992"/>
      <c r="C12" s="992"/>
      <c r="D12" s="996"/>
      <c r="E12" s="992"/>
      <c r="F12" s="992"/>
      <c r="G12" s="992"/>
      <c r="H12" s="992"/>
      <c r="I12" s="992"/>
      <c r="J12" s="352"/>
    </row>
    <row r="13" spans="1:10">
      <c r="A13" s="345"/>
      <c r="B13" s="992"/>
      <c r="C13" s="992"/>
      <c r="D13" s="996"/>
      <c r="E13" s="992"/>
      <c r="F13" s="992"/>
      <c r="G13" s="992"/>
      <c r="H13" s="992"/>
      <c r="I13" s="992"/>
      <c r="J13" s="352"/>
    </row>
    <row r="14" spans="1:10">
      <c r="A14" s="345"/>
      <c r="B14" s="992"/>
      <c r="C14" s="992"/>
      <c r="D14" s="996"/>
      <c r="E14" s="992"/>
      <c r="F14" s="992"/>
      <c r="G14" s="992"/>
      <c r="H14" s="992"/>
      <c r="I14" s="992"/>
      <c r="J14" s="352"/>
    </row>
    <row r="15" spans="1:10">
      <c r="A15" s="345"/>
      <c r="B15" s="992"/>
      <c r="C15" s="992"/>
      <c r="D15" s="996"/>
      <c r="E15" s="992"/>
      <c r="F15" s="992"/>
      <c r="G15" s="992"/>
      <c r="H15" s="992"/>
      <c r="I15" s="992"/>
      <c r="J15" s="352"/>
    </row>
    <row r="16" spans="1:10">
      <c r="A16" s="345"/>
      <c r="B16" s="992"/>
      <c r="C16" s="992"/>
      <c r="D16" s="992"/>
      <c r="E16" s="992"/>
      <c r="F16" s="992"/>
      <c r="G16" s="992"/>
      <c r="H16" s="992"/>
      <c r="I16" s="992"/>
      <c r="J16" s="352"/>
    </row>
    <row r="17" spans="1:14">
      <c r="A17" s="345"/>
      <c r="B17" s="992"/>
      <c r="C17" s="992"/>
      <c r="D17" s="992"/>
      <c r="E17" s="992"/>
      <c r="F17" s="992"/>
      <c r="G17" s="992"/>
      <c r="H17" s="992"/>
      <c r="I17" s="992"/>
      <c r="J17" s="352"/>
    </row>
    <row r="18" spans="1:14">
      <c r="A18" s="345"/>
      <c r="B18" s="992"/>
      <c r="C18" s="992"/>
      <c r="D18" s="992"/>
      <c r="E18" s="992"/>
      <c r="F18" s="992"/>
      <c r="G18" s="992"/>
      <c r="H18" s="992"/>
      <c r="I18" s="992"/>
      <c r="J18" s="352"/>
    </row>
    <row r="19" spans="1:14">
      <c r="A19" s="345"/>
      <c r="B19" s="992"/>
      <c r="C19" s="992"/>
      <c r="D19" s="992"/>
      <c r="E19" s="992"/>
      <c r="F19" s="992"/>
      <c r="G19" s="992"/>
      <c r="H19" s="992"/>
      <c r="I19" s="992"/>
      <c r="J19" s="352"/>
    </row>
    <row r="20" spans="1:14">
      <c r="A20" s="345"/>
      <c r="B20" s="992"/>
      <c r="C20" s="992"/>
      <c r="D20" s="992"/>
      <c r="E20" s="992"/>
      <c r="F20" s="992"/>
      <c r="G20" s="992"/>
      <c r="H20" s="992"/>
      <c r="I20" s="992"/>
      <c r="J20" s="352"/>
    </row>
    <row r="21" spans="1:14">
      <c r="A21" s="345"/>
      <c r="B21" s="992"/>
      <c r="C21" s="992"/>
      <c r="D21" s="992"/>
      <c r="E21" s="992"/>
      <c r="F21" s="992"/>
      <c r="G21" s="992"/>
      <c r="H21" s="992"/>
      <c r="I21" s="992"/>
      <c r="J21" s="352"/>
    </row>
    <row r="22" spans="1:14">
      <c r="A22" s="345"/>
      <c r="B22" s="992"/>
      <c r="C22" s="992"/>
      <c r="D22" s="992"/>
      <c r="E22" s="992"/>
      <c r="F22" s="992"/>
      <c r="G22" s="992"/>
      <c r="H22" s="992"/>
      <c r="I22" s="992"/>
      <c r="J22" s="352"/>
    </row>
    <row r="23" spans="1:14">
      <c r="A23" s="345"/>
      <c r="B23" s="992"/>
      <c r="C23" s="992"/>
      <c r="D23" s="992"/>
      <c r="E23" s="992"/>
      <c r="F23" s="992"/>
      <c r="G23" s="992"/>
      <c r="H23" s="992"/>
      <c r="I23" s="992"/>
      <c r="J23" s="352"/>
    </row>
    <row r="24" spans="1:14" ht="18.75">
      <c r="A24" s="570"/>
      <c r="B24" s="997"/>
      <c r="C24" s="997"/>
      <c r="D24" s="997"/>
      <c r="E24" s="997"/>
      <c r="F24" s="997"/>
      <c r="G24" s="997"/>
      <c r="H24" s="997"/>
      <c r="I24" s="997"/>
      <c r="J24" s="572"/>
    </row>
    <row r="25" spans="1:14" ht="18.75">
      <c r="A25" s="346"/>
      <c r="B25" s="355"/>
      <c r="C25" s="355"/>
      <c r="D25" s="355"/>
      <c r="E25" s="355"/>
      <c r="F25" s="355"/>
      <c r="G25" s="355"/>
      <c r="H25" s="355"/>
      <c r="I25" s="355"/>
      <c r="J25" s="353"/>
    </row>
    <row r="26" spans="1:14" ht="18.75">
      <c r="A26" s="346"/>
      <c r="B26" s="998" t="s">
        <v>3</v>
      </c>
      <c r="C26" s="992"/>
      <c r="D26" s="999"/>
      <c r="E26" s="1000" t="s">
        <v>995</v>
      </c>
      <c r="F26" s="355"/>
      <c r="G26" s="354"/>
      <c r="H26" s="354"/>
      <c r="I26" s="355"/>
      <c r="J26" s="353"/>
    </row>
    <row r="27" spans="1:14" ht="18.75">
      <c r="A27" s="346"/>
      <c r="B27" s="998" t="s">
        <v>4</v>
      </c>
      <c r="C27" s="992"/>
      <c r="D27" s="999"/>
      <c r="E27" s="1000" t="s">
        <v>845</v>
      </c>
      <c r="F27" s="1001"/>
      <c r="G27" s="355"/>
      <c r="H27" s="355"/>
      <c r="I27" s="355"/>
      <c r="J27" s="353"/>
    </row>
    <row r="28" spans="1:14" ht="18.75">
      <c r="A28" s="346"/>
      <c r="B28" s="998" t="s">
        <v>5</v>
      </c>
      <c r="C28" s="992"/>
      <c r="D28" s="998"/>
      <c r="E28" s="1000" t="s">
        <v>982</v>
      </c>
      <c r="F28" s="355"/>
      <c r="G28" s="355"/>
      <c r="H28" s="355"/>
      <c r="I28" s="992"/>
      <c r="J28" s="352"/>
      <c r="K28" s="345"/>
    </row>
    <row r="29" spans="1:14" ht="18.75">
      <c r="A29" s="346"/>
      <c r="B29" s="998" t="s">
        <v>6</v>
      </c>
      <c r="C29" s="992"/>
      <c r="D29" s="999"/>
      <c r="E29" s="961" t="s">
        <v>189</v>
      </c>
      <c r="F29" s="1001"/>
      <c r="G29" s="355"/>
      <c r="H29" s="992"/>
      <c r="I29" s="992"/>
      <c r="J29" s="352"/>
      <c r="K29" s="345"/>
    </row>
    <row r="30" spans="1:14" ht="18.75">
      <c r="A30" s="346"/>
      <c r="B30" s="998" t="s">
        <v>7</v>
      </c>
      <c r="C30" s="992"/>
      <c r="D30" s="999"/>
      <c r="E30" s="1000" t="s">
        <v>983</v>
      </c>
      <c r="F30" s="355"/>
      <c r="G30" s="355"/>
      <c r="H30" s="355"/>
      <c r="I30" s="354"/>
      <c r="J30" s="1002"/>
      <c r="K30" s="345"/>
      <c r="L30" s="7"/>
      <c r="M30" s="54"/>
      <c r="N30" s="7"/>
    </row>
    <row r="31" spans="1:14" ht="18.75">
      <c r="A31" s="346"/>
      <c r="B31" s="998" t="s">
        <v>8</v>
      </c>
      <c r="C31" s="992"/>
      <c r="D31" s="999"/>
      <c r="E31" s="998" t="s">
        <v>9</v>
      </c>
      <c r="F31" s="992"/>
      <c r="G31" s="992"/>
      <c r="H31" s="992"/>
      <c r="I31" s="355"/>
      <c r="J31" s="353"/>
      <c r="K31" s="345"/>
      <c r="L31" s="7"/>
      <c r="M31" s="54"/>
      <c r="N31" s="7"/>
    </row>
    <row r="32" spans="1:14" ht="18.75">
      <c r="A32" s="346"/>
      <c r="B32" s="998" t="s">
        <v>10</v>
      </c>
      <c r="C32" s="992"/>
      <c r="D32" s="999"/>
      <c r="E32" s="998" t="s">
        <v>11</v>
      </c>
      <c r="F32" s="992"/>
      <c r="G32" s="992"/>
      <c r="H32" s="992"/>
      <c r="I32" s="355"/>
      <c r="J32" s="353"/>
      <c r="K32" s="345"/>
      <c r="L32" s="7"/>
      <c r="M32" s="7"/>
      <c r="N32" s="7"/>
    </row>
    <row r="33" spans="1:17" ht="18.75">
      <c r="A33" s="346"/>
      <c r="B33" s="992"/>
      <c r="C33" s="992"/>
      <c r="D33" s="992"/>
      <c r="E33" s="992"/>
      <c r="F33" s="992"/>
      <c r="G33" s="992"/>
      <c r="H33" s="992"/>
      <c r="I33" s="992"/>
      <c r="J33" s="353"/>
      <c r="K33" s="345"/>
      <c r="L33" s="7"/>
      <c r="M33" s="54"/>
      <c r="N33" s="6"/>
    </row>
    <row r="34" spans="1:17" ht="18.75">
      <c r="A34" s="346"/>
      <c r="B34" s="1003" t="s">
        <v>12</v>
      </c>
      <c r="C34" s="992"/>
      <c r="D34" s="992"/>
      <c r="E34" s="992" t="s">
        <v>13</v>
      </c>
      <c r="F34" s="1004" t="s">
        <v>984</v>
      </c>
      <c r="G34" s="355"/>
      <c r="H34" s="355"/>
      <c r="I34" s="355"/>
      <c r="J34" s="353"/>
      <c r="K34" s="345"/>
      <c r="L34" s="7"/>
      <c r="M34" s="54"/>
      <c r="N34" s="7"/>
      <c r="Q34" s="52"/>
    </row>
    <row r="35" spans="1:17" ht="18.75">
      <c r="A35" s="346"/>
      <c r="B35" s="1003" t="s">
        <v>14</v>
      </c>
      <c r="C35" s="992"/>
      <c r="D35" s="1005"/>
      <c r="E35" s="992" t="s">
        <v>13</v>
      </c>
      <c r="F35" s="1006" t="s">
        <v>985</v>
      </c>
      <c r="G35" s="405"/>
      <c r="H35" s="405"/>
      <c r="I35" s="405"/>
      <c r="J35" s="1007"/>
      <c r="K35" s="345"/>
      <c r="L35" s="7"/>
      <c r="M35" s="54"/>
      <c r="N35" s="7"/>
    </row>
    <row r="36" spans="1:17" ht="18.75">
      <c r="A36" s="346"/>
      <c r="B36" s="992"/>
      <c r="C36" s="1005"/>
      <c r="D36" s="1005"/>
      <c r="E36" s="992"/>
      <c r="F36" s="992"/>
      <c r="G36" s="992"/>
      <c r="H36" s="992"/>
      <c r="I36" s="992"/>
      <c r="J36" s="352"/>
      <c r="K36" s="345"/>
      <c r="L36" s="7"/>
      <c r="M36" s="54"/>
      <c r="N36" s="7"/>
    </row>
    <row r="37" spans="1:17" ht="18.75">
      <c r="A37" s="346"/>
      <c r="B37" s="355"/>
      <c r="C37" s="355"/>
      <c r="D37" s="355"/>
      <c r="E37" s="355"/>
      <c r="F37" s="355"/>
      <c r="G37" s="355"/>
      <c r="H37" s="355"/>
      <c r="I37" s="355"/>
      <c r="J37" s="353"/>
      <c r="K37" s="345"/>
    </row>
    <row r="38" spans="1:17" ht="25.5">
      <c r="A38" s="558" t="s">
        <v>15</v>
      </c>
      <c r="B38" s="559"/>
      <c r="C38" s="559"/>
      <c r="D38" s="559"/>
      <c r="E38" s="559"/>
      <c r="F38" s="559"/>
      <c r="G38" s="559"/>
      <c r="H38" s="559"/>
      <c r="I38" s="559"/>
      <c r="J38" s="1008"/>
      <c r="K38" s="345"/>
    </row>
    <row r="39" spans="1:17" ht="18.75">
      <c r="A39" s="560" t="s">
        <v>16</v>
      </c>
      <c r="B39" s="1009"/>
      <c r="C39" s="1009"/>
      <c r="D39" s="1009"/>
      <c r="E39" s="1009"/>
      <c r="F39" s="1009"/>
      <c r="G39" s="1009"/>
      <c r="H39" s="1009"/>
      <c r="I39" s="1009"/>
      <c r="J39" s="562"/>
    </row>
    <row r="40" spans="1:17" ht="18.75">
      <c r="A40" s="560" t="s">
        <v>17</v>
      </c>
      <c r="B40" s="1009"/>
      <c r="C40" s="1009"/>
      <c r="D40" s="1009"/>
      <c r="E40" s="1009"/>
      <c r="F40" s="1009"/>
      <c r="G40" s="1009"/>
      <c r="H40" s="1009"/>
      <c r="I40" s="1009"/>
      <c r="J40" s="562"/>
    </row>
    <row r="41" spans="1:17">
      <c r="A41" s="345"/>
      <c r="B41" s="992"/>
      <c r="C41" s="992"/>
      <c r="D41" s="992"/>
      <c r="E41" s="992"/>
      <c r="F41" s="992"/>
      <c r="G41" s="992"/>
      <c r="H41" s="992"/>
      <c r="I41" s="992"/>
      <c r="J41" s="352"/>
    </row>
    <row r="42" spans="1:17" ht="56.25" customHeight="1">
      <c r="A42" s="347"/>
      <c r="B42" s="348"/>
      <c r="C42" s="348"/>
      <c r="D42" s="348"/>
      <c r="E42" s="348"/>
      <c r="F42" s="348"/>
      <c r="G42" s="348"/>
      <c r="H42" s="348"/>
      <c r="I42" s="348"/>
      <c r="J42" s="356"/>
    </row>
  </sheetData>
  <mergeCells count="8">
    <mergeCell ref="A38:J38"/>
    <mergeCell ref="A39:J39"/>
    <mergeCell ref="A40:J40"/>
    <mergeCell ref="B3:I3"/>
    <mergeCell ref="A5:J5"/>
    <mergeCell ref="A6:J6"/>
    <mergeCell ref="A7:J7"/>
    <mergeCell ref="A24:J24"/>
  </mergeCells>
  <printOptions horizontalCentered="1" verticalCentered="1"/>
  <pageMargins left="0.82677165354330717" right="0.39370078740157483" top="0.47244094488188981" bottom="1.5748031496062993" header="0.31496062992125984" footer="0.31496062992125984"/>
  <pageSetup paperSize="512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opLeftCell="A16" zoomScale="85" zoomScaleNormal="85" workbookViewId="0">
      <selection activeCell="I10" sqref="I10"/>
    </sheetView>
  </sheetViews>
  <sheetFormatPr defaultColWidth="9.140625" defaultRowHeight="18"/>
  <cols>
    <col min="1" max="1" width="4.42578125" style="328" customWidth="1"/>
    <col min="2" max="2" width="26.42578125" style="328" customWidth="1"/>
    <col min="3" max="3" width="6" style="328" customWidth="1"/>
    <col min="4" max="4" width="6.28515625" style="328" customWidth="1"/>
    <col min="5" max="5" width="26.140625" style="328" customWidth="1"/>
    <col min="6" max="6" width="10.85546875" style="328" hidden="1" customWidth="1"/>
    <col min="7" max="7" width="13.140625" style="328" customWidth="1"/>
    <col min="8" max="16384" width="9.140625" style="328"/>
  </cols>
  <sheetData>
    <row r="1" spans="1:8" ht="25.5">
      <c r="A1" s="573" t="s">
        <v>18</v>
      </c>
      <c r="B1" s="573"/>
      <c r="C1" s="573"/>
      <c r="D1" s="573"/>
      <c r="E1" s="573"/>
      <c r="F1" s="573"/>
      <c r="G1" s="573"/>
    </row>
    <row r="2" spans="1:8" ht="25.5">
      <c r="A2" s="573" t="s">
        <v>15</v>
      </c>
      <c r="B2" s="573"/>
      <c r="C2" s="573"/>
      <c r="D2" s="573"/>
      <c r="E2" s="573"/>
      <c r="F2" s="573"/>
      <c r="G2" s="573"/>
    </row>
    <row r="3" spans="1:8" ht="20.25">
      <c r="A3" s="574" t="s">
        <v>19</v>
      </c>
      <c r="B3" s="574"/>
      <c r="C3" s="574"/>
      <c r="D3" s="574"/>
      <c r="E3" s="574"/>
      <c r="F3" s="574"/>
      <c r="G3" s="574"/>
    </row>
    <row r="4" spans="1:8" ht="57.75" customHeight="1">
      <c r="A4" s="329"/>
      <c r="B4" s="575" t="s">
        <v>20</v>
      </c>
      <c r="C4" s="575"/>
      <c r="D4" s="575"/>
      <c r="E4" s="575"/>
      <c r="F4" s="575"/>
      <c r="G4" s="575"/>
    </row>
    <row r="5" spans="1:8" ht="20.25">
      <c r="A5" s="574" t="s">
        <v>21</v>
      </c>
      <c r="B5" s="574"/>
      <c r="C5" s="574"/>
      <c r="D5" s="574"/>
      <c r="E5" s="574"/>
      <c r="F5" s="574"/>
      <c r="G5" s="574"/>
    </row>
    <row r="6" spans="1:8" ht="37.5" customHeight="1">
      <c r="A6" s="330">
        <v>1</v>
      </c>
      <c r="B6" s="576" t="s">
        <v>22</v>
      </c>
      <c r="C6" s="576"/>
      <c r="D6" s="576"/>
      <c r="E6" s="576"/>
      <c r="F6" s="576"/>
      <c r="G6" s="576"/>
    </row>
    <row r="7" spans="1:8" ht="42" customHeight="1">
      <c r="A7" s="330">
        <v>2</v>
      </c>
      <c r="B7" s="576" t="s">
        <v>23</v>
      </c>
      <c r="C7" s="576"/>
      <c r="D7" s="576"/>
      <c r="E7" s="576"/>
      <c r="F7" s="576"/>
      <c r="G7" s="576"/>
      <c r="H7" s="331"/>
    </row>
    <row r="8" spans="1:8" ht="43.5" customHeight="1">
      <c r="A8" s="330">
        <v>3</v>
      </c>
      <c r="B8" s="576" t="s">
        <v>24</v>
      </c>
      <c r="C8" s="576"/>
      <c r="D8" s="576"/>
      <c r="E8" s="576"/>
      <c r="F8" s="576"/>
      <c r="G8" s="576"/>
      <c r="H8" s="331"/>
    </row>
    <row r="9" spans="1:8" ht="39.75" customHeight="1">
      <c r="A9" s="330">
        <v>4</v>
      </c>
      <c r="B9" s="576" t="s">
        <v>25</v>
      </c>
      <c r="C9" s="576"/>
      <c r="D9" s="576"/>
      <c r="E9" s="576"/>
      <c r="F9" s="576"/>
      <c r="G9" s="576"/>
      <c r="H9" s="331"/>
    </row>
    <row r="10" spans="1:8" ht="39" customHeight="1">
      <c r="A10" s="330">
        <v>5</v>
      </c>
      <c r="B10" s="576" t="s">
        <v>26</v>
      </c>
      <c r="C10" s="576"/>
      <c r="D10" s="576"/>
      <c r="E10" s="576"/>
      <c r="F10" s="576"/>
      <c r="G10" s="576"/>
    </row>
    <row r="11" spans="1:8" ht="30" customHeight="1">
      <c r="A11" s="332"/>
      <c r="B11" s="332"/>
      <c r="C11" s="332"/>
      <c r="D11" s="332"/>
      <c r="E11" s="332"/>
      <c r="F11" s="332"/>
      <c r="G11" s="332"/>
    </row>
    <row r="12" spans="1:8" ht="20.25">
      <c r="A12" s="574" t="s">
        <v>27</v>
      </c>
      <c r="B12" s="574"/>
      <c r="C12" s="574"/>
      <c r="D12" s="574"/>
      <c r="E12" s="574"/>
      <c r="F12" s="574"/>
      <c r="G12" s="574"/>
    </row>
    <row r="13" spans="1:8" ht="12" customHeight="1">
      <c r="A13" s="332"/>
      <c r="B13" s="332"/>
      <c r="C13" s="332"/>
      <c r="D13" s="332"/>
      <c r="E13" s="332"/>
      <c r="F13" s="332"/>
      <c r="G13" s="332"/>
    </row>
    <row r="14" spans="1:8" ht="24" customHeight="1">
      <c r="A14" s="330">
        <v>1</v>
      </c>
      <c r="B14" s="576" t="s">
        <v>28</v>
      </c>
      <c r="C14" s="576"/>
      <c r="D14" s="576"/>
      <c r="E14" s="576"/>
      <c r="F14" s="576"/>
      <c r="G14" s="576"/>
    </row>
    <row r="15" spans="1:8" ht="39" customHeight="1">
      <c r="A15" s="330">
        <v>2</v>
      </c>
      <c r="B15" s="576" t="s">
        <v>29</v>
      </c>
      <c r="C15" s="576"/>
      <c r="D15" s="576"/>
      <c r="E15" s="576"/>
      <c r="F15" s="576"/>
      <c r="G15" s="576"/>
    </row>
    <row r="16" spans="1:8" ht="39" customHeight="1">
      <c r="A16" s="330">
        <v>3</v>
      </c>
      <c r="B16" s="576" t="s">
        <v>30</v>
      </c>
      <c r="C16" s="576"/>
      <c r="D16" s="576"/>
      <c r="E16" s="576"/>
      <c r="F16" s="576"/>
      <c r="G16" s="576"/>
    </row>
    <row r="17" spans="1:7" ht="24" customHeight="1">
      <c r="A17" s="330">
        <v>4</v>
      </c>
      <c r="B17" s="576" t="s">
        <v>31</v>
      </c>
      <c r="C17" s="576"/>
      <c r="D17" s="576"/>
      <c r="E17" s="576"/>
      <c r="F17" s="576"/>
      <c r="G17" s="576"/>
    </row>
    <row r="18" spans="1:7" ht="38.25" customHeight="1">
      <c r="A18" s="330">
        <v>5</v>
      </c>
      <c r="B18" s="576" t="s">
        <v>32</v>
      </c>
      <c r="C18" s="576"/>
      <c r="D18" s="576"/>
      <c r="E18" s="576"/>
      <c r="F18" s="576"/>
      <c r="G18" s="576"/>
    </row>
    <row r="19" spans="1:7" ht="34.5" customHeight="1">
      <c r="A19" s="330">
        <v>6</v>
      </c>
      <c r="B19" s="576" t="s">
        <v>33</v>
      </c>
      <c r="C19" s="576"/>
      <c r="D19" s="576"/>
      <c r="E19" s="576"/>
      <c r="F19" s="576"/>
      <c r="G19" s="576"/>
    </row>
    <row r="20" spans="1:7" ht="30" customHeight="1">
      <c r="A20" s="332"/>
      <c r="B20" s="332"/>
      <c r="C20" s="332"/>
      <c r="D20" s="332"/>
      <c r="E20" s="332"/>
      <c r="F20" s="332"/>
      <c r="G20" s="332"/>
    </row>
    <row r="21" spans="1:7" ht="20.25">
      <c r="A21" s="574" t="s">
        <v>34</v>
      </c>
      <c r="B21" s="574"/>
      <c r="C21" s="574"/>
      <c r="D21" s="574"/>
      <c r="E21" s="574"/>
      <c r="F21" s="574"/>
      <c r="G21" s="574"/>
    </row>
    <row r="22" spans="1:7" ht="12" customHeight="1">
      <c r="A22" s="333"/>
      <c r="B22" s="332"/>
      <c r="C22" s="332"/>
      <c r="D22" s="332"/>
      <c r="E22" s="332"/>
      <c r="F22" s="332"/>
      <c r="G22" s="332"/>
    </row>
    <row r="23" spans="1:7">
      <c r="A23" s="334" t="s">
        <v>35</v>
      </c>
      <c r="B23" s="335" t="s">
        <v>36</v>
      </c>
      <c r="C23" s="336"/>
      <c r="D23" s="334" t="s">
        <v>37</v>
      </c>
      <c r="E23" s="335" t="s">
        <v>38</v>
      </c>
      <c r="F23" s="332"/>
      <c r="G23" s="332"/>
    </row>
    <row r="24" spans="1:7">
      <c r="A24" s="337" t="s">
        <v>39</v>
      </c>
      <c r="B24" s="338" t="s">
        <v>40</v>
      </c>
      <c r="C24" s="336"/>
      <c r="D24" s="337" t="s">
        <v>41</v>
      </c>
      <c r="E24" s="338" t="s">
        <v>42</v>
      </c>
      <c r="F24" s="332"/>
      <c r="G24" s="332"/>
    </row>
    <row r="25" spans="1:7">
      <c r="A25" s="337" t="s">
        <v>43</v>
      </c>
      <c r="B25" s="338" t="s">
        <v>44</v>
      </c>
      <c r="C25" s="336"/>
      <c r="D25" s="337" t="s">
        <v>45</v>
      </c>
      <c r="E25" s="338" t="s">
        <v>46</v>
      </c>
      <c r="F25" s="332"/>
      <c r="G25" s="332"/>
    </row>
    <row r="26" spans="1:7">
      <c r="A26" s="337" t="s">
        <v>47</v>
      </c>
      <c r="B26" s="339" t="s">
        <v>48</v>
      </c>
      <c r="C26" s="336"/>
      <c r="D26" s="337" t="s">
        <v>41</v>
      </c>
      <c r="E26" s="338" t="s">
        <v>49</v>
      </c>
      <c r="F26" s="332"/>
      <c r="G26" s="332"/>
    </row>
    <row r="27" spans="1:7">
      <c r="A27" s="337" t="s">
        <v>39</v>
      </c>
      <c r="B27" s="338" t="s">
        <v>50</v>
      </c>
      <c r="C27" s="336"/>
      <c r="D27" s="337" t="s">
        <v>51</v>
      </c>
      <c r="E27" s="338" t="s">
        <v>52</v>
      </c>
      <c r="F27" s="332"/>
      <c r="G27" s="332"/>
    </row>
    <row r="28" spans="1:7">
      <c r="A28" s="337" t="s">
        <v>53</v>
      </c>
      <c r="B28" s="338" t="s">
        <v>54</v>
      </c>
      <c r="C28" s="336"/>
      <c r="D28" s="337" t="s">
        <v>55</v>
      </c>
      <c r="E28" s="338" t="s">
        <v>56</v>
      </c>
      <c r="F28" s="332"/>
      <c r="G28" s="332"/>
    </row>
    <row r="29" spans="1:7">
      <c r="A29" s="340"/>
      <c r="B29" s="341"/>
      <c r="C29" s="332"/>
      <c r="D29" s="342" t="s">
        <v>43</v>
      </c>
      <c r="E29" s="343" t="s">
        <v>57</v>
      </c>
      <c r="F29" s="332"/>
      <c r="G29" s="332"/>
    </row>
  </sheetData>
  <mergeCells count="18">
    <mergeCell ref="B18:G18"/>
    <mergeCell ref="B19:G19"/>
    <mergeCell ref="A21:G21"/>
    <mergeCell ref="A12:G12"/>
    <mergeCell ref="B14:G14"/>
    <mergeCell ref="B15:G15"/>
    <mergeCell ref="B16:G16"/>
    <mergeCell ref="B17:G17"/>
    <mergeCell ref="B6:G6"/>
    <mergeCell ref="B7:G7"/>
    <mergeCell ref="B8:G8"/>
    <mergeCell ref="B9:G9"/>
    <mergeCell ref="B10:G10"/>
    <mergeCell ref="A1:G1"/>
    <mergeCell ref="A2:G2"/>
    <mergeCell ref="A3:G3"/>
    <mergeCell ref="B4:G4"/>
    <mergeCell ref="A5:G5"/>
  </mergeCells>
  <pageMargins left="1.1811023622047201" right="0.39370078740157499" top="0.98425196850393704" bottom="1.37795275590551" header="0.31496062992126" footer="0.31496062992126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9"/>
  <sheetViews>
    <sheetView topLeftCell="A3" zoomScale="98" zoomScaleNormal="98" workbookViewId="0">
      <selection activeCell="B17" sqref="B17"/>
    </sheetView>
  </sheetViews>
  <sheetFormatPr defaultColWidth="9" defaultRowHeight="15"/>
  <cols>
    <col min="1" max="1" width="6" customWidth="1"/>
    <col min="2" max="2" width="39.7109375" customWidth="1"/>
  </cols>
  <sheetData>
    <row r="2" spans="1:2" ht="18.75">
      <c r="A2" s="561" t="s">
        <v>58</v>
      </c>
      <c r="B2" s="561"/>
    </row>
    <row r="4" spans="1:2" ht="20.100000000000001" customHeight="1">
      <c r="A4" s="304">
        <v>1</v>
      </c>
      <c r="B4" s="326" t="s">
        <v>59</v>
      </c>
    </row>
    <row r="5" spans="1:2" ht="20.100000000000001" customHeight="1">
      <c r="A5" s="304">
        <v>2</v>
      </c>
      <c r="B5" s="326" t="s">
        <v>60</v>
      </c>
    </row>
    <row r="6" spans="1:2" ht="20.100000000000001" customHeight="1">
      <c r="A6" s="304">
        <v>3</v>
      </c>
      <c r="B6" s="326" t="s">
        <v>61</v>
      </c>
    </row>
    <row r="7" spans="1:2" ht="20.100000000000001" customHeight="1">
      <c r="A7" s="304">
        <v>4</v>
      </c>
      <c r="B7" s="326" t="s">
        <v>62</v>
      </c>
    </row>
    <row r="8" spans="1:2" ht="20.100000000000001" customHeight="1">
      <c r="A8" s="304">
        <v>5</v>
      </c>
      <c r="B8" s="326" t="s">
        <v>63</v>
      </c>
    </row>
    <row r="9" spans="1:2" ht="20.100000000000001" customHeight="1">
      <c r="A9" s="304">
        <v>6</v>
      </c>
      <c r="B9" s="326" t="s">
        <v>64</v>
      </c>
    </row>
    <row r="10" spans="1:2" ht="20.100000000000001" customHeight="1">
      <c r="A10" s="304">
        <v>7</v>
      </c>
      <c r="B10" s="326" t="s">
        <v>65</v>
      </c>
    </row>
    <row r="11" spans="1:2" ht="20.100000000000001" customHeight="1">
      <c r="A11" s="304">
        <v>8</v>
      </c>
      <c r="B11" s="326" t="s">
        <v>66</v>
      </c>
    </row>
    <row r="12" spans="1:2" ht="20.100000000000001" customHeight="1">
      <c r="A12" s="304">
        <v>9</v>
      </c>
      <c r="B12" s="327" t="s">
        <v>67</v>
      </c>
    </row>
    <row r="13" spans="1:2" ht="20.100000000000001" customHeight="1">
      <c r="A13" s="304">
        <v>10</v>
      </c>
      <c r="B13" s="327" t="s">
        <v>68</v>
      </c>
    </row>
    <row r="14" spans="1:2" ht="20.100000000000001" customHeight="1">
      <c r="A14" s="304">
        <v>11</v>
      </c>
      <c r="B14" s="327" t="s">
        <v>69</v>
      </c>
    </row>
    <row r="15" spans="1:2" ht="20.100000000000001" customHeight="1">
      <c r="A15" s="304">
        <v>12</v>
      </c>
      <c r="B15" s="327" t="s">
        <v>70</v>
      </c>
    </row>
    <row r="16" spans="1:2" ht="20.100000000000001" customHeight="1">
      <c r="A16" s="304">
        <v>13</v>
      </c>
      <c r="B16" s="327" t="s">
        <v>71</v>
      </c>
    </row>
    <row r="17" spans="1:5" ht="20.100000000000001" customHeight="1">
      <c r="A17" s="304">
        <v>14</v>
      </c>
      <c r="B17" s="327" t="s">
        <v>72</v>
      </c>
    </row>
    <row r="18" spans="1:5" ht="20.100000000000001" customHeight="1">
      <c r="A18" s="304">
        <v>15</v>
      </c>
      <c r="B18" s="327" t="s">
        <v>73</v>
      </c>
    </row>
    <row r="19" spans="1:5" ht="20.100000000000001" customHeight="1">
      <c r="A19" s="304">
        <v>16</v>
      </c>
      <c r="B19" s="327" t="s">
        <v>74</v>
      </c>
    </row>
    <row r="20" spans="1:5" ht="20.100000000000001" customHeight="1">
      <c r="A20" s="304">
        <v>17</v>
      </c>
      <c r="B20" s="327" t="s">
        <v>75</v>
      </c>
    </row>
    <row r="21" spans="1:5" ht="20.100000000000001" customHeight="1">
      <c r="A21" s="304">
        <v>18</v>
      </c>
      <c r="B21" s="327" t="s">
        <v>76</v>
      </c>
    </row>
    <row r="22" spans="1:5" ht="20.100000000000001" customHeight="1">
      <c r="A22" s="304">
        <v>19</v>
      </c>
      <c r="B22" s="327" t="s">
        <v>77</v>
      </c>
    </row>
    <row r="23" spans="1:5" ht="20.100000000000001" customHeight="1">
      <c r="A23" s="304">
        <v>20</v>
      </c>
      <c r="B23" s="326" t="s">
        <v>78</v>
      </c>
    </row>
    <row r="24" spans="1:5" ht="20.100000000000001" customHeight="1">
      <c r="A24" s="304">
        <v>21</v>
      </c>
      <c r="B24" s="326" t="s">
        <v>79</v>
      </c>
    </row>
    <row r="25" spans="1:5" ht="20.100000000000001" customHeight="1">
      <c r="A25" s="304">
        <v>22</v>
      </c>
      <c r="B25" s="577" t="s">
        <v>80</v>
      </c>
      <c r="C25" s="577"/>
      <c r="D25" s="577"/>
      <c r="E25" s="577"/>
    </row>
    <row r="26" spans="1:5" ht="15.75">
      <c r="A26" s="304">
        <v>23</v>
      </c>
      <c r="B26" s="66" t="s">
        <v>81</v>
      </c>
    </row>
    <row r="27" spans="1:5" ht="15.75">
      <c r="A27" s="304">
        <v>24</v>
      </c>
      <c r="B27" s="66" t="s">
        <v>82</v>
      </c>
    </row>
    <row r="28" spans="1:5" ht="15.75">
      <c r="A28" s="304">
        <v>25</v>
      </c>
      <c r="B28" s="66" t="s">
        <v>83</v>
      </c>
    </row>
    <row r="29" spans="1:5" ht="15.75">
      <c r="A29" s="304">
        <v>26</v>
      </c>
      <c r="B29" s="66" t="s">
        <v>84</v>
      </c>
    </row>
  </sheetData>
  <mergeCells count="2">
    <mergeCell ref="A2:B2"/>
    <mergeCell ref="B25:E2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6"/>
  <sheetViews>
    <sheetView topLeftCell="A16" workbookViewId="0">
      <selection activeCell="J25" sqref="J25"/>
    </sheetView>
  </sheetViews>
  <sheetFormatPr defaultRowHeight="16.5"/>
  <cols>
    <col min="1" max="1" width="9.7109375" style="443" customWidth="1"/>
    <col min="2" max="7" width="5.5703125" style="443" customWidth="1"/>
    <col min="8" max="8" width="4.85546875" style="443" customWidth="1"/>
    <col min="9" max="9" width="8.5703125" style="443" customWidth="1"/>
    <col min="10" max="10" width="9.7109375" style="443" customWidth="1"/>
    <col min="11" max="11" width="3.140625" style="443" customWidth="1"/>
    <col min="12" max="12" width="9.42578125" style="443" customWidth="1"/>
    <col min="13" max="14" width="8.5703125" style="443" customWidth="1"/>
    <col min="15" max="15" width="10.140625" style="443" customWidth="1"/>
    <col min="16" max="16384" width="9.140625" style="443"/>
  </cols>
  <sheetData>
    <row r="1" spans="1:18" ht="18.75">
      <c r="A1" s="578" t="s">
        <v>783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80"/>
    </row>
    <row r="2" spans="1:18" ht="18.75">
      <c r="A2" s="581" t="s">
        <v>784</v>
      </c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3"/>
    </row>
    <row r="3" spans="1:18">
      <c r="A3" s="460" t="s">
        <v>92</v>
      </c>
      <c r="B3" s="461"/>
      <c r="C3" s="461"/>
      <c r="D3" s="461"/>
      <c r="E3" s="461"/>
      <c r="F3" s="461"/>
      <c r="G3" s="461"/>
      <c r="H3" s="462"/>
      <c r="I3" s="461"/>
      <c r="J3" s="461"/>
      <c r="K3" s="461"/>
      <c r="L3" s="461"/>
      <c r="M3" s="461"/>
      <c r="N3" s="461"/>
      <c r="O3" s="463"/>
    </row>
    <row r="4" spans="1:18">
      <c r="A4" s="464" t="s">
        <v>85</v>
      </c>
      <c r="B4" s="465"/>
      <c r="C4" s="466">
        <v>6</v>
      </c>
      <c r="D4" s="466">
        <v>13</v>
      </c>
      <c r="E4" s="467">
        <v>20</v>
      </c>
      <c r="F4" s="468">
        <v>27</v>
      </c>
      <c r="G4" s="461"/>
      <c r="H4" s="469"/>
      <c r="I4" s="461" t="s">
        <v>785</v>
      </c>
      <c r="J4" s="461"/>
      <c r="K4" s="461"/>
      <c r="L4" s="461"/>
      <c r="M4" s="461"/>
      <c r="N4" s="461"/>
      <c r="O4" s="463"/>
    </row>
    <row r="5" spans="1:18">
      <c r="A5" s="464" t="s">
        <v>86</v>
      </c>
      <c r="B5" s="470"/>
      <c r="C5" s="471">
        <v>7</v>
      </c>
      <c r="D5" s="472">
        <v>14</v>
      </c>
      <c r="E5" s="473">
        <v>21</v>
      </c>
      <c r="F5" s="474">
        <v>28</v>
      </c>
      <c r="G5" s="461"/>
      <c r="H5" s="475"/>
      <c r="I5" s="461" t="s">
        <v>786</v>
      </c>
      <c r="J5" s="461"/>
      <c r="K5" s="461"/>
      <c r="L5" s="461"/>
      <c r="M5" s="461"/>
      <c r="N5" s="461"/>
      <c r="O5" s="463"/>
    </row>
    <row r="6" spans="1:18">
      <c r="A6" s="464" t="s">
        <v>87</v>
      </c>
      <c r="B6" s="471">
        <v>1</v>
      </c>
      <c r="C6" s="471">
        <v>8</v>
      </c>
      <c r="D6" s="476">
        <v>15</v>
      </c>
      <c r="E6" s="473">
        <v>22</v>
      </c>
      <c r="F6" s="474">
        <v>29</v>
      </c>
      <c r="G6" s="461"/>
      <c r="H6" s="475"/>
      <c r="I6" s="461" t="s">
        <v>787</v>
      </c>
      <c r="J6" s="461"/>
      <c r="K6" s="461"/>
      <c r="L6" s="461"/>
      <c r="M6" s="461"/>
      <c r="N6" s="461"/>
      <c r="O6" s="463"/>
    </row>
    <row r="7" spans="1:18">
      <c r="A7" s="464" t="s">
        <v>88</v>
      </c>
      <c r="B7" s="471">
        <v>2</v>
      </c>
      <c r="C7" s="471">
        <v>9</v>
      </c>
      <c r="D7" s="476">
        <v>16</v>
      </c>
      <c r="E7" s="473">
        <v>23</v>
      </c>
      <c r="F7" s="474">
        <v>30</v>
      </c>
      <c r="G7" s="461"/>
      <c r="H7" s="475"/>
      <c r="I7" s="477" t="s">
        <v>788</v>
      </c>
      <c r="J7" s="461"/>
      <c r="K7" s="461"/>
      <c r="L7" s="461"/>
      <c r="M7" s="461"/>
      <c r="N7" s="461"/>
      <c r="O7" s="463"/>
    </row>
    <row r="8" spans="1:18">
      <c r="A8" s="464" t="s">
        <v>89</v>
      </c>
      <c r="B8" s="471">
        <v>3</v>
      </c>
      <c r="C8" s="471">
        <v>10</v>
      </c>
      <c r="D8" s="476">
        <v>17</v>
      </c>
      <c r="E8" s="473">
        <v>24</v>
      </c>
      <c r="F8" s="474">
        <v>31</v>
      </c>
      <c r="G8" s="461"/>
      <c r="H8" s="475"/>
      <c r="I8" s="477" t="s">
        <v>789</v>
      </c>
      <c r="J8" s="461"/>
      <c r="K8" s="461" t="s">
        <v>13</v>
      </c>
      <c r="L8" s="461">
        <v>3</v>
      </c>
      <c r="M8" s="461"/>
      <c r="N8" s="461"/>
      <c r="O8" s="463"/>
      <c r="R8" s="443">
        <f>L8</f>
        <v>3</v>
      </c>
    </row>
    <row r="9" spans="1:18">
      <c r="A9" s="464" t="s">
        <v>90</v>
      </c>
      <c r="B9" s="471">
        <v>4</v>
      </c>
      <c r="C9" s="471">
        <v>11</v>
      </c>
      <c r="D9" s="476">
        <v>18</v>
      </c>
      <c r="E9" s="473">
        <v>25</v>
      </c>
      <c r="F9" s="478"/>
      <c r="G9" s="461"/>
      <c r="H9" s="479"/>
      <c r="I9" s="477" t="s">
        <v>790</v>
      </c>
      <c r="J9" s="461"/>
      <c r="K9" s="461" t="s">
        <v>13</v>
      </c>
      <c r="L9" s="461">
        <v>9</v>
      </c>
      <c r="M9" s="461"/>
      <c r="N9" s="461"/>
      <c r="O9" s="463"/>
    </row>
    <row r="10" spans="1:18">
      <c r="A10" s="464" t="s">
        <v>91</v>
      </c>
      <c r="B10" s="480">
        <v>5</v>
      </c>
      <c r="C10" s="480">
        <v>12</v>
      </c>
      <c r="D10" s="480">
        <v>19</v>
      </c>
      <c r="E10" s="473">
        <v>26</v>
      </c>
      <c r="F10" s="478"/>
      <c r="G10" s="461"/>
      <c r="H10" s="479"/>
      <c r="M10" s="461"/>
      <c r="N10" s="461"/>
      <c r="O10" s="463"/>
    </row>
    <row r="11" spans="1:18">
      <c r="A11" s="481"/>
      <c r="B11" s="461"/>
      <c r="C11" s="461"/>
      <c r="D11" s="461"/>
      <c r="E11" s="461"/>
      <c r="F11" s="461"/>
      <c r="G11" s="461"/>
      <c r="H11" s="462"/>
      <c r="I11" s="461"/>
      <c r="J11" s="461"/>
      <c r="K11" s="461"/>
      <c r="L11" s="461"/>
      <c r="M11" s="461"/>
      <c r="N11" s="461"/>
      <c r="O11" s="463"/>
    </row>
    <row r="12" spans="1:18">
      <c r="A12" s="460" t="s">
        <v>791</v>
      </c>
      <c r="B12" s="461"/>
      <c r="C12" s="461"/>
      <c r="D12" s="461"/>
      <c r="E12" s="461"/>
      <c r="F12" s="461"/>
      <c r="G12" s="461"/>
      <c r="H12" s="462"/>
      <c r="I12" s="461"/>
      <c r="J12" s="461"/>
      <c r="K12" s="461"/>
      <c r="L12" s="461"/>
      <c r="M12" s="461"/>
      <c r="N12" s="461"/>
      <c r="O12" s="463"/>
    </row>
    <row r="13" spans="1:18">
      <c r="A13" s="464" t="s">
        <v>85</v>
      </c>
      <c r="B13" s="465"/>
      <c r="C13" s="466">
        <v>3</v>
      </c>
      <c r="D13" s="466">
        <v>10</v>
      </c>
      <c r="E13" s="482">
        <v>17</v>
      </c>
      <c r="F13" s="483">
        <v>24</v>
      </c>
      <c r="G13" s="468">
        <v>31</v>
      </c>
      <c r="H13" s="469"/>
      <c r="I13" s="461" t="s">
        <v>792</v>
      </c>
      <c r="J13" s="461"/>
      <c r="K13" s="461"/>
      <c r="L13" s="461"/>
      <c r="M13" s="461"/>
      <c r="N13" s="461"/>
      <c r="O13" s="463"/>
    </row>
    <row r="14" spans="1:18">
      <c r="A14" s="464" t="s">
        <v>86</v>
      </c>
      <c r="B14" s="470"/>
      <c r="C14" s="484">
        <v>4</v>
      </c>
      <c r="D14" s="480">
        <v>11</v>
      </c>
      <c r="E14" s="485">
        <v>18</v>
      </c>
      <c r="F14" s="486">
        <v>25</v>
      </c>
      <c r="G14" s="478"/>
      <c r="H14" s="479"/>
      <c r="I14" s="461" t="s">
        <v>793</v>
      </c>
      <c r="J14" s="461"/>
      <c r="K14" s="461"/>
      <c r="L14" s="461"/>
      <c r="M14" s="461"/>
      <c r="N14" s="461"/>
      <c r="O14" s="463"/>
    </row>
    <row r="15" spans="1:18">
      <c r="A15" s="464" t="s">
        <v>87</v>
      </c>
      <c r="B15" s="470"/>
      <c r="C15" s="484">
        <v>5</v>
      </c>
      <c r="D15" s="480">
        <v>12</v>
      </c>
      <c r="E15" s="485">
        <v>19</v>
      </c>
      <c r="F15" s="486">
        <v>26</v>
      </c>
      <c r="G15" s="478"/>
      <c r="H15" s="479"/>
      <c r="I15" s="461" t="s">
        <v>794</v>
      </c>
      <c r="J15" s="461"/>
      <c r="K15" s="461"/>
      <c r="L15" s="461"/>
      <c r="M15" s="461"/>
      <c r="N15" s="461"/>
      <c r="O15" s="463"/>
    </row>
    <row r="16" spans="1:18">
      <c r="A16" s="464" t="s">
        <v>88</v>
      </c>
      <c r="B16" s="470"/>
      <c r="C16" s="484">
        <v>6</v>
      </c>
      <c r="D16" s="480">
        <v>13</v>
      </c>
      <c r="E16" s="485">
        <v>20</v>
      </c>
      <c r="F16" s="486">
        <v>27</v>
      </c>
      <c r="G16" s="478"/>
      <c r="H16" s="479"/>
      <c r="I16" s="461"/>
      <c r="J16" s="461"/>
      <c r="K16" s="461"/>
      <c r="L16" s="461"/>
      <c r="M16" s="461"/>
      <c r="N16" s="461"/>
      <c r="O16" s="463"/>
    </row>
    <row r="17" spans="1:18">
      <c r="A17" s="464" t="s">
        <v>89</v>
      </c>
      <c r="B17" s="470"/>
      <c r="C17" s="484">
        <v>7</v>
      </c>
      <c r="D17" s="480">
        <v>14</v>
      </c>
      <c r="E17" s="485">
        <v>21</v>
      </c>
      <c r="F17" s="486">
        <v>28</v>
      </c>
      <c r="G17" s="478"/>
      <c r="H17" s="479"/>
      <c r="I17" s="477" t="s">
        <v>789</v>
      </c>
      <c r="J17" s="461"/>
      <c r="K17" s="461" t="s">
        <v>13</v>
      </c>
      <c r="L17" s="461">
        <v>4</v>
      </c>
      <c r="M17" s="461"/>
      <c r="N17" s="461"/>
      <c r="O17" s="463"/>
      <c r="R17" s="443">
        <f t="shared" ref="R17:R72" si="0">L17</f>
        <v>4</v>
      </c>
    </row>
    <row r="18" spans="1:18">
      <c r="A18" s="464" t="s">
        <v>90</v>
      </c>
      <c r="B18" s="480">
        <v>1</v>
      </c>
      <c r="C18" s="480">
        <v>8</v>
      </c>
      <c r="D18" s="480">
        <v>15</v>
      </c>
      <c r="E18" s="485">
        <v>22</v>
      </c>
      <c r="F18" s="486">
        <v>29</v>
      </c>
      <c r="G18" s="478"/>
      <c r="H18" s="479"/>
      <c r="I18" s="477" t="s">
        <v>790</v>
      </c>
      <c r="J18" s="461"/>
      <c r="K18" s="461" t="s">
        <v>13</v>
      </c>
      <c r="L18" s="461">
        <v>21</v>
      </c>
      <c r="M18" s="461"/>
      <c r="N18" s="461"/>
      <c r="O18" s="463"/>
    </row>
    <row r="19" spans="1:18">
      <c r="A19" s="464" t="s">
        <v>91</v>
      </c>
      <c r="B19" s="480">
        <v>2</v>
      </c>
      <c r="C19" s="480">
        <v>9</v>
      </c>
      <c r="D19" s="480">
        <v>16</v>
      </c>
      <c r="E19" s="485">
        <v>23</v>
      </c>
      <c r="F19" s="486">
        <v>30</v>
      </c>
      <c r="G19" s="478"/>
      <c r="H19" s="479"/>
      <c r="M19" s="461"/>
      <c r="N19" s="461"/>
      <c r="O19" s="463"/>
    </row>
    <row r="20" spans="1:18">
      <c r="A20" s="481"/>
      <c r="B20" s="461"/>
      <c r="C20" s="461"/>
      <c r="D20" s="461"/>
      <c r="E20" s="461"/>
      <c r="F20" s="461"/>
      <c r="G20" s="461"/>
      <c r="H20" s="462"/>
      <c r="I20" s="461"/>
      <c r="J20" s="461"/>
      <c r="K20" s="461"/>
      <c r="L20" s="461"/>
      <c r="M20" s="461"/>
      <c r="N20" s="461"/>
      <c r="O20" s="463"/>
    </row>
    <row r="21" spans="1:18">
      <c r="A21" s="538" t="s">
        <v>1003</v>
      </c>
      <c r="B21" s="461"/>
      <c r="C21" s="461"/>
      <c r="D21" s="461"/>
      <c r="E21" s="461"/>
      <c r="F21" s="461"/>
      <c r="G21" s="461"/>
      <c r="H21" s="462"/>
      <c r="I21" s="461"/>
      <c r="J21" s="461"/>
      <c r="K21" s="461"/>
      <c r="L21" s="461"/>
      <c r="M21" s="461"/>
      <c r="N21" s="461"/>
      <c r="O21" s="463"/>
    </row>
    <row r="22" spans="1:18">
      <c r="A22" s="464" t="s">
        <v>85</v>
      </c>
      <c r="B22" s="465"/>
      <c r="C22" s="466">
        <v>7</v>
      </c>
      <c r="D22" s="466">
        <v>14</v>
      </c>
      <c r="E22" s="466">
        <v>21</v>
      </c>
      <c r="F22" s="466">
        <v>28</v>
      </c>
      <c r="G22" s="461"/>
      <c r="H22" s="462"/>
      <c r="I22" s="461" t="s">
        <v>795</v>
      </c>
      <c r="J22" s="461"/>
      <c r="K22" s="461"/>
      <c r="L22" s="461"/>
      <c r="M22" s="461"/>
      <c r="N22" s="461"/>
      <c r="O22" s="463"/>
    </row>
    <row r="23" spans="1:18">
      <c r="A23" s="464" t="s">
        <v>86</v>
      </c>
      <c r="B23" s="480">
        <v>1</v>
      </c>
      <c r="C23" s="480">
        <v>8</v>
      </c>
      <c r="D23" s="539">
        <v>15</v>
      </c>
      <c r="E23" s="480">
        <v>22</v>
      </c>
      <c r="F23" s="480">
        <v>29</v>
      </c>
      <c r="G23" s="461"/>
      <c r="H23" s="462"/>
      <c r="I23" s="540" t="s">
        <v>1004</v>
      </c>
      <c r="J23" s="540"/>
      <c r="K23" s="540"/>
      <c r="L23" s="540"/>
      <c r="M23" s="461"/>
      <c r="N23" s="461"/>
      <c r="O23" s="463"/>
    </row>
    <row r="24" spans="1:18">
      <c r="A24" s="464" t="s">
        <v>87</v>
      </c>
      <c r="B24" s="480">
        <v>2</v>
      </c>
      <c r="C24" s="480">
        <v>9</v>
      </c>
      <c r="D24" s="480">
        <v>16</v>
      </c>
      <c r="E24" s="480">
        <v>23</v>
      </c>
      <c r="F24" s="480">
        <v>30</v>
      </c>
      <c r="G24" s="461"/>
      <c r="H24" s="462"/>
      <c r="I24" s="461"/>
      <c r="J24" s="461"/>
      <c r="K24" s="461"/>
      <c r="L24" s="461"/>
      <c r="M24" s="461"/>
      <c r="N24" s="461"/>
      <c r="O24" s="463"/>
    </row>
    <row r="25" spans="1:18">
      <c r="A25" s="464" t="s">
        <v>88</v>
      </c>
      <c r="B25" s="480">
        <v>3</v>
      </c>
      <c r="C25" s="480">
        <v>10</v>
      </c>
      <c r="D25" s="480">
        <v>17</v>
      </c>
      <c r="E25" s="480">
        <v>24</v>
      </c>
      <c r="F25" s="470"/>
      <c r="G25" s="461"/>
      <c r="H25" s="462"/>
      <c r="I25" s="461"/>
      <c r="J25" s="461"/>
      <c r="K25" s="461"/>
      <c r="L25" s="461"/>
      <c r="M25" s="461"/>
      <c r="N25" s="461"/>
      <c r="O25" s="463"/>
    </row>
    <row r="26" spans="1:18">
      <c r="A26" s="464" t="s">
        <v>89</v>
      </c>
      <c r="B26" s="480">
        <v>4</v>
      </c>
      <c r="C26" s="480">
        <v>11</v>
      </c>
      <c r="D26" s="480">
        <v>18</v>
      </c>
      <c r="E26" s="480">
        <v>25</v>
      </c>
      <c r="F26" s="470"/>
      <c r="G26" s="461"/>
      <c r="H26" s="462"/>
      <c r="I26" s="477" t="s">
        <v>789</v>
      </c>
      <c r="J26" s="461"/>
      <c r="K26" s="461" t="s">
        <v>13</v>
      </c>
      <c r="L26" s="461">
        <v>4</v>
      </c>
      <c r="M26" s="461"/>
      <c r="N26" s="461"/>
      <c r="O26" s="463"/>
      <c r="R26" s="443">
        <f t="shared" si="0"/>
        <v>4</v>
      </c>
    </row>
    <row r="27" spans="1:18">
      <c r="A27" s="464" t="s">
        <v>90</v>
      </c>
      <c r="B27" s="488">
        <v>5</v>
      </c>
      <c r="C27" s="480">
        <v>12</v>
      </c>
      <c r="D27" s="480">
        <v>19</v>
      </c>
      <c r="E27" s="480">
        <v>26</v>
      </c>
      <c r="F27" s="470"/>
      <c r="G27" s="461"/>
      <c r="H27" s="462"/>
      <c r="I27" s="477" t="s">
        <v>790</v>
      </c>
      <c r="J27" s="461"/>
      <c r="K27" s="461" t="s">
        <v>13</v>
      </c>
      <c r="L27" s="461">
        <v>20</v>
      </c>
      <c r="M27" s="461"/>
      <c r="N27" s="461"/>
      <c r="O27" s="463"/>
    </row>
    <row r="28" spans="1:18">
      <c r="A28" s="464" t="s">
        <v>91</v>
      </c>
      <c r="B28" s="480">
        <v>6</v>
      </c>
      <c r="C28" s="480">
        <v>13</v>
      </c>
      <c r="D28" s="480">
        <v>20</v>
      </c>
      <c r="E28" s="480">
        <v>27</v>
      </c>
      <c r="F28" s="470"/>
      <c r="G28" s="461"/>
      <c r="H28" s="462"/>
      <c r="M28" s="461"/>
      <c r="N28" s="461"/>
      <c r="O28" s="463"/>
    </row>
    <row r="29" spans="1:18">
      <c r="A29" s="481"/>
      <c r="B29" s="461"/>
      <c r="C29" s="461"/>
      <c r="D29" s="461"/>
      <c r="E29" s="461"/>
      <c r="F29" s="461"/>
      <c r="G29" s="461"/>
      <c r="H29" s="462"/>
      <c r="I29" s="461"/>
      <c r="J29" s="461"/>
      <c r="K29" s="461"/>
      <c r="L29" s="461"/>
      <c r="M29" s="461"/>
      <c r="N29" s="461"/>
      <c r="O29" s="463"/>
    </row>
    <row r="30" spans="1:18">
      <c r="A30" s="460" t="s">
        <v>796</v>
      </c>
      <c r="B30" s="461"/>
      <c r="C30" s="461"/>
      <c r="D30" s="461"/>
      <c r="E30" s="461"/>
      <c r="F30" s="461"/>
      <c r="G30" s="461"/>
      <c r="H30" s="462"/>
      <c r="I30" s="461"/>
      <c r="J30" s="461"/>
      <c r="K30" s="461"/>
      <c r="L30" s="461"/>
      <c r="M30" s="461"/>
      <c r="N30" s="461"/>
      <c r="O30" s="463"/>
    </row>
    <row r="31" spans="1:18">
      <c r="A31" s="464" t="s">
        <v>85</v>
      </c>
      <c r="B31" s="465"/>
      <c r="C31" s="466">
        <v>5</v>
      </c>
      <c r="D31" s="466">
        <v>12</v>
      </c>
      <c r="E31" s="467">
        <v>19</v>
      </c>
      <c r="F31" s="468">
        <v>26</v>
      </c>
      <c r="G31" s="461"/>
      <c r="H31" s="469"/>
      <c r="I31" s="489"/>
      <c r="J31" s="461"/>
      <c r="K31" s="461"/>
      <c r="L31" s="461"/>
      <c r="M31" s="461"/>
      <c r="N31" s="461"/>
      <c r="O31" s="463"/>
    </row>
    <row r="32" spans="1:18">
      <c r="A32" s="464" t="s">
        <v>86</v>
      </c>
      <c r="B32" s="470"/>
      <c r="C32" s="480">
        <v>6</v>
      </c>
      <c r="D32" s="480">
        <v>13</v>
      </c>
      <c r="E32" s="473">
        <v>20</v>
      </c>
      <c r="F32" s="474">
        <v>27</v>
      </c>
      <c r="G32" s="461"/>
      <c r="H32" s="475"/>
      <c r="I32" s="489"/>
      <c r="J32" s="461"/>
      <c r="K32" s="461"/>
      <c r="L32" s="461"/>
      <c r="M32" s="461"/>
      <c r="N32" s="461"/>
      <c r="O32" s="463"/>
    </row>
    <row r="33" spans="1:18">
      <c r="A33" s="464" t="s">
        <v>87</v>
      </c>
      <c r="B33" s="470"/>
      <c r="C33" s="480">
        <v>7</v>
      </c>
      <c r="D33" s="480">
        <v>14</v>
      </c>
      <c r="E33" s="473">
        <v>21</v>
      </c>
      <c r="F33" s="474">
        <v>28</v>
      </c>
      <c r="G33" s="461"/>
      <c r="H33" s="475"/>
      <c r="I33" s="489"/>
      <c r="J33" s="461"/>
      <c r="K33" s="461"/>
      <c r="L33" s="461"/>
      <c r="M33" s="461"/>
      <c r="N33" s="461"/>
      <c r="O33" s="463"/>
    </row>
    <row r="34" spans="1:18">
      <c r="A34" s="464" t="s">
        <v>88</v>
      </c>
      <c r="B34" s="480">
        <v>1</v>
      </c>
      <c r="C34" s="480">
        <v>8</v>
      </c>
      <c r="D34" s="480">
        <v>15</v>
      </c>
      <c r="E34" s="473">
        <v>22</v>
      </c>
      <c r="F34" s="474">
        <v>29</v>
      </c>
      <c r="G34" s="461"/>
      <c r="H34" s="475"/>
      <c r="I34" s="489"/>
      <c r="J34" s="461"/>
      <c r="K34" s="461"/>
      <c r="L34" s="461"/>
      <c r="M34" s="461"/>
      <c r="N34" s="461"/>
      <c r="O34" s="463"/>
    </row>
    <row r="35" spans="1:18">
      <c r="A35" s="464" t="s">
        <v>89</v>
      </c>
      <c r="B35" s="480">
        <v>2</v>
      </c>
      <c r="C35" s="480">
        <v>9</v>
      </c>
      <c r="D35" s="480">
        <v>16</v>
      </c>
      <c r="E35" s="473">
        <v>23</v>
      </c>
      <c r="F35" s="474">
        <v>30</v>
      </c>
      <c r="G35" s="461"/>
      <c r="H35" s="475"/>
      <c r="I35" s="477" t="s">
        <v>789</v>
      </c>
      <c r="J35" s="461"/>
      <c r="K35" s="461" t="s">
        <v>13</v>
      </c>
      <c r="L35" s="461">
        <v>5</v>
      </c>
      <c r="M35" s="461"/>
      <c r="N35" s="461"/>
      <c r="O35" s="463"/>
      <c r="R35" s="443">
        <f t="shared" si="0"/>
        <v>5</v>
      </c>
    </row>
    <row r="36" spans="1:18">
      <c r="A36" s="464" t="s">
        <v>90</v>
      </c>
      <c r="B36" s="480">
        <v>3</v>
      </c>
      <c r="C36" s="480">
        <v>10</v>
      </c>
      <c r="D36" s="480">
        <v>17</v>
      </c>
      <c r="E36" s="473">
        <v>24</v>
      </c>
      <c r="F36" s="474">
        <v>31</v>
      </c>
      <c r="G36" s="461"/>
      <c r="H36" s="475"/>
      <c r="I36" s="477" t="s">
        <v>790</v>
      </c>
      <c r="J36" s="461"/>
      <c r="K36" s="461" t="s">
        <v>13</v>
      </c>
      <c r="L36" s="461">
        <v>25</v>
      </c>
      <c r="M36" s="461"/>
      <c r="N36" s="461"/>
      <c r="O36" s="463"/>
    </row>
    <row r="37" spans="1:18">
      <c r="A37" s="464" t="s">
        <v>91</v>
      </c>
      <c r="B37" s="480">
        <v>4</v>
      </c>
      <c r="C37" s="480">
        <v>11</v>
      </c>
      <c r="D37" s="480">
        <v>18</v>
      </c>
      <c r="E37" s="473">
        <v>25</v>
      </c>
      <c r="F37" s="478"/>
      <c r="G37" s="461"/>
      <c r="H37" s="479"/>
      <c r="M37" s="461"/>
      <c r="N37" s="461"/>
      <c r="O37" s="463"/>
    </row>
    <row r="38" spans="1:18">
      <c r="A38" s="490"/>
      <c r="B38" s="491"/>
      <c r="C38" s="491"/>
      <c r="D38" s="491"/>
      <c r="E38" s="491"/>
      <c r="F38" s="491"/>
      <c r="G38" s="491"/>
      <c r="H38" s="492"/>
      <c r="I38" s="491"/>
      <c r="J38" s="461"/>
      <c r="K38" s="461"/>
      <c r="L38" s="461"/>
      <c r="M38" s="461"/>
      <c r="N38" s="461"/>
      <c r="O38" s="463"/>
    </row>
    <row r="39" spans="1:18">
      <c r="A39" s="487">
        <v>45962</v>
      </c>
      <c r="B39" s="461"/>
      <c r="C39" s="461"/>
      <c r="D39" s="461"/>
      <c r="E39" s="461"/>
      <c r="F39" s="461"/>
      <c r="G39" s="461"/>
      <c r="H39" s="462"/>
      <c r="I39" s="491"/>
      <c r="J39" s="493"/>
      <c r="K39" s="491"/>
      <c r="L39" s="491"/>
      <c r="M39" s="491"/>
      <c r="N39" s="491"/>
      <c r="O39" s="494"/>
    </row>
    <row r="40" spans="1:18">
      <c r="A40" s="464" t="s">
        <v>85</v>
      </c>
      <c r="B40" s="465"/>
      <c r="C40" s="495">
        <v>2</v>
      </c>
      <c r="D40" s="495">
        <v>9</v>
      </c>
      <c r="E40" s="496">
        <v>16</v>
      </c>
      <c r="F40" s="467">
        <v>23</v>
      </c>
      <c r="G40" s="468">
        <v>30</v>
      </c>
      <c r="H40" s="469"/>
      <c r="I40" s="493" t="s">
        <v>797</v>
      </c>
      <c r="J40" s="493"/>
      <c r="K40" s="491"/>
      <c r="L40" s="491"/>
      <c r="M40" s="491"/>
      <c r="N40" s="491"/>
      <c r="O40" s="494"/>
    </row>
    <row r="41" spans="1:18">
      <c r="A41" s="464" t="s">
        <v>86</v>
      </c>
      <c r="B41" s="470"/>
      <c r="C41" s="484">
        <v>3</v>
      </c>
      <c r="D41" s="515">
        <v>10</v>
      </c>
      <c r="E41" s="532">
        <v>17</v>
      </c>
      <c r="F41" s="473">
        <v>24</v>
      </c>
      <c r="G41" s="478"/>
      <c r="H41" s="479"/>
      <c r="I41" s="493" t="s">
        <v>798</v>
      </c>
      <c r="J41" s="493"/>
      <c r="K41" s="491"/>
      <c r="L41" s="491"/>
      <c r="M41" s="491"/>
      <c r="N41" s="491"/>
      <c r="O41" s="494"/>
    </row>
    <row r="42" spans="1:18">
      <c r="A42" s="464" t="s">
        <v>87</v>
      </c>
      <c r="B42" s="470"/>
      <c r="C42" s="484">
        <v>4</v>
      </c>
      <c r="D42" s="515">
        <v>11</v>
      </c>
      <c r="E42" s="532">
        <v>18</v>
      </c>
      <c r="F42" s="533">
        <v>25</v>
      </c>
      <c r="G42" s="478"/>
      <c r="H42" s="479"/>
      <c r="I42" s="493" t="s">
        <v>799</v>
      </c>
      <c r="J42" s="493"/>
      <c r="K42" s="491"/>
      <c r="L42" s="491"/>
      <c r="M42" s="491"/>
      <c r="N42" s="491"/>
      <c r="O42" s="494"/>
    </row>
    <row r="43" spans="1:18">
      <c r="A43" s="464" t="s">
        <v>88</v>
      </c>
      <c r="B43" s="470"/>
      <c r="C43" s="484">
        <v>5</v>
      </c>
      <c r="D43" s="515">
        <v>12</v>
      </c>
      <c r="E43" s="532">
        <v>19</v>
      </c>
      <c r="F43" s="534">
        <v>26</v>
      </c>
      <c r="G43" s="478"/>
      <c r="H43" s="479"/>
      <c r="I43" s="493" t="s">
        <v>800</v>
      </c>
      <c r="J43" s="493"/>
      <c r="K43" s="491"/>
      <c r="L43" s="491"/>
      <c r="M43" s="491"/>
      <c r="N43" s="491"/>
      <c r="O43" s="494"/>
    </row>
    <row r="44" spans="1:18">
      <c r="A44" s="464" t="s">
        <v>89</v>
      </c>
      <c r="B44" s="470"/>
      <c r="C44" s="484">
        <v>6</v>
      </c>
      <c r="D44" s="515">
        <v>13</v>
      </c>
      <c r="E44" s="532">
        <v>20</v>
      </c>
      <c r="F44" s="534">
        <v>27</v>
      </c>
      <c r="G44" s="478"/>
      <c r="H44" s="479"/>
      <c r="I44" s="477" t="s">
        <v>789</v>
      </c>
      <c r="J44" s="493"/>
      <c r="K44" s="461" t="s">
        <v>13</v>
      </c>
      <c r="L44" s="491">
        <v>3</v>
      </c>
      <c r="M44" s="491"/>
      <c r="N44" s="491"/>
      <c r="O44" s="494"/>
      <c r="R44" s="443">
        <f t="shared" si="0"/>
        <v>3</v>
      </c>
    </row>
    <row r="45" spans="1:18">
      <c r="A45" s="464" t="s">
        <v>90</v>
      </c>
      <c r="B45" s="470"/>
      <c r="C45" s="484">
        <v>7</v>
      </c>
      <c r="D45" s="515">
        <v>14</v>
      </c>
      <c r="E45" s="532">
        <v>21</v>
      </c>
      <c r="F45" s="534">
        <v>28</v>
      </c>
      <c r="G45" s="478"/>
      <c r="H45" s="479"/>
      <c r="I45" s="477" t="s">
        <v>790</v>
      </c>
      <c r="J45" s="493"/>
      <c r="K45" s="461" t="s">
        <v>13</v>
      </c>
      <c r="L45" s="491">
        <v>15</v>
      </c>
      <c r="M45" s="491"/>
      <c r="N45" s="491"/>
      <c r="O45" s="494"/>
    </row>
    <row r="46" spans="1:18">
      <c r="A46" s="464" t="s">
        <v>91</v>
      </c>
      <c r="B46" s="484">
        <v>1</v>
      </c>
      <c r="C46" s="480">
        <v>8</v>
      </c>
      <c r="D46" s="480">
        <v>15</v>
      </c>
      <c r="E46" s="485">
        <v>22</v>
      </c>
      <c r="F46" s="473">
        <v>29</v>
      </c>
      <c r="G46" s="478"/>
      <c r="H46" s="479"/>
      <c r="M46" s="491"/>
      <c r="N46" s="491"/>
      <c r="O46" s="494"/>
      <c r="R46" s="443">
        <f>SUM(R8:R45)</f>
        <v>19</v>
      </c>
    </row>
    <row r="47" spans="1:18">
      <c r="A47" s="481"/>
      <c r="B47" s="491"/>
      <c r="C47" s="491"/>
      <c r="D47" s="491"/>
      <c r="E47" s="491"/>
      <c r="F47" s="491"/>
      <c r="G47" s="491"/>
      <c r="H47" s="492"/>
      <c r="I47" s="491"/>
      <c r="J47" s="493"/>
      <c r="K47" s="491"/>
      <c r="L47" s="491"/>
      <c r="M47" s="491"/>
      <c r="N47" s="491"/>
      <c r="O47" s="494"/>
    </row>
    <row r="48" spans="1:18">
      <c r="A48" s="460" t="s">
        <v>801</v>
      </c>
      <c r="B48" s="461"/>
      <c r="C48" s="461"/>
      <c r="D48" s="461"/>
      <c r="E48" s="461"/>
      <c r="F48" s="461"/>
      <c r="G48" s="491"/>
      <c r="H48" s="492"/>
      <c r="I48" s="491"/>
      <c r="J48" s="461"/>
      <c r="K48" s="491"/>
      <c r="L48" s="491"/>
      <c r="M48" s="491"/>
      <c r="N48" s="491"/>
      <c r="O48" s="494"/>
    </row>
    <row r="49" spans="1:18">
      <c r="A49" s="464" t="s">
        <v>85</v>
      </c>
      <c r="B49" s="465"/>
      <c r="C49" s="466">
        <v>7</v>
      </c>
      <c r="D49" s="466">
        <v>14</v>
      </c>
      <c r="E49" s="466">
        <v>21</v>
      </c>
      <c r="F49" s="466">
        <v>28</v>
      </c>
      <c r="G49" s="491"/>
      <c r="H49" s="492"/>
      <c r="I49" s="493" t="s">
        <v>802</v>
      </c>
      <c r="J49" s="461"/>
      <c r="K49" s="491"/>
      <c r="L49" s="491"/>
      <c r="M49" s="491"/>
      <c r="N49" s="491"/>
      <c r="O49" s="494"/>
    </row>
    <row r="50" spans="1:18">
      <c r="A50" s="464" t="s">
        <v>86</v>
      </c>
      <c r="B50" s="497">
        <v>1</v>
      </c>
      <c r="C50" s="498">
        <v>8</v>
      </c>
      <c r="D50" s="480">
        <v>15</v>
      </c>
      <c r="E50" s="471">
        <v>22</v>
      </c>
      <c r="F50" s="471">
        <v>29</v>
      </c>
      <c r="G50" s="491"/>
      <c r="H50" s="492"/>
      <c r="I50" s="493" t="s">
        <v>803</v>
      </c>
      <c r="J50" s="461"/>
      <c r="K50" s="491"/>
      <c r="L50" s="491"/>
      <c r="M50" s="491"/>
      <c r="N50" s="491"/>
      <c r="O50" s="494"/>
    </row>
    <row r="51" spans="1:18">
      <c r="A51" s="464" t="s">
        <v>87</v>
      </c>
      <c r="B51" s="497">
        <v>2</v>
      </c>
      <c r="C51" s="498">
        <v>9</v>
      </c>
      <c r="D51" s="480">
        <v>16</v>
      </c>
      <c r="E51" s="471">
        <v>23</v>
      </c>
      <c r="F51" s="471">
        <v>30</v>
      </c>
      <c r="G51" s="491"/>
      <c r="H51" s="492"/>
      <c r="I51" s="493" t="s">
        <v>804</v>
      </c>
      <c r="J51" s="461"/>
      <c r="K51" s="491"/>
      <c r="L51" s="491"/>
      <c r="M51" s="491"/>
      <c r="N51" s="491"/>
      <c r="O51" s="494"/>
    </row>
    <row r="52" spans="1:18">
      <c r="A52" s="464" t="s">
        <v>88</v>
      </c>
      <c r="B52" s="498">
        <v>3</v>
      </c>
      <c r="C52" s="498">
        <v>10</v>
      </c>
      <c r="D52" s="480">
        <v>17</v>
      </c>
      <c r="E52" s="471">
        <v>24</v>
      </c>
      <c r="F52" s="471">
        <v>31</v>
      </c>
      <c r="G52" s="491"/>
      <c r="H52" s="492"/>
      <c r="I52" s="493" t="s">
        <v>805</v>
      </c>
      <c r="J52" s="461"/>
      <c r="K52" s="491"/>
      <c r="L52" s="491"/>
      <c r="M52" s="491"/>
      <c r="N52" s="491"/>
      <c r="O52" s="494"/>
    </row>
    <row r="53" spans="1:18">
      <c r="A53" s="464" t="s">
        <v>89</v>
      </c>
      <c r="B53" s="498">
        <v>4</v>
      </c>
      <c r="C53" s="480">
        <v>11</v>
      </c>
      <c r="D53" s="480">
        <v>18</v>
      </c>
      <c r="E53" s="488">
        <v>25</v>
      </c>
      <c r="F53" s="470"/>
      <c r="G53" s="491"/>
      <c r="H53" s="492"/>
      <c r="I53" s="461" t="s">
        <v>806</v>
      </c>
      <c r="J53" s="461"/>
      <c r="K53" s="491"/>
      <c r="L53" s="491"/>
      <c r="M53" s="491"/>
      <c r="N53" s="491"/>
      <c r="O53" s="494"/>
    </row>
    <row r="54" spans="1:18">
      <c r="A54" s="464" t="s">
        <v>90</v>
      </c>
      <c r="B54" s="498">
        <v>5</v>
      </c>
      <c r="C54" s="480">
        <v>12</v>
      </c>
      <c r="D54" s="499">
        <v>19</v>
      </c>
      <c r="E54" s="488">
        <v>26</v>
      </c>
      <c r="F54" s="470"/>
      <c r="G54" s="491"/>
      <c r="H54" s="492"/>
      <c r="I54" s="461" t="s">
        <v>807</v>
      </c>
      <c r="J54" s="461"/>
      <c r="K54" s="491"/>
      <c r="L54" s="491"/>
      <c r="M54" s="491"/>
      <c r="N54" s="491"/>
      <c r="O54" s="494"/>
    </row>
    <row r="55" spans="1:18">
      <c r="A55" s="464" t="s">
        <v>91</v>
      </c>
      <c r="B55" s="480">
        <v>6</v>
      </c>
      <c r="C55" s="480">
        <v>13</v>
      </c>
      <c r="D55" s="480">
        <v>20</v>
      </c>
      <c r="E55" s="480">
        <v>27</v>
      </c>
      <c r="F55" s="470"/>
      <c r="G55" s="491"/>
      <c r="H55" s="492"/>
      <c r="I55" s="477" t="s">
        <v>789</v>
      </c>
      <c r="J55" s="461"/>
      <c r="K55" s="461" t="s">
        <v>13</v>
      </c>
      <c r="L55" s="491">
        <v>3</v>
      </c>
      <c r="M55" s="491"/>
      <c r="N55" s="491"/>
      <c r="O55" s="494"/>
      <c r="R55" s="443">
        <f t="shared" si="0"/>
        <v>3</v>
      </c>
    </row>
    <row r="56" spans="1:18">
      <c r="A56" s="481"/>
      <c r="B56" s="500"/>
      <c r="C56" s="500"/>
      <c r="D56" s="500"/>
      <c r="E56" s="500"/>
      <c r="F56" s="500"/>
      <c r="G56" s="491"/>
      <c r="H56" s="492"/>
      <c r="I56" s="477" t="s">
        <v>790</v>
      </c>
      <c r="J56" s="461"/>
      <c r="K56" s="461" t="s">
        <v>13</v>
      </c>
      <c r="L56" s="491">
        <v>15</v>
      </c>
      <c r="M56" s="491"/>
      <c r="N56" s="491"/>
      <c r="O56" s="494"/>
    </row>
    <row r="57" spans="1:18">
      <c r="A57" s="460" t="s">
        <v>808</v>
      </c>
      <c r="B57" s="461"/>
      <c r="C57" s="461"/>
      <c r="D57" s="461"/>
      <c r="E57" s="461"/>
      <c r="F57" s="461"/>
      <c r="G57" s="461"/>
      <c r="H57" s="462"/>
      <c r="I57" s="461"/>
      <c r="J57" s="461"/>
      <c r="K57" s="461"/>
      <c r="L57" s="461"/>
      <c r="M57" s="461"/>
      <c r="N57" s="461"/>
      <c r="O57" s="463"/>
    </row>
    <row r="58" spans="1:18">
      <c r="A58" s="464" t="s">
        <v>85</v>
      </c>
      <c r="B58" s="465"/>
      <c r="C58" s="466">
        <v>4</v>
      </c>
      <c r="D58" s="466">
        <v>11</v>
      </c>
      <c r="E58" s="467">
        <v>18</v>
      </c>
      <c r="F58" s="468">
        <v>25</v>
      </c>
      <c r="G58" s="461"/>
      <c r="H58" s="469"/>
      <c r="I58" s="477" t="s">
        <v>809</v>
      </c>
      <c r="J58" s="477"/>
      <c r="K58" s="477"/>
      <c r="L58" s="477"/>
      <c r="M58" s="477"/>
      <c r="N58" s="477"/>
      <c r="O58" s="501"/>
    </row>
    <row r="59" spans="1:18">
      <c r="A59" s="464" t="s">
        <v>86</v>
      </c>
      <c r="B59" s="470"/>
      <c r="C59" s="480">
        <v>5</v>
      </c>
      <c r="D59" s="480">
        <v>12</v>
      </c>
      <c r="E59" s="473">
        <v>19</v>
      </c>
      <c r="F59" s="474">
        <v>26</v>
      </c>
      <c r="G59" s="461"/>
      <c r="H59" s="475"/>
      <c r="I59" s="477" t="s">
        <v>810</v>
      </c>
      <c r="J59" s="477"/>
      <c r="K59" s="477"/>
      <c r="L59" s="477"/>
      <c r="M59" s="477"/>
      <c r="N59" s="477"/>
      <c r="O59" s="501"/>
    </row>
    <row r="60" spans="1:18">
      <c r="A60" s="464" t="s">
        <v>87</v>
      </c>
      <c r="B60" s="470"/>
      <c r="C60" s="480">
        <v>6</v>
      </c>
      <c r="D60" s="480">
        <v>13</v>
      </c>
      <c r="E60" s="473">
        <v>20</v>
      </c>
      <c r="F60" s="474">
        <v>27</v>
      </c>
      <c r="G60" s="461"/>
      <c r="H60" s="475"/>
      <c r="I60" s="461" t="s">
        <v>811</v>
      </c>
      <c r="J60" s="461"/>
      <c r="K60" s="461"/>
      <c r="L60" s="461"/>
      <c r="M60" s="461"/>
      <c r="N60" s="461"/>
      <c r="O60" s="463"/>
    </row>
    <row r="61" spans="1:18">
      <c r="A61" s="464" t="s">
        <v>88</v>
      </c>
      <c r="B61" s="470"/>
      <c r="C61" s="480">
        <v>7</v>
      </c>
      <c r="D61" s="480">
        <v>14</v>
      </c>
      <c r="E61" s="473">
        <v>21</v>
      </c>
      <c r="F61" s="474">
        <v>28</v>
      </c>
      <c r="G61" s="461"/>
      <c r="H61" s="475"/>
      <c r="I61" s="489"/>
      <c r="J61" s="461"/>
      <c r="K61" s="461"/>
      <c r="L61" s="461"/>
      <c r="M61" s="461"/>
      <c r="N61" s="461"/>
      <c r="O61" s="463"/>
    </row>
    <row r="62" spans="1:18">
      <c r="A62" s="464" t="s">
        <v>89</v>
      </c>
      <c r="B62" s="488">
        <v>1</v>
      </c>
      <c r="C62" s="480">
        <v>8</v>
      </c>
      <c r="D62" s="480">
        <v>15</v>
      </c>
      <c r="E62" s="473">
        <v>22</v>
      </c>
      <c r="F62" s="474">
        <v>29</v>
      </c>
      <c r="G62" s="461"/>
      <c r="H62" s="475"/>
      <c r="I62" s="489"/>
      <c r="J62" s="461"/>
      <c r="K62" s="461"/>
      <c r="L62" s="461"/>
      <c r="M62" s="461"/>
      <c r="N62" s="461"/>
      <c r="O62" s="463"/>
    </row>
    <row r="63" spans="1:18">
      <c r="A63" s="464" t="s">
        <v>90</v>
      </c>
      <c r="B63" s="472">
        <v>2</v>
      </c>
      <c r="C63" s="480">
        <v>9</v>
      </c>
      <c r="D63" s="488">
        <v>16</v>
      </c>
      <c r="E63" s="473">
        <v>23</v>
      </c>
      <c r="F63" s="474">
        <v>30</v>
      </c>
      <c r="G63" s="461"/>
      <c r="H63" s="475"/>
      <c r="I63" s="477" t="s">
        <v>789</v>
      </c>
      <c r="J63" s="461"/>
      <c r="K63" s="461" t="s">
        <v>13</v>
      </c>
      <c r="L63" s="461">
        <v>4</v>
      </c>
      <c r="M63" s="461"/>
      <c r="N63" s="461"/>
      <c r="O63" s="463"/>
      <c r="R63" s="443">
        <f t="shared" si="0"/>
        <v>4</v>
      </c>
    </row>
    <row r="64" spans="1:18">
      <c r="A64" s="464" t="s">
        <v>91</v>
      </c>
      <c r="B64" s="480">
        <v>3</v>
      </c>
      <c r="C64" s="480">
        <v>10</v>
      </c>
      <c r="D64" s="480">
        <v>17</v>
      </c>
      <c r="E64" s="473">
        <v>24</v>
      </c>
      <c r="F64" s="474">
        <v>31</v>
      </c>
      <c r="G64" s="461"/>
      <c r="H64" s="475"/>
      <c r="I64" s="477" t="s">
        <v>790</v>
      </c>
      <c r="J64" s="461"/>
      <c r="K64" s="461" t="s">
        <v>13</v>
      </c>
      <c r="L64" s="461">
        <v>20</v>
      </c>
      <c r="M64" s="461"/>
      <c r="N64" s="461"/>
      <c r="O64" s="463"/>
    </row>
    <row r="65" spans="1:18">
      <c r="A65" s="481"/>
      <c r="B65" s="461"/>
      <c r="C65" s="461"/>
      <c r="D65" s="461"/>
      <c r="E65" s="461"/>
      <c r="F65" s="461"/>
      <c r="G65" s="461"/>
      <c r="H65" s="462"/>
      <c r="I65" s="489"/>
      <c r="J65" s="461"/>
      <c r="K65" s="461"/>
      <c r="L65" s="461"/>
      <c r="M65" s="461"/>
      <c r="N65" s="461"/>
      <c r="O65" s="502"/>
    </row>
    <row r="66" spans="1:18">
      <c r="A66" s="460" t="s">
        <v>812</v>
      </c>
      <c r="B66" s="461"/>
      <c r="C66" s="461"/>
      <c r="D66" s="461"/>
      <c r="E66" s="461"/>
      <c r="F66" s="461"/>
      <c r="G66" s="461"/>
      <c r="H66" s="462"/>
      <c r="I66" s="461"/>
      <c r="J66" s="461"/>
      <c r="K66" s="461"/>
      <c r="L66" s="461"/>
      <c r="M66" s="461"/>
      <c r="N66" s="461"/>
      <c r="O66" s="463"/>
    </row>
    <row r="67" spans="1:18">
      <c r="A67" s="464" t="s">
        <v>85</v>
      </c>
      <c r="B67" s="503">
        <v>1</v>
      </c>
      <c r="C67" s="504">
        <v>8</v>
      </c>
      <c r="D67" s="466">
        <v>15</v>
      </c>
      <c r="E67" s="466">
        <v>22</v>
      </c>
      <c r="F67" s="461"/>
      <c r="G67" s="461"/>
      <c r="H67" s="462"/>
      <c r="I67" s="477" t="s">
        <v>813</v>
      </c>
      <c r="J67" s="461"/>
      <c r="K67" s="461"/>
      <c r="L67" s="461"/>
      <c r="M67" s="461"/>
      <c r="N67" s="461"/>
      <c r="O67" s="463"/>
    </row>
    <row r="68" spans="1:18">
      <c r="A68" s="464" t="s">
        <v>86</v>
      </c>
      <c r="B68" s="505">
        <v>2</v>
      </c>
      <c r="C68" s="535">
        <v>9</v>
      </c>
      <c r="D68" s="480">
        <v>16</v>
      </c>
      <c r="E68" s="480">
        <v>23</v>
      </c>
      <c r="F68" s="461"/>
      <c r="G68" s="461"/>
      <c r="H68" s="462"/>
      <c r="I68" s="477" t="s">
        <v>814</v>
      </c>
      <c r="J68" s="461"/>
      <c r="K68" s="461"/>
      <c r="L68" s="461"/>
      <c r="M68" s="461"/>
      <c r="N68" s="461"/>
      <c r="O68" s="463"/>
    </row>
    <row r="69" spans="1:18">
      <c r="A69" s="464" t="s">
        <v>87</v>
      </c>
      <c r="B69" s="505">
        <v>3</v>
      </c>
      <c r="C69" s="535">
        <v>10</v>
      </c>
      <c r="D69" s="488">
        <v>17</v>
      </c>
      <c r="E69" s="480">
        <v>24</v>
      </c>
      <c r="F69" s="461"/>
      <c r="G69" s="461"/>
      <c r="H69" s="462"/>
      <c r="I69" s="461"/>
      <c r="J69" s="461"/>
      <c r="K69" s="461"/>
      <c r="L69" s="461"/>
      <c r="M69" s="461"/>
      <c r="N69" s="461"/>
      <c r="O69" s="463"/>
    </row>
    <row r="70" spans="1:18">
      <c r="A70" s="464" t="s">
        <v>88</v>
      </c>
      <c r="B70" s="505">
        <v>4</v>
      </c>
      <c r="C70" s="535">
        <v>11</v>
      </c>
      <c r="D70" s="471">
        <v>18</v>
      </c>
      <c r="E70" s="480">
        <v>25</v>
      </c>
      <c r="F70" s="461"/>
      <c r="G70" s="461"/>
      <c r="H70" s="462"/>
      <c r="I70" s="461"/>
      <c r="J70" s="461"/>
      <c r="K70" s="461"/>
      <c r="L70" s="461"/>
      <c r="M70" s="461"/>
      <c r="N70" s="461"/>
      <c r="O70" s="463"/>
    </row>
    <row r="71" spans="1:18">
      <c r="A71" s="464" t="s">
        <v>89</v>
      </c>
      <c r="B71" s="505">
        <v>5</v>
      </c>
      <c r="C71" s="535">
        <v>12</v>
      </c>
      <c r="D71" s="471">
        <v>19</v>
      </c>
      <c r="E71" s="480">
        <v>26</v>
      </c>
      <c r="F71" s="461"/>
      <c r="G71" s="461"/>
      <c r="H71" s="462"/>
      <c r="I71" s="461"/>
      <c r="J71" s="461"/>
      <c r="K71" s="461"/>
      <c r="L71" s="461"/>
      <c r="M71" s="461"/>
      <c r="N71" s="461"/>
      <c r="O71" s="463"/>
    </row>
    <row r="72" spans="1:18">
      <c r="A72" s="506" t="s">
        <v>90</v>
      </c>
      <c r="B72" s="505">
        <v>6</v>
      </c>
      <c r="C72" s="536">
        <v>13</v>
      </c>
      <c r="D72" s="507">
        <v>20</v>
      </c>
      <c r="E72" s="507">
        <v>27</v>
      </c>
      <c r="F72" s="461"/>
      <c r="G72" s="461"/>
      <c r="H72" s="462"/>
      <c r="I72" s="477" t="s">
        <v>789</v>
      </c>
      <c r="J72" s="461"/>
      <c r="K72" s="461" t="s">
        <v>13</v>
      </c>
      <c r="L72" s="461">
        <v>4</v>
      </c>
      <c r="M72" s="461"/>
      <c r="N72" s="461"/>
      <c r="O72" s="463"/>
      <c r="R72" s="443">
        <f t="shared" si="0"/>
        <v>4</v>
      </c>
    </row>
    <row r="73" spans="1:18">
      <c r="A73" s="510" t="s">
        <v>91</v>
      </c>
      <c r="B73" s="505">
        <v>7</v>
      </c>
      <c r="C73" s="537">
        <v>14</v>
      </c>
      <c r="D73" s="474">
        <v>21</v>
      </c>
      <c r="E73" s="474">
        <v>28</v>
      </c>
      <c r="F73" s="461"/>
      <c r="G73" s="461"/>
      <c r="H73" s="462"/>
      <c r="I73" s="477" t="s">
        <v>790</v>
      </c>
      <c r="J73" s="461"/>
      <c r="K73" s="461" t="s">
        <v>13</v>
      </c>
      <c r="L73" s="461">
        <v>16</v>
      </c>
      <c r="M73" s="461"/>
      <c r="N73" s="461"/>
      <c r="O73" s="463"/>
    </row>
    <row r="74" spans="1:18">
      <c r="A74" s="481"/>
      <c r="B74" s="489"/>
      <c r="C74" s="489"/>
      <c r="D74" s="489"/>
      <c r="E74" s="489"/>
      <c r="F74" s="461"/>
      <c r="G74" s="461"/>
      <c r="H74" s="462"/>
      <c r="I74" s="461"/>
      <c r="J74" s="461"/>
      <c r="K74" s="461"/>
      <c r="L74" s="461"/>
      <c r="M74" s="461"/>
      <c r="N74" s="461"/>
      <c r="O74" s="463"/>
    </row>
    <row r="75" spans="1:18">
      <c r="A75" s="460" t="s">
        <v>815</v>
      </c>
      <c r="B75" s="461"/>
      <c r="C75" s="461"/>
      <c r="D75" s="461"/>
      <c r="E75" s="461"/>
      <c r="F75" s="461"/>
      <c r="G75" s="461"/>
      <c r="H75" s="462"/>
      <c r="I75" s="461"/>
      <c r="J75" s="461"/>
      <c r="K75" s="461"/>
      <c r="L75" s="461"/>
      <c r="M75" s="461"/>
      <c r="N75" s="461"/>
      <c r="O75" s="463"/>
    </row>
    <row r="76" spans="1:18">
      <c r="A76" s="464" t="s">
        <v>85</v>
      </c>
      <c r="B76" s="466">
        <v>1</v>
      </c>
      <c r="C76" s="466">
        <v>8</v>
      </c>
      <c r="D76" s="466">
        <v>15</v>
      </c>
      <c r="E76" s="466">
        <v>22</v>
      </c>
      <c r="F76" s="466">
        <v>29</v>
      </c>
      <c r="G76" s="461"/>
      <c r="H76" s="462"/>
      <c r="I76" s="477" t="s">
        <v>816</v>
      </c>
      <c r="J76" s="461"/>
      <c r="K76" s="461"/>
      <c r="L76" s="461"/>
      <c r="M76" s="461"/>
      <c r="N76" s="461"/>
      <c r="O76" s="463"/>
    </row>
    <row r="77" spans="1:18">
      <c r="A77" s="464" t="s">
        <v>86</v>
      </c>
      <c r="B77" s="480">
        <v>2</v>
      </c>
      <c r="C77" s="480">
        <v>9</v>
      </c>
      <c r="D77" s="471">
        <v>16</v>
      </c>
      <c r="E77" s="471">
        <v>23</v>
      </c>
      <c r="F77" s="539">
        <v>30</v>
      </c>
      <c r="G77" s="461"/>
      <c r="H77" s="462"/>
      <c r="I77" s="477" t="s">
        <v>817</v>
      </c>
      <c r="J77" s="461"/>
      <c r="K77" s="461"/>
      <c r="L77" s="461"/>
      <c r="M77" s="461"/>
      <c r="N77" s="461"/>
      <c r="O77" s="463"/>
    </row>
    <row r="78" spans="1:18">
      <c r="A78" s="464" t="s">
        <v>87</v>
      </c>
      <c r="B78" s="480">
        <v>3</v>
      </c>
      <c r="C78" s="480">
        <v>10</v>
      </c>
      <c r="D78" s="471">
        <v>17</v>
      </c>
      <c r="E78" s="471">
        <v>24</v>
      </c>
      <c r="F78" s="480">
        <v>31</v>
      </c>
      <c r="G78" s="461"/>
      <c r="H78" s="462"/>
      <c r="I78" s="461" t="s">
        <v>818</v>
      </c>
      <c r="J78" s="461"/>
      <c r="K78" s="461"/>
      <c r="L78" s="461"/>
      <c r="M78" s="461"/>
      <c r="N78" s="461"/>
      <c r="O78" s="463"/>
    </row>
    <row r="79" spans="1:18">
      <c r="A79" s="464" t="s">
        <v>88</v>
      </c>
      <c r="B79" s="480">
        <v>4</v>
      </c>
      <c r="C79" s="480">
        <v>11</v>
      </c>
      <c r="D79" s="471">
        <v>18</v>
      </c>
      <c r="E79" s="471">
        <v>25</v>
      </c>
      <c r="F79" s="470"/>
      <c r="G79" s="461"/>
      <c r="H79" s="462"/>
      <c r="I79" s="461" t="s">
        <v>819</v>
      </c>
      <c r="J79" s="461"/>
      <c r="K79" s="461"/>
      <c r="L79" s="461"/>
      <c r="M79" s="461"/>
      <c r="N79" s="461"/>
      <c r="O79" s="463"/>
    </row>
    <row r="80" spans="1:18">
      <c r="A80" s="464" t="s">
        <v>89</v>
      </c>
      <c r="B80" s="480">
        <v>5</v>
      </c>
      <c r="C80" s="480">
        <v>12</v>
      </c>
      <c r="D80" s="488">
        <v>19</v>
      </c>
      <c r="E80" s="471">
        <v>26</v>
      </c>
      <c r="F80" s="470"/>
      <c r="G80" s="461"/>
      <c r="H80" s="462"/>
      <c r="I80" s="540" t="s">
        <v>1005</v>
      </c>
      <c r="J80" s="540"/>
      <c r="K80" s="540"/>
      <c r="L80" s="461"/>
      <c r="M80" s="461"/>
      <c r="N80" s="461"/>
      <c r="O80" s="463"/>
    </row>
    <row r="81" spans="1:18">
      <c r="A81" s="506" t="s">
        <v>90</v>
      </c>
      <c r="B81" s="507">
        <v>6</v>
      </c>
      <c r="C81" s="507">
        <v>13</v>
      </c>
      <c r="D81" s="508">
        <v>20</v>
      </c>
      <c r="E81" s="509">
        <v>27</v>
      </c>
      <c r="F81" s="470"/>
      <c r="G81" s="461"/>
      <c r="H81" s="462"/>
      <c r="I81" s="477" t="s">
        <v>789</v>
      </c>
      <c r="J81" s="461"/>
      <c r="K81" s="461" t="s">
        <v>13</v>
      </c>
      <c r="L81" s="461">
        <v>2</v>
      </c>
      <c r="M81" s="461"/>
      <c r="N81" s="461"/>
      <c r="O81" s="463"/>
      <c r="R81" s="443">
        <f t="shared" ref="R81:R117" si="1">L81</f>
        <v>2</v>
      </c>
    </row>
    <row r="82" spans="1:18">
      <c r="A82" s="510" t="s">
        <v>91</v>
      </c>
      <c r="B82" s="474">
        <v>7</v>
      </c>
      <c r="C82" s="474">
        <v>14</v>
      </c>
      <c r="D82" s="511">
        <v>21</v>
      </c>
      <c r="E82" s="474">
        <v>28</v>
      </c>
      <c r="F82" s="512"/>
      <c r="G82" s="461"/>
      <c r="H82" s="462"/>
      <c r="I82" s="477" t="s">
        <v>790</v>
      </c>
      <c r="J82" s="461"/>
      <c r="K82" s="461" t="s">
        <v>13</v>
      </c>
      <c r="L82" s="461">
        <v>12</v>
      </c>
      <c r="M82" s="461"/>
      <c r="N82" s="461"/>
      <c r="O82" s="463"/>
    </row>
    <row r="83" spans="1:18">
      <c r="A83" s="481"/>
      <c r="B83" s="489"/>
      <c r="C83" s="489"/>
      <c r="D83" s="489"/>
      <c r="E83" s="489"/>
      <c r="F83" s="513"/>
      <c r="G83" s="461"/>
      <c r="H83" s="462"/>
      <c r="I83" s="461"/>
      <c r="J83" s="461"/>
      <c r="K83" s="461"/>
      <c r="L83" s="461"/>
      <c r="M83" s="461"/>
      <c r="N83" s="461"/>
      <c r="O83" s="463"/>
    </row>
    <row r="84" spans="1:18">
      <c r="A84" s="487">
        <v>46113</v>
      </c>
      <c r="B84" s="461"/>
      <c r="C84" s="461"/>
      <c r="D84" s="461"/>
      <c r="E84" s="461"/>
      <c r="F84" s="461"/>
      <c r="G84" s="461"/>
      <c r="H84" s="462"/>
      <c r="I84" s="461"/>
      <c r="J84" s="461"/>
      <c r="K84" s="461"/>
      <c r="L84" s="461"/>
      <c r="M84" s="461"/>
      <c r="N84" s="461"/>
      <c r="O84" s="463"/>
    </row>
    <row r="85" spans="1:18">
      <c r="A85" s="464" t="s">
        <v>85</v>
      </c>
      <c r="B85" s="514"/>
      <c r="C85" s="466">
        <v>5</v>
      </c>
      <c r="D85" s="466">
        <v>12</v>
      </c>
      <c r="E85" s="466">
        <v>19</v>
      </c>
      <c r="F85" s="466">
        <v>26</v>
      </c>
      <c r="G85" s="461"/>
      <c r="H85" s="469"/>
      <c r="I85" s="477" t="s">
        <v>820</v>
      </c>
      <c r="J85" s="461"/>
      <c r="K85" s="461"/>
      <c r="L85" s="461"/>
      <c r="M85" s="461"/>
      <c r="N85" s="461"/>
      <c r="O85" s="463"/>
    </row>
    <row r="86" spans="1:18">
      <c r="A86" s="464" t="s">
        <v>86</v>
      </c>
      <c r="B86" s="512"/>
      <c r="C86" s="488">
        <v>6</v>
      </c>
      <c r="D86" s="515">
        <v>13</v>
      </c>
      <c r="E86" s="516">
        <v>20</v>
      </c>
      <c r="F86" s="480">
        <v>27</v>
      </c>
      <c r="G86" s="461"/>
      <c r="H86" s="475"/>
      <c r="I86" s="477" t="s">
        <v>821</v>
      </c>
      <c r="J86" s="461"/>
      <c r="K86" s="461"/>
      <c r="L86" s="461"/>
      <c r="M86" s="461"/>
      <c r="N86" s="461"/>
      <c r="O86" s="463"/>
    </row>
    <row r="87" spans="1:18">
      <c r="A87" s="464" t="s">
        <v>87</v>
      </c>
      <c r="B87" s="512"/>
      <c r="C87" s="515">
        <v>7</v>
      </c>
      <c r="D87" s="515">
        <v>14</v>
      </c>
      <c r="E87" s="516">
        <v>21</v>
      </c>
      <c r="F87" s="480">
        <v>28</v>
      </c>
      <c r="G87" s="461"/>
      <c r="H87" s="475"/>
      <c r="I87" s="477" t="s">
        <v>822</v>
      </c>
      <c r="J87" s="461"/>
      <c r="K87" s="461"/>
      <c r="L87" s="461"/>
      <c r="M87" s="461"/>
      <c r="N87" s="461"/>
      <c r="O87" s="463"/>
    </row>
    <row r="88" spans="1:18">
      <c r="A88" s="464" t="s">
        <v>88</v>
      </c>
      <c r="B88" s="517">
        <v>1</v>
      </c>
      <c r="C88" s="515">
        <v>8</v>
      </c>
      <c r="D88" s="515">
        <v>15</v>
      </c>
      <c r="E88" s="516">
        <v>22</v>
      </c>
      <c r="F88" s="480">
        <v>29</v>
      </c>
      <c r="G88" s="461"/>
      <c r="H88" s="475"/>
      <c r="I88" s="477" t="s">
        <v>823</v>
      </c>
      <c r="J88" s="461"/>
      <c r="K88" s="461"/>
      <c r="L88" s="461"/>
      <c r="M88" s="461"/>
      <c r="N88" s="461"/>
      <c r="O88" s="463"/>
    </row>
    <row r="89" spans="1:18">
      <c r="A89" s="464" t="s">
        <v>89</v>
      </c>
      <c r="B89" s="517">
        <v>2</v>
      </c>
      <c r="C89" s="515">
        <v>9</v>
      </c>
      <c r="D89" s="515">
        <v>16</v>
      </c>
      <c r="E89" s="516">
        <v>23</v>
      </c>
      <c r="F89" s="480">
        <v>30</v>
      </c>
      <c r="G89" s="461"/>
      <c r="H89" s="475"/>
      <c r="I89" s="461"/>
      <c r="J89" s="461"/>
      <c r="K89" s="461"/>
      <c r="L89" s="461"/>
      <c r="M89" s="461"/>
      <c r="N89" s="461"/>
      <c r="O89" s="463"/>
    </row>
    <row r="90" spans="1:18">
      <c r="A90" s="464" t="s">
        <v>90</v>
      </c>
      <c r="B90" s="518">
        <v>3</v>
      </c>
      <c r="C90" s="515">
        <v>10</v>
      </c>
      <c r="D90" s="515">
        <v>17</v>
      </c>
      <c r="E90" s="516">
        <v>24</v>
      </c>
      <c r="F90" s="470"/>
      <c r="G90" s="461"/>
      <c r="H90" s="479"/>
      <c r="I90" s="477" t="s">
        <v>789</v>
      </c>
      <c r="J90" s="461"/>
      <c r="K90" s="461" t="s">
        <v>13</v>
      </c>
      <c r="L90" s="461">
        <v>4</v>
      </c>
      <c r="M90" s="461"/>
      <c r="N90" s="461"/>
      <c r="O90" s="463"/>
      <c r="R90" s="443">
        <f t="shared" si="1"/>
        <v>4</v>
      </c>
    </row>
    <row r="91" spans="1:18">
      <c r="A91" s="464" t="s">
        <v>91</v>
      </c>
      <c r="B91" s="517">
        <v>4</v>
      </c>
      <c r="C91" s="480">
        <v>11</v>
      </c>
      <c r="D91" s="480">
        <v>18</v>
      </c>
      <c r="E91" s="480">
        <v>25</v>
      </c>
      <c r="F91" s="470"/>
      <c r="G91" s="519"/>
      <c r="H91" s="479"/>
      <c r="I91" s="477" t="s">
        <v>790</v>
      </c>
      <c r="J91" s="461"/>
      <c r="K91" s="461" t="s">
        <v>13</v>
      </c>
      <c r="L91" s="461">
        <v>15</v>
      </c>
      <c r="M91" s="461"/>
      <c r="N91" s="461"/>
      <c r="O91" s="463"/>
    </row>
    <row r="92" spans="1:18">
      <c r="A92" s="481"/>
      <c r="B92" s="584" t="s">
        <v>824</v>
      </c>
      <c r="C92" s="584"/>
      <c r="D92" s="584"/>
      <c r="E92" s="584"/>
      <c r="F92" s="584"/>
      <c r="G92" s="585"/>
      <c r="H92" s="479"/>
      <c r="I92" s="520"/>
      <c r="J92" s="461"/>
      <c r="K92" s="461"/>
      <c r="L92" s="461"/>
      <c r="M92" s="461"/>
      <c r="N92" s="461"/>
      <c r="O92" s="463"/>
    </row>
    <row r="93" spans="1:18">
      <c r="A93" s="460" t="s">
        <v>825</v>
      </c>
      <c r="B93" s="461"/>
      <c r="C93" s="461"/>
      <c r="D93" s="461"/>
      <c r="E93" s="461"/>
      <c r="F93" s="461"/>
      <c r="G93" s="461"/>
      <c r="H93" s="462"/>
      <c r="I93" s="461"/>
      <c r="J93" s="461"/>
      <c r="K93" s="461"/>
      <c r="L93" s="461"/>
      <c r="M93" s="461"/>
      <c r="N93" s="461"/>
      <c r="O93" s="463"/>
    </row>
    <row r="94" spans="1:18">
      <c r="A94" s="464" t="s">
        <v>85</v>
      </c>
      <c r="B94" s="465"/>
      <c r="C94" s="466">
        <v>3</v>
      </c>
      <c r="D94" s="466">
        <v>10</v>
      </c>
      <c r="E94" s="466">
        <v>17</v>
      </c>
      <c r="F94" s="466">
        <v>24</v>
      </c>
      <c r="G94" s="482">
        <v>31</v>
      </c>
      <c r="H94" s="521"/>
      <c r="I94" s="493" t="s">
        <v>826</v>
      </c>
      <c r="J94" s="461"/>
      <c r="K94" s="461"/>
      <c r="L94" s="461"/>
      <c r="M94" s="461"/>
      <c r="N94" s="461"/>
      <c r="O94" s="463"/>
    </row>
    <row r="95" spans="1:18">
      <c r="A95" s="464" t="s">
        <v>86</v>
      </c>
      <c r="B95" s="470"/>
      <c r="C95" s="476">
        <v>4</v>
      </c>
      <c r="D95" s="480">
        <v>11</v>
      </c>
      <c r="E95" s="480">
        <v>18</v>
      </c>
      <c r="F95" s="480">
        <v>25</v>
      </c>
      <c r="G95" s="470"/>
      <c r="H95" s="479"/>
      <c r="I95" s="493" t="s">
        <v>827</v>
      </c>
      <c r="J95" s="461"/>
      <c r="K95" s="461"/>
      <c r="L95" s="461"/>
      <c r="M95" s="461"/>
      <c r="N95" s="461"/>
      <c r="O95" s="463"/>
    </row>
    <row r="96" spans="1:18">
      <c r="A96" s="464" t="s">
        <v>87</v>
      </c>
      <c r="B96" s="470"/>
      <c r="C96" s="480">
        <v>5</v>
      </c>
      <c r="D96" s="480">
        <v>12</v>
      </c>
      <c r="E96" s="480">
        <v>19</v>
      </c>
      <c r="F96" s="480">
        <v>26</v>
      </c>
      <c r="G96" s="470"/>
      <c r="H96" s="479"/>
      <c r="I96" s="461" t="s">
        <v>828</v>
      </c>
      <c r="J96" s="461"/>
      <c r="K96" s="461"/>
      <c r="L96" s="461"/>
      <c r="M96" s="461"/>
      <c r="N96" s="461"/>
      <c r="O96" s="463"/>
    </row>
    <row r="97" spans="1:18">
      <c r="A97" s="464" t="s">
        <v>88</v>
      </c>
      <c r="B97" s="470"/>
      <c r="C97" s="480">
        <v>6</v>
      </c>
      <c r="D97" s="480">
        <v>13</v>
      </c>
      <c r="E97" s="480">
        <v>20</v>
      </c>
      <c r="F97" s="488">
        <v>27</v>
      </c>
      <c r="G97" s="470"/>
      <c r="H97" s="479"/>
      <c r="I97" s="493" t="s">
        <v>829</v>
      </c>
      <c r="J97" s="461"/>
      <c r="K97" s="461"/>
      <c r="L97" s="461"/>
      <c r="M97" s="461"/>
      <c r="N97" s="461"/>
      <c r="O97" s="463"/>
    </row>
    <row r="98" spans="1:18">
      <c r="A98" s="464" t="s">
        <v>89</v>
      </c>
      <c r="B98" s="470"/>
      <c r="C98" s="480">
        <v>7</v>
      </c>
      <c r="D98" s="488">
        <v>14</v>
      </c>
      <c r="E98" s="480">
        <v>21</v>
      </c>
      <c r="F98" s="480">
        <v>28</v>
      </c>
      <c r="G98" s="470"/>
      <c r="H98" s="479"/>
      <c r="I98" s="493" t="s">
        <v>830</v>
      </c>
      <c r="J98" s="461"/>
      <c r="K98" s="461"/>
      <c r="L98" s="461"/>
      <c r="M98" s="461"/>
      <c r="N98" s="461"/>
      <c r="O98" s="463"/>
    </row>
    <row r="99" spans="1:18">
      <c r="A99" s="464" t="s">
        <v>90</v>
      </c>
      <c r="B99" s="488">
        <v>1</v>
      </c>
      <c r="C99" s="480">
        <v>8</v>
      </c>
      <c r="D99" s="480">
        <v>15</v>
      </c>
      <c r="E99" s="480">
        <v>22</v>
      </c>
      <c r="F99" s="480">
        <v>29</v>
      </c>
      <c r="G99" s="470"/>
      <c r="H99" s="479"/>
      <c r="I99" s="461" t="s">
        <v>831</v>
      </c>
      <c r="J99" s="461"/>
      <c r="K99" s="461"/>
      <c r="L99" s="461"/>
      <c r="M99" s="461"/>
      <c r="N99" s="461"/>
      <c r="O99" s="463"/>
    </row>
    <row r="100" spans="1:18">
      <c r="A100" s="464" t="s">
        <v>91</v>
      </c>
      <c r="B100" s="480">
        <v>2</v>
      </c>
      <c r="C100" s="480">
        <v>9</v>
      </c>
      <c r="D100" s="480">
        <v>16</v>
      </c>
      <c r="E100" s="480">
        <v>23</v>
      </c>
      <c r="F100" s="480">
        <v>30</v>
      </c>
      <c r="G100" s="470"/>
      <c r="H100" s="479"/>
      <c r="I100" s="477" t="s">
        <v>789</v>
      </c>
      <c r="J100" s="461"/>
      <c r="K100" s="461" t="s">
        <v>13</v>
      </c>
      <c r="L100" s="461">
        <v>4</v>
      </c>
      <c r="M100" s="461"/>
      <c r="N100" s="461"/>
      <c r="O100" s="463"/>
      <c r="R100" s="443">
        <f t="shared" si="1"/>
        <v>4</v>
      </c>
    </row>
    <row r="101" spans="1:18">
      <c r="A101" s="481"/>
      <c r="B101" s="520"/>
      <c r="C101" s="520"/>
      <c r="D101" s="520"/>
      <c r="E101" s="520"/>
      <c r="F101" s="520"/>
      <c r="G101" s="461"/>
      <c r="H101" s="462"/>
      <c r="I101" s="477" t="s">
        <v>790</v>
      </c>
      <c r="J101" s="461"/>
      <c r="K101" s="461" t="s">
        <v>13</v>
      </c>
      <c r="L101" s="461">
        <v>17</v>
      </c>
      <c r="M101" s="461"/>
      <c r="N101" s="461"/>
      <c r="O101" s="463"/>
    </row>
    <row r="102" spans="1:18">
      <c r="A102" s="460" t="s">
        <v>832</v>
      </c>
      <c r="B102" s="461"/>
      <c r="C102" s="461"/>
      <c r="D102" s="461"/>
      <c r="E102" s="461"/>
      <c r="F102" s="461"/>
      <c r="G102" s="461"/>
      <c r="H102" s="462"/>
      <c r="I102" s="461"/>
      <c r="J102" s="461"/>
      <c r="K102" s="461"/>
      <c r="L102" s="461"/>
      <c r="M102" s="461"/>
      <c r="N102" s="461"/>
      <c r="O102" s="463"/>
      <c r="R102" s="443">
        <f>SUM(R63:R100)</f>
        <v>18</v>
      </c>
    </row>
    <row r="103" spans="1:18">
      <c r="A103" s="464" t="s">
        <v>85</v>
      </c>
      <c r="B103" s="465"/>
      <c r="C103" s="466">
        <v>7</v>
      </c>
      <c r="D103" s="466">
        <v>14</v>
      </c>
      <c r="E103" s="466">
        <v>21</v>
      </c>
      <c r="F103" s="466">
        <v>28</v>
      </c>
      <c r="G103" s="461"/>
      <c r="H103" s="462"/>
      <c r="I103" s="493" t="s">
        <v>833</v>
      </c>
      <c r="J103" s="461"/>
      <c r="K103" s="461"/>
      <c r="L103" s="461"/>
      <c r="M103" s="461"/>
      <c r="N103" s="461"/>
      <c r="O103" s="463"/>
    </row>
    <row r="104" spans="1:18">
      <c r="A104" s="464" t="s">
        <v>86</v>
      </c>
      <c r="B104" s="488">
        <v>1</v>
      </c>
      <c r="C104" s="498">
        <v>8</v>
      </c>
      <c r="D104" s="498">
        <v>15</v>
      </c>
      <c r="E104" s="480">
        <v>22</v>
      </c>
      <c r="F104" s="471">
        <v>29</v>
      </c>
      <c r="G104" s="461"/>
      <c r="H104" s="462"/>
      <c r="I104" s="493" t="s">
        <v>834</v>
      </c>
      <c r="J104" s="461"/>
      <c r="K104" s="461"/>
      <c r="L104" s="461"/>
      <c r="M104" s="461"/>
      <c r="N104" s="461"/>
      <c r="O104" s="463"/>
    </row>
    <row r="105" spans="1:18">
      <c r="A105" s="464" t="s">
        <v>87</v>
      </c>
      <c r="B105" s="480">
        <v>2</v>
      </c>
      <c r="C105" s="498">
        <v>9</v>
      </c>
      <c r="D105" s="498">
        <v>16</v>
      </c>
      <c r="E105" s="480">
        <v>23</v>
      </c>
      <c r="F105" s="471">
        <v>30</v>
      </c>
      <c r="G105" s="461"/>
      <c r="H105" s="462"/>
      <c r="I105" s="493" t="s">
        <v>835</v>
      </c>
      <c r="J105" s="461"/>
      <c r="K105" s="461"/>
      <c r="L105" s="461"/>
      <c r="M105" s="461"/>
      <c r="N105" s="461"/>
      <c r="O105" s="463"/>
    </row>
    <row r="106" spans="1:18">
      <c r="A106" s="464" t="s">
        <v>88</v>
      </c>
      <c r="B106" s="480">
        <v>3</v>
      </c>
      <c r="C106" s="498">
        <v>10</v>
      </c>
      <c r="D106" s="488">
        <v>17</v>
      </c>
      <c r="E106" s="480">
        <v>24</v>
      </c>
      <c r="F106" s="470"/>
      <c r="G106" s="461"/>
      <c r="H106" s="462"/>
      <c r="I106" s="493" t="s">
        <v>836</v>
      </c>
      <c r="J106" s="461"/>
      <c r="K106" s="461"/>
      <c r="L106" s="461"/>
      <c r="M106" s="461"/>
      <c r="N106" s="461"/>
      <c r="O106" s="463"/>
    </row>
    <row r="107" spans="1:18">
      <c r="A107" s="464" t="s">
        <v>89</v>
      </c>
      <c r="B107" s="480">
        <v>4</v>
      </c>
      <c r="C107" s="498">
        <v>11</v>
      </c>
      <c r="D107" s="480">
        <v>18</v>
      </c>
      <c r="E107" s="480">
        <v>25</v>
      </c>
      <c r="F107" s="470"/>
      <c r="G107" s="461"/>
      <c r="H107" s="462"/>
      <c r="I107" s="461" t="s">
        <v>837</v>
      </c>
      <c r="J107" s="461"/>
      <c r="K107" s="461"/>
      <c r="L107" s="461"/>
      <c r="M107" s="461"/>
      <c r="N107" s="461"/>
      <c r="O107" s="463"/>
    </row>
    <row r="108" spans="1:18">
      <c r="A108" s="464" t="s">
        <v>90</v>
      </c>
      <c r="B108" s="480">
        <v>5</v>
      </c>
      <c r="C108" s="498">
        <v>12</v>
      </c>
      <c r="D108" s="480">
        <v>19</v>
      </c>
      <c r="E108" s="522">
        <v>26</v>
      </c>
      <c r="F108" s="470"/>
      <c r="G108" s="461"/>
      <c r="H108" s="462"/>
      <c r="I108" s="477" t="s">
        <v>789</v>
      </c>
      <c r="J108" s="461"/>
      <c r="K108" s="461" t="s">
        <v>13</v>
      </c>
      <c r="L108" s="461">
        <v>4</v>
      </c>
      <c r="M108" s="461"/>
      <c r="N108" s="461"/>
      <c r="O108" s="463"/>
      <c r="R108" s="443">
        <f t="shared" si="1"/>
        <v>4</v>
      </c>
    </row>
    <row r="109" spans="1:18">
      <c r="A109" s="464" t="s">
        <v>91</v>
      </c>
      <c r="B109" s="480">
        <v>6</v>
      </c>
      <c r="C109" s="480">
        <v>13</v>
      </c>
      <c r="D109" s="480">
        <v>20</v>
      </c>
      <c r="E109" s="480">
        <v>27</v>
      </c>
      <c r="F109" s="470"/>
      <c r="G109" s="461"/>
      <c r="H109" s="462"/>
      <c r="I109" s="477" t="s">
        <v>790</v>
      </c>
      <c r="J109" s="461"/>
      <c r="K109" s="461" t="s">
        <v>13</v>
      </c>
      <c r="L109" s="461">
        <v>14</v>
      </c>
      <c r="M109" s="461"/>
      <c r="N109" s="461"/>
      <c r="O109" s="463"/>
    </row>
    <row r="110" spans="1:18">
      <c r="A110" s="481"/>
      <c r="B110" s="491"/>
      <c r="C110" s="491"/>
      <c r="D110" s="491"/>
      <c r="E110" s="491"/>
      <c r="F110" s="461"/>
      <c r="G110" s="461"/>
      <c r="H110" s="462"/>
      <c r="I110" s="461"/>
      <c r="J110" s="461"/>
      <c r="K110" s="461"/>
      <c r="L110" s="461"/>
      <c r="M110" s="461"/>
      <c r="N110" s="461"/>
      <c r="O110" s="463"/>
    </row>
    <row r="111" spans="1:18">
      <c r="A111" s="460" t="s">
        <v>838</v>
      </c>
      <c r="B111" s="461"/>
      <c r="C111" s="461"/>
      <c r="D111" s="461"/>
      <c r="E111" s="461"/>
      <c r="F111" s="461"/>
      <c r="G111" s="461"/>
      <c r="H111" s="462"/>
      <c r="I111" s="461"/>
      <c r="J111" s="461"/>
      <c r="K111" s="461"/>
      <c r="L111" s="461"/>
      <c r="M111" s="461"/>
      <c r="N111" s="461"/>
      <c r="O111" s="463"/>
    </row>
    <row r="112" spans="1:18">
      <c r="A112" s="464" t="s">
        <v>85</v>
      </c>
      <c r="B112" s="523"/>
      <c r="C112" s="466">
        <v>5</v>
      </c>
      <c r="D112" s="466">
        <v>12</v>
      </c>
      <c r="E112" s="466">
        <v>19</v>
      </c>
      <c r="F112" s="466">
        <v>26</v>
      </c>
      <c r="G112" s="461"/>
      <c r="H112" s="469"/>
      <c r="I112" s="461" t="s">
        <v>839</v>
      </c>
      <c r="J112" s="479"/>
      <c r="K112" s="479"/>
      <c r="L112" s="461"/>
      <c r="M112" s="461"/>
      <c r="N112" s="461"/>
      <c r="O112" s="463"/>
    </row>
    <row r="113" spans="1:18">
      <c r="A113" s="464" t="s">
        <v>86</v>
      </c>
      <c r="B113" s="524"/>
      <c r="C113" s="471">
        <v>6</v>
      </c>
      <c r="D113" s="525">
        <v>13</v>
      </c>
      <c r="E113" s="480">
        <v>20</v>
      </c>
      <c r="F113" s="480">
        <v>27</v>
      </c>
      <c r="G113" s="461"/>
      <c r="H113" s="475"/>
      <c r="I113" s="461" t="s">
        <v>840</v>
      </c>
      <c r="J113" s="479"/>
      <c r="K113" s="479"/>
      <c r="L113" s="461"/>
      <c r="M113" s="461"/>
      <c r="N113" s="461"/>
      <c r="O113" s="463"/>
    </row>
    <row r="114" spans="1:18">
      <c r="A114" s="464" t="s">
        <v>87</v>
      </c>
      <c r="B114" s="524"/>
      <c r="C114" s="471">
        <v>7</v>
      </c>
      <c r="D114" s="480">
        <v>14</v>
      </c>
      <c r="E114" s="480">
        <v>21</v>
      </c>
      <c r="F114" s="480">
        <v>28</v>
      </c>
      <c r="G114" s="461"/>
      <c r="H114" s="475"/>
      <c r="I114" s="461"/>
      <c r="J114" s="489"/>
      <c r="K114" s="489"/>
      <c r="L114" s="461"/>
      <c r="M114" s="461"/>
      <c r="N114" s="461"/>
      <c r="O114" s="463"/>
    </row>
    <row r="115" spans="1:18">
      <c r="A115" s="464" t="s">
        <v>88</v>
      </c>
      <c r="B115" s="526">
        <v>1</v>
      </c>
      <c r="C115" s="471">
        <v>8</v>
      </c>
      <c r="D115" s="480">
        <v>15</v>
      </c>
      <c r="E115" s="480">
        <v>22</v>
      </c>
      <c r="F115" s="480">
        <v>29</v>
      </c>
      <c r="G115" s="461"/>
      <c r="H115" s="475"/>
      <c r="I115" s="461"/>
      <c r="J115" s="489"/>
      <c r="K115" s="489"/>
      <c r="L115" s="461"/>
      <c r="M115" s="461"/>
      <c r="N115" s="461"/>
      <c r="O115" s="463"/>
    </row>
    <row r="116" spans="1:18">
      <c r="A116" s="464" t="s">
        <v>89</v>
      </c>
      <c r="B116" s="526">
        <v>2</v>
      </c>
      <c r="C116" s="471">
        <v>9</v>
      </c>
      <c r="D116" s="480">
        <v>16</v>
      </c>
      <c r="E116" s="480">
        <v>23</v>
      </c>
      <c r="F116" s="480">
        <v>30</v>
      </c>
      <c r="G116" s="461"/>
      <c r="H116" s="475"/>
      <c r="I116" s="461"/>
      <c r="J116" s="489"/>
      <c r="K116" s="489"/>
      <c r="L116" s="461"/>
      <c r="M116" s="461"/>
      <c r="N116" s="461"/>
      <c r="O116" s="463"/>
    </row>
    <row r="117" spans="1:18">
      <c r="A117" s="464" t="s">
        <v>90</v>
      </c>
      <c r="B117" s="526">
        <v>3</v>
      </c>
      <c r="C117" s="471">
        <v>10</v>
      </c>
      <c r="D117" s="480">
        <v>17</v>
      </c>
      <c r="E117" s="480">
        <v>24</v>
      </c>
      <c r="F117" s="480">
        <v>31</v>
      </c>
      <c r="G117" s="461"/>
      <c r="H117" s="475"/>
      <c r="I117" s="477" t="s">
        <v>789</v>
      </c>
      <c r="J117" s="489"/>
      <c r="K117" s="461" t="s">
        <v>13</v>
      </c>
      <c r="L117" s="461">
        <v>3</v>
      </c>
      <c r="M117" s="461"/>
      <c r="N117" s="461"/>
      <c r="O117" s="463"/>
      <c r="R117" s="443">
        <f t="shared" si="1"/>
        <v>3</v>
      </c>
    </row>
    <row r="118" spans="1:18">
      <c r="A118" s="464" t="s">
        <v>91</v>
      </c>
      <c r="B118" s="527">
        <v>4</v>
      </c>
      <c r="C118" s="480">
        <v>11</v>
      </c>
      <c r="D118" s="480">
        <v>18</v>
      </c>
      <c r="E118" s="480">
        <v>25</v>
      </c>
      <c r="F118" s="470"/>
      <c r="G118" s="461"/>
      <c r="H118" s="479"/>
      <c r="I118" s="477" t="s">
        <v>790</v>
      </c>
      <c r="J118" s="489"/>
      <c r="K118" s="461" t="s">
        <v>13</v>
      </c>
      <c r="L118" s="461">
        <v>13</v>
      </c>
      <c r="M118" s="461"/>
      <c r="N118" s="461"/>
      <c r="O118" s="463"/>
    </row>
    <row r="119" spans="1:18">
      <c r="A119" s="481"/>
      <c r="B119" s="461"/>
      <c r="C119" s="461"/>
      <c r="D119" s="461"/>
      <c r="E119" s="461"/>
      <c r="F119" s="461"/>
      <c r="G119" s="461"/>
      <c r="H119" s="462"/>
      <c r="I119" s="461"/>
      <c r="J119" s="461"/>
      <c r="K119" s="461"/>
      <c r="L119" s="461"/>
      <c r="M119" s="461"/>
      <c r="N119" s="461"/>
      <c r="O119" s="463"/>
    </row>
    <row r="120" spans="1:18">
      <c r="A120" s="481" t="s">
        <v>841</v>
      </c>
      <c r="B120" s="461"/>
      <c r="C120" s="461"/>
      <c r="D120" s="461" t="s">
        <v>13</v>
      </c>
      <c r="E120" s="461">
        <f>L8+L17+L26+L35+L44+L55+L63+L72+L81+L90+L100+L108+L117</f>
        <v>47</v>
      </c>
      <c r="F120" s="461"/>
      <c r="G120" s="461"/>
      <c r="H120" s="462"/>
      <c r="I120" s="461" t="s">
        <v>842</v>
      </c>
      <c r="J120" s="461"/>
      <c r="K120" s="461"/>
      <c r="L120" s="461"/>
      <c r="M120" s="461"/>
      <c r="N120" s="461"/>
      <c r="O120" s="463"/>
    </row>
    <row r="121" spans="1:18">
      <c r="A121" s="481" t="s">
        <v>843</v>
      </c>
      <c r="B121" s="461"/>
      <c r="C121" s="461"/>
      <c r="D121" s="461" t="s">
        <v>13</v>
      </c>
      <c r="E121" s="461">
        <f>L118+L109+L101+L91+L82+L73+L64+L56+L45+L36+L27+L18+L9</f>
        <v>212</v>
      </c>
      <c r="F121" s="461"/>
      <c r="G121" s="461"/>
      <c r="H121" s="462"/>
      <c r="I121" s="461" t="s">
        <v>93</v>
      </c>
      <c r="J121" s="461"/>
      <c r="K121" s="461"/>
      <c r="L121" s="461"/>
      <c r="M121" s="461"/>
      <c r="N121" s="461"/>
      <c r="O121" s="463"/>
    </row>
    <row r="122" spans="1:18">
      <c r="A122" s="481"/>
      <c r="B122" s="461"/>
      <c r="C122" s="461"/>
      <c r="D122" s="461"/>
      <c r="E122" s="461"/>
      <c r="F122" s="461"/>
      <c r="G122" s="461"/>
      <c r="H122" s="462"/>
      <c r="I122" s="461"/>
      <c r="J122" s="461"/>
      <c r="K122" s="461"/>
      <c r="L122" s="461"/>
      <c r="M122" s="461"/>
      <c r="N122" s="461"/>
      <c r="O122" s="463"/>
    </row>
    <row r="123" spans="1:18">
      <c r="A123" s="481"/>
      <c r="B123" s="461"/>
      <c r="C123" s="461"/>
      <c r="D123" s="461"/>
      <c r="E123" s="461"/>
      <c r="F123" s="461"/>
      <c r="G123" s="461"/>
      <c r="H123" s="462"/>
      <c r="I123" s="461"/>
      <c r="J123" s="461"/>
      <c r="K123" s="461"/>
      <c r="L123" s="461"/>
      <c r="M123" s="461"/>
      <c r="N123" s="461"/>
      <c r="O123" s="463"/>
    </row>
    <row r="124" spans="1:18">
      <c r="A124" s="481"/>
      <c r="B124" s="461"/>
      <c r="C124" s="461"/>
      <c r="D124" s="461"/>
      <c r="E124" s="461"/>
      <c r="F124" s="461"/>
      <c r="G124" s="461"/>
      <c r="H124" s="462"/>
      <c r="I124" s="461"/>
      <c r="J124" s="461"/>
      <c r="K124" s="461"/>
      <c r="L124" s="461"/>
      <c r="M124" s="461"/>
      <c r="N124" s="461"/>
      <c r="O124" s="463"/>
    </row>
    <row r="125" spans="1:18">
      <c r="A125" s="481"/>
      <c r="B125" s="461"/>
      <c r="C125" s="461"/>
      <c r="D125" s="461"/>
      <c r="E125" s="461"/>
      <c r="F125" s="461"/>
      <c r="G125" s="461"/>
      <c r="H125" s="462"/>
      <c r="I125" s="461" t="s">
        <v>94</v>
      </c>
      <c r="J125" s="461"/>
      <c r="K125" s="461"/>
      <c r="L125" s="461"/>
      <c r="M125" s="461"/>
      <c r="N125" s="461"/>
      <c r="O125" s="463"/>
    </row>
    <row r="126" spans="1:18" ht="17.25" thickBot="1">
      <c r="A126" s="528"/>
      <c r="B126" s="529"/>
      <c r="C126" s="529"/>
      <c r="D126" s="529"/>
      <c r="E126" s="529"/>
      <c r="F126" s="529"/>
      <c r="G126" s="529"/>
      <c r="H126" s="530"/>
      <c r="I126" s="529"/>
      <c r="J126" s="529"/>
      <c r="K126" s="529"/>
      <c r="L126" s="529"/>
      <c r="M126" s="529"/>
      <c r="N126" s="529"/>
      <c r="O126" s="531"/>
    </row>
  </sheetData>
  <mergeCells count="3">
    <mergeCell ref="A1:O1"/>
    <mergeCell ref="A2:O2"/>
    <mergeCell ref="B92:G9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6"/>
  <sheetViews>
    <sheetView topLeftCell="A25" zoomScale="85" zoomScaleNormal="85" workbookViewId="0">
      <selection activeCell="U7" sqref="U7"/>
    </sheetView>
  </sheetViews>
  <sheetFormatPr defaultColWidth="9" defaultRowHeight="16.5"/>
  <cols>
    <col min="1" max="1" width="8.42578125" style="278" customWidth="1"/>
    <col min="2" max="2" width="16.5703125" style="278" customWidth="1"/>
    <col min="3" max="4" width="4.7109375" style="278" customWidth="1"/>
    <col min="5" max="5" width="8.42578125" style="278" customWidth="1"/>
    <col min="6" max="6" width="4.85546875" style="278" customWidth="1"/>
    <col min="7" max="14" width="4.7109375" style="278" customWidth="1"/>
    <col min="15" max="15" width="0.7109375" style="278" customWidth="1"/>
    <col min="16" max="16" width="3.28515625" style="278" customWidth="1"/>
    <col min="17" max="17" width="3.85546875" style="278" customWidth="1"/>
    <col min="18" max="18" width="12.5703125" style="278" customWidth="1"/>
    <col min="19" max="19" width="0.85546875" style="278" customWidth="1"/>
    <col min="20" max="16382" width="9.140625" style="278"/>
    <col min="16383" max="16383" width="9.140625"/>
  </cols>
  <sheetData>
    <row r="1" spans="1:19 16381:16384" ht="18.75">
      <c r="A1" s="588" t="s">
        <v>95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279" t="s">
        <v>96</v>
      </c>
      <c r="S1" s="321"/>
    </row>
    <row r="2" spans="1:19 16381:16384">
      <c r="A2" s="589" t="s">
        <v>97</v>
      </c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265">
        <v>45483</v>
      </c>
      <c r="S2" s="322"/>
    </row>
    <row r="3" spans="1:19 16381:16384" ht="9" customHeight="1"/>
    <row r="4" spans="1:19 16381:16384">
      <c r="A4" s="597" t="s">
        <v>98</v>
      </c>
      <c r="B4" s="600" t="s">
        <v>99</v>
      </c>
      <c r="C4" s="590">
        <v>1</v>
      </c>
      <c r="D4" s="590">
        <v>2</v>
      </c>
      <c r="E4" s="590">
        <v>3</v>
      </c>
      <c r="F4" s="590">
        <v>4</v>
      </c>
      <c r="G4" s="590">
        <v>5</v>
      </c>
      <c r="H4" s="590">
        <v>6</v>
      </c>
      <c r="I4" s="590">
        <v>7</v>
      </c>
      <c r="J4" s="590">
        <v>8</v>
      </c>
      <c r="K4" s="590">
        <v>9</v>
      </c>
      <c r="L4" s="590">
        <v>10</v>
      </c>
      <c r="M4" s="590">
        <v>11</v>
      </c>
      <c r="N4" s="590">
        <v>12</v>
      </c>
      <c r="P4" s="317" t="s">
        <v>100</v>
      </c>
      <c r="Q4" s="323"/>
      <c r="R4" s="324"/>
      <c r="S4" s="437"/>
    </row>
    <row r="5" spans="1:19 16381:16384" ht="17.25" thickBot="1">
      <c r="A5" s="598"/>
      <c r="B5" s="601"/>
      <c r="C5" s="591"/>
      <c r="D5" s="591"/>
      <c r="E5" s="591"/>
      <c r="F5" s="591"/>
      <c r="G5" s="591"/>
      <c r="H5" s="591"/>
      <c r="I5" s="591"/>
      <c r="J5" s="591"/>
      <c r="K5" s="591"/>
      <c r="L5" s="591"/>
      <c r="M5" s="591"/>
      <c r="N5" s="591"/>
      <c r="P5" s="318"/>
      <c r="Q5" s="437"/>
      <c r="R5" s="325"/>
      <c r="S5" s="437"/>
    </row>
    <row r="6" spans="1:19 16381:16384" ht="18" customHeight="1" thickTop="1">
      <c r="A6" s="599" t="s">
        <v>86</v>
      </c>
      <c r="B6" s="440" t="s">
        <v>5</v>
      </c>
      <c r="C6" s="432"/>
      <c r="D6" s="432"/>
      <c r="E6" s="432"/>
      <c r="F6" s="432"/>
      <c r="G6" s="432"/>
      <c r="H6" s="432"/>
      <c r="I6" s="432"/>
      <c r="J6" s="432"/>
      <c r="K6" s="432"/>
      <c r="L6" s="432"/>
      <c r="M6" s="445"/>
      <c r="N6" s="445"/>
      <c r="P6" s="318"/>
      <c r="Q6" s="437"/>
      <c r="R6" s="325"/>
      <c r="S6" s="437"/>
      <c r="XFC6" s="278"/>
      <c r="XFD6" s="278"/>
    </row>
    <row r="7" spans="1:19 16381:16384" ht="18" customHeight="1" thickBot="1">
      <c r="A7" s="591"/>
      <c r="B7" s="441" t="s">
        <v>989</v>
      </c>
      <c r="C7" s="446"/>
      <c r="D7" s="446"/>
      <c r="E7" s="446"/>
      <c r="F7" s="446"/>
      <c r="G7" s="446"/>
      <c r="H7" s="446"/>
      <c r="I7" s="446"/>
      <c r="J7" s="446"/>
      <c r="K7" s="446"/>
      <c r="L7" s="446"/>
      <c r="M7" s="447"/>
      <c r="N7" s="447"/>
      <c r="P7" s="318"/>
      <c r="Q7" s="437"/>
      <c r="R7" s="325"/>
      <c r="S7" s="437"/>
      <c r="XFC7" s="278"/>
      <c r="XFD7" s="278"/>
    </row>
    <row r="8" spans="1:19 16381:16384" ht="18" customHeight="1" thickTop="1">
      <c r="A8" s="599" t="s">
        <v>87</v>
      </c>
      <c r="B8" s="440" t="s">
        <v>5</v>
      </c>
      <c r="C8" s="593" t="s">
        <v>987</v>
      </c>
      <c r="D8" s="593"/>
      <c r="E8" s="593"/>
      <c r="F8" s="593"/>
      <c r="G8" s="593"/>
      <c r="H8" s="593"/>
      <c r="I8" s="593"/>
      <c r="J8" s="593"/>
      <c r="K8" s="432"/>
      <c r="L8" s="432"/>
      <c r="M8" s="445"/>
      <c r="N8" s="445"/>
      <c r="P8" s="318"/>
      <c r="Q8" s="437"/>
      <c r="R8" s="325"/>
      <c r="S8" s="437"/>
    </row>
    <row r="9" spans="1:19 16381:16384" ht="18" customHeight="1" thickBot="1">
      <c r="A9" s="591"/>
      <c r="B9" s="441" t="s">
        <v>989</v>
      </c>
      <c r="C9" s="594" t="s">
        <v>1007</v>
      </c>
      <c r="D9" s="595"/>
      <c r="E9" s="595"/>
      <c r="F9" s="595"/>
      <c r="G9" s="595"/>
      <c r="H9" s="595"/>
      <c r="I9" s="595"/>
      <c r="J9" s="595"/>
      <c r="K9" s="446"/>
      <c r="L9" s="446"/>
      <c r="M9" s="447"/>
      <c r="N9" s="447"/>
      <c r="P9" s="318"/>
      <c r="Q9" s="437"/>
      <c r="R9" s="325"/>
      <c r="S9" s="437"/>
    </row>
    <row r="10" spans="1:19 16381:16384" ht="18" customHeight="1" thickTop="1">
      <c r="A10" s="599" t="s">
        <v>88</v>
      </c>
      <c r="B10" s="440" t="s">
        <v>5</v>
      </c>
      <c r="C10" s="586" t="s">
        <v>986</v>
      </c>
      <c r="D10" s="586"/>
      <c r="E10" s="586"/>
      <c r="F10" s="586"/>
      <c r="G10" s="586"/>
      <c r="H10" s="586"/>
      <c r="I10" s="586"/>
      <c r="J10" s="586"/>
      <c r="K10" s="432"/>
      <c r="L10" s="432"/>
      <c r="M10" s="445"/>
      <c r="N10" s="445"/>
      <c r="P10" s="318"/>
      <c r="Q10" s="437"/>
      <c r="R10" s="325"/>
      <c r="S10" s="437"/>
    </row>
    <row r="11" spans="1:19 16381:16384" ht="18" customHeight="1" thickBot="1">
      <c r="A11" s="591"/>
      <c r="B11" s="441" t="s">
        <v>989</v>
      </c>
      <c r="C11" s="592" t="s">
        <v>1006</v>
      </c>
      <c r="D11" s="592"/>
      <c r="E11" s="592"/>
      <c r="F11" s="592"/>
      <c r="G11" s="592"/>
      <c r="H11" s="592"/>
      <c r="I11" s="592"/>
      <c r="J11" s="592"/>
      <c r="K11" s="449"/>
      <c r="L11" s="449"/>
      <c r="M11" s="447"/>
      <c r="N11" s="447"/>
      <c r="P11" s="318"/>
      <c r="Q11" s="437"/>
      <c r="R11" s="325"/>
      <c r="S11" s="437"/>
    </row>
    <row r="12" spans="1:19 16381:16384" ht="18" customHeight="1" thickTop="1">
      <c r="A12" s="599" t="s">
        <v>89</v>
      </c>
      <c r="B12" s="440" t="s">
        <v>5</v>
      </c>
      <c r="C12" s="432"/>
      <c r="D12" s="432"/>
      <c r="E12" s="448"/>
      <c r="F12" s="448"/>
      <c r="G12" s="448"/>
      <c r="H12" s="432"/>
      <c r="I12" s="432"/>
      <c r="J12" s="448"/>
      <c r="K12" s="432"/>
      <c r="L12" s="432"/>
      <c r="M12" s="445"/>
      <c r="N12" s="445"/>
      <c r="P12" s="318"/>
      <c r="Q12" s="437"/>
      <c r="R12" s="325"/>
      <c r="S12" s="437"/>
      <c r="XFA12"/>
      <c r="XFB12"/>
    </row>
    <row r="13" spans="1:19 16381:16384" ht="18" customHeight="1" thickBot="1">
      <c r="A13" s="591"/>
      <c r="B13" s="441" t="s">
        <v>989</v>
      </c>
      <c r="C13" s="446"/>
      <c r="D13" s="446"/>
      <c r="E13" s="450"/>
      <c r="F13" s="450"/>
      <c r="G13" s="450"/>
      <c r="H13" s="446"/>
      <c r="I13" s="446"/>
      <c r="J13" s="450"/>
      <c r="K13" s="446"/>
      <c r="L13" s="446"/>
      <c r="M13" s="447"/>
      <c r="N13" s="447"/>
      <c r="P13" s="318"/>
      <c r="Q13" s="437"/>
      <c r="R13" s="325"/>
      <c r="S13" s="437"/>
      <c r="XFA13"/>
      <c r="XFB13"/>
    </row>
    <row r="14" spans="1:19 16381:16384" ht="18" customHeight="1" thickTop="1">
      <c r="A14" s="599" t="s">
        <v>101</v>
      </c>
      <c r="B14" s="440" t="s">
        <v>5</v>
      </c>
      <c r="C14" s="586" t="s">
        <v>986</v>
      </c>
      <c r="D14" s="586"/>
      <c r="E14" s="586"/>
      <c r="F14" s="586"/>
      <c r="G14" s="586"/>
      <c r="H14" s="586"/>
      <c r="I14" s="586"/>
      <c r="J14" s="586"/>
      <c r="K14" s="432"/>
      <c r="L14" s="432"/>
      <c r="M14" s="445"/>
      <c r="N14" s="445"/>
      <c r="P14" s="318"/>
      <c r="Q14" s="437"/>
      <c r="R14" s="325"/>
      <c r="S14" s="437"/>
    </row>
    <row r="15" spans="1:19 16381:16384" ht="18" customHeight="1" thickBot="1">
      <c r="A15" s="591"/>
      <c r="B15" s="441" t="s">
        <v>989</v>
      </c>
      <c r="C15" s="587" t="s">
        <v>1008</v>
      </c>
      <c r="D15" s="587"/>
      <c r="E15" s="587"/>
      <c r="F15" s="587"/>
      <c r="G15" s="587"/>
      <c r="H15" s="587"/>
      <c r="I15" s="587"/>
      <c r="J15" s="587"/>
      <c r="K15" s="433"/>
      <c r="L15" s="433"/>
      <c r="M15" s="444"/>
      <c r="N15" s="444"/>
      <c r="O15" s="319"/>
      <c r="P15" s="320"/>
      <c r="Q15" s="319"/>
      <c r="R15" s="973"/>
      <c r="S15" s="437"/>
    </row>
    <row r="16" spans="1:19 16381:16384" ht="66.75" customHeight="1" thickTop="1">
      <c r="A16" s="434"/>
      <c r="B16" s="438"/>
      <c r="C16" s="439"/>
      <c r="D16" s="439"/>
      <c r="E16" s="439"/>
      <c r="F16" s="439"/>
      <c r="G16" s="439"/>
      <c r="H16" s="439"/>
      <c r="I16" s="439"/>
      <c r="J16" s="439"/>
      <c r="K16" s="435"/>
      <c r="L16" s="435"/>
      <c r="M16" s="436"/>
      <c r="N16" s="436"/>
      <c r="O16" s="437"/>
      <c r="P16" s="437"/>
      <c r="Q16" s="437"/>
      <c r="R16" s="437"/>
      <c r="S16" s="437"/>
    </row>
    <row r="17" spans="1:15">
      <c r="A17" s="437"/>
      <c r="B17" s="964" t="s">
        <v>102</v>
      </c>
      <c r="C17" s="965"/>
      <c r="D17" s="965"/>
      <c r="E17" s="965"/>
      <c r="F17" s="965"/>
      <c r="G17" s="965"/>
      <c r="H17" s="965"/>
      <c r="K17" s="442" t="s">
        <v>105</v>
      </c>
      <c r="L17" s="443"/>
      <c r="M17" s="6"/>
      <c r="N17" s="6"/>
      <c r="O17" s="6"/>
    </row>
    <row r="18" spans="1:15" ht="17.25" customHeight="1">
      <c r="B18" s="966" t="s">
        <v>103</v>
      </c>
      <c r="C18" s="967" t="s">
        <v>103</v>
      </c>
      <c r="D18" s="967"/>
      <c r="E18" s="967"/>
      <c r="F18" s="968" t="s">
        <v>104</v>
      </c>
      <c r="G18" s="968"/>
      <c r="H18" s="968"/>
      <c r="K18" s="443" t="s">
        <v>1031</v>
      </c>
      <c r="L18" s="443"/>
      <c r="M18" s="6"/>
      <c r="N18" s="6"/>
      <c r="O18" s="6"/>
    </row>
    <row r="19" spans="1:15" ht="17.25" customHeight="1">
      <c r="B19" s="966" t="s">
        <v>106</v>
      </c>
      <c r="C19" s="967" t="s">
        <v>107</v>
      </c>
      <c r="D19" s="967"/>
      <c r="E19" s="967"/>
      <c r="F19" s="968"/>
      <c r="G19" s="968"/>
      <c r="H19" s="968"/>
      <c r="K19" s="443" t="s">
        <v>844</v>
      </c>
      <c r="L19" s="443"/>
      <c r="M19" s="6"/>
      <c r="N19" s="6"/>
      <c r="O19" s="6"/>
    </row>
    <row r="20" spans="1:15" ht="17.25" customHeight="1">
      <c r="B20" s="966" t="s">
        <v>108</v>
      </c>
      <c r="C20" s="969" t="s">
        <v>108</v>
      </c>
      <c r="D20" s="969"/>
      <c r="E20" s="969"/>
      <c r="F20" s="969" t="s">
        <v>109</v>
      </c>
      <c r="G20" s="969"/>
      <c r="H20" s="969"/>
      <c r="K20" s="443" t="s">
        <v>990</v>
      </c>
      <c r="L20" s="443"/>
      <c r="M20" s="6"/>
      <c r="N20" s="6"/>
      <c r="O20" s="6"/>
    </row>
    <row r="21" spans="1:15" ht="17.25" customHeight="1">
      <c r="B21" s="970" t="s">
        <v>110</v>
      </c>
      <c r="C21" s="971" t="s">
        <v>110</v>
      </c>
      <c r="D21" s="971"/>
      <c r="E21" s="971"/>
      <c r="F21" s="971" t="s">
        <v>111</v>
      </c>
      <c r="G21" s="971"/>
      <c r="H21" s="971"/>
      <c r="I21" s="443"/>
      <c r="O21" s="6"/>
    </row>
    <row r="22" spans="1:15" ht="15" customHeight="1">
      <c r="B22" s="970" t="s">
        <v>112</v>
      </c>
      <c r="C22" s="971" t="s">
        <v>113</v>
      </c>
      <c r="D22" s="971"/>
      <c r="E22" s="971"/>
      <c r="F22" s="972" t="s">
        <v>114</v>
      </c>
      <c r="G22" s="972"/>
      <c r="H22" s="972"/>
      <c r="I22" s="6"/>
      <c r="J22" s="6"/>
      <c r="K22" s="6"/>
      <c r="L22" s="6"/>
      <c r="M22" s="6"/>
      <c r="N22" s="6"/>
      <c r="O22" s="6"/>
    </row>
    <row r="23" spans="1:15" ht="15" customHeight="1">
      <c r="B23" s="970" t="s">
        <v>115</v>
      </c>
      <c r="C23" s="971" t="s">
        <v>116</v>
      </c>
      <c r="D23" s="971"/>
      <c r="E23" s="971"/>
      <c r="F23" s="972" t="s">
        <v>117</v>
      </c>
      <c r="G23" s="972"/>
      <c r="H23" s="972"/>
      <c r="I23" s="361"/>
      <c r="J23" s="6"/>
      <c r="K23" s="6"/>
      <c r="L23" s="6"/>
      <c r="M23" s="6"/>
      <c r="N23" s="6"/>
      <c r="O23" s="6"/>
    </row>
    <row r="24" spans="1:15" ht="15" customHeight="1">
      <c r="B24" s="970" t="s">
        <v>118</v>
      </c>
      <c r="C24" s="971" t="s">
        <v>119</v>
      </c>
      <c r="D24" s="971"/>
      <c r="E24" s="971"/>
      <c r="F24" s="972" t="s">
        <v>120</v>
      </c>
      <c r="G24" s="972"/>
      <c r="H24" s="972"/>
      <c r="I24" s="6"/>
      <c r="J24" s="6"/>
      <c r="K24" s="6"/>
      <c r="L24" s="6"/>
      <c r="M24" s="6"/>
      <c r="N24" s="6"/>
      <c r="O24" s="6"/>
    </row>
    <row r="25" spans="1:15" ht="15" customHeight="1">
      <c r="B25" s="970" t="s">
        <v>121</v>
      </c>
      <c r="C25" s="971" t="s">
        <v>122</v>
      </c>
      <c r="D25" s="971"/>
      <c r="E25" s="971"/>
      <c r="F25" s="972" t="s">
        <v>988</v>
      </c>
      <c r="G25" s="972"/>
      <c r="H25" s="972"/>
      <c r="I25" s="6"/>
      <c r="J25" s="6"/>
      <c r="K25" s="6"/>
      <c r="L25" s="6"/>
      <c r="M25" s="6"/>
      <c r="N25" s="6"/>
      <c r="O25" s="6"/>
    </row>
    <row r="26" spans="1:15" ht="15" customHeight="1">
      <c r="B26" s="977" t="s">
        <v>123</v>
      </c>
      <c r="C26" s="978" t="s">
        <v>123</v>
      </c>
      <c r="D26" s="978"/>
      <c r="E26" s="978"/>
      <c r="F26" s="978" t="s">
        <v>123</v>
      </c>
      <c r="G26" s="978"/>
      <c r="H26" s="978"/>
      <c r="I26" s="6"/>
      <c r="J26" s="6"/>
      <c r="K26" s="6"/>
      <c r="L26" s="6"/>
      <c r="M26" s="6"/>
      <c r="N26" s="6"/>
      <c r="O26" s="6"/>
    </row>
    <row r="27" spans="1:15" ht="15" customHeight="1">
      <c r="B27" s="970" t="s">
        <v>124</v>
      </c>
      <c r="C27" s="971" t="s">
        <v>125</v>
      </c>
      <c r="D27" s="971"/>
      <c r="E27" s="971"/>
      <c r="F27" s="971" t="s">
        <v>126</v>
      </c>
      <c r="G27" s="971"/>
      <c r="H27" s="971"/>
      <c r="I27" s="6"/>
      <c r="J27" s="6"/>
      <c r="K27" s="6"/>
      <c r="L27" s="6"/>
      <c r="M27" s="6"/>
      <c r="N27" s="6"/>
      <c r="O27" s="6"/>
    </row>
    <row r="28" spans="1:15" ht="15" customHeight="1">
      <c r="B28" s="970" t="s">
        <v>127</v>
      </c>
      <c r="C28" s="971" t="s">
        <v>128</v>
      </c>
      <c r="D28" s="971"/>
      <c r="E28" s="971"/>
      <c r="F28" s="971" t="s">
        <v>129</v>
      </c>
      <c r="G28" s="971"/>
      <c r="H28" s="971"/>
      <c r="I28" s="6"/>
      <c r="J28" s="6"/>
      <c r="K28" s="6"/>
      <c r="L28" s="6"/>
      <c r="M28" s="6"/>
      <c r="N28" s="6"/>
      <c r="O28" s="6"/>
    </row>
    <row r="29" spans="1:15" ht="15" customHeight="1">
      <c r="B29" s="977" t="s">
        <v>130</v>
      </c>
      <c r="C29" s="978" t="s">
        <v>131</v>
      </c>
      <c r="D29" s="978"/>
      <c r="E29" s="978"/>
      <c r="F29" s="978" t="s">
        <v>132</v>
      </c>
      <c r="G29" s="978"/>
      <c r="H29" s="978"/>
      <c r="I29" s="6"/>
      <c r="J29" s="6"/>
      <c r="K29" s="6"/>
      <c r="L29" s="6"/>
      <c r="M29" s="6"/>
      <c r="N29" s="6"/>
      <c r="O29" s="6"/>
    </row>
    <row r="30" spans="1:15" ht="15" customHeight="1">
      <c r="B30" s="970" t="s">
        <v>133</v>
      </c>
      <c r="C30" s="971" t="s">
        <v>134</v>
      </c>
      <c r="D30" s="971"/>
      <c r="E30" s="971"/>
      <c r="F30" s="972" t="s">
        <v>135</v>
      </c>
      <c r="G30" s="972"/>
      <c r="H30" s="972"/>
      <c r="I30" s="6"/>
      <c r="J30" s="6"/>
      <c r="K30" s="6"/>
      <c r="L30" s="6"/>
      <c r="M30" s="6"/>
      <c r="N30" s="6"/>
      <c r="O30" s="6"/>
    </row>
    <row r="31" spans="1:15" ht="15" customHeight="1">
      <c r="B31" s="970" t="s">
        <v>136</v>
      </c>
      <c r="C31" s="971" t="s">
        <v>137</v>
      </c>
      <c r="D31" s="971"/>
      <c r="E31" s="971"/>
      <c r="F31" s="972" t="s">
        <v>138</v>
      </c>
      <c r="G31" s="972"/>
      <c r="H31" s="972"/>
      <c r="I31" s="6"/>
      <c r="J31" s="6"/>
      <c r="K31" s="6"/>
      <c r="L31" s="6"/>
      <c r="M31" s="6"/>
      <c r="N31" s="6"/>
      <c r="O31" s="6"/>
    </row>
    <row r="32" spans="1:15" ht="15" customHeight="1">
      <c r="B32" s="970" t="s">
        <v>139</v>
      </c>
      <c r="C32" s="971" t="s">
        <v>140</v>
      </c>
      <c r="D32" s="971"/>
      <c r="E32" s="971"/>
      <c r="F32" s="971" t="s">
        <v>141</v>
      </c>
      <c r="G32" s="971"/>
      <c r="H32" s="971"/>
      <c r="I32" s="6"/>
      <c r="J32" s="6"/>
      <c r="K32" s="6"/>
      <c r="L32" s="6"/>
      <c r="M32" s="6"/>
      <c r="N32" s="6"/>
      <c r="O32" s="6"/>
    </row>
    <row r="33" spans="2:15" ht="15" customHeight="1">
      <c r="B33" s="970" t="s">
        <v>142</v>
      </c>
      <c r="C33" s="971" t="s">
        <v>143</v>
      </c>
      <c r="D33" s="971"/>
      <c r="E33" s="971"/>
      <c r="F33" s="971" t="s">
        <v>144</v>
      </c>
      <c r="G33" s="971"/>
      <c r="H33" s="971"/>
      <c r="I33" s="6"/>
      <c r="J33" s="6"/>
      <c r="K33" s="6"/>
      <c r="L33" s="6"/>
      <c r="M33" s="6"/>
      <c r="N33" s="6"/>
      <c r="O33" s="6"/>
    </row>
    <row r="34" spans="2:15" ht="15" customHeight="1">
      <c r="B34" s="974" t="s">
        <v>123</v>
      </c>
      <c r="C34" s="975" t="s">
        <v>123</v>
      </c>
      <c r="D34" s="975"/>
      <c r="E34" s="975"/>
      <c r="F34" s="974" t="s">
        <v>123</v>
      </c>
      <c r="G34" s="976"/>
      <c r="H34" s="976"/>
      <c r="I34" s="6"/>
      <c r="J34" s="6"/>
      <c r="K34" s="6"/>
      <c r="L34" s="6"/>
      <c r="M34" s="6"/>
      <c r="N34" s="6"/>
    </row>
    <row r="35" spans="2:15">
      <c r="B35" s="970" t="s">
        <v>145</v>
      </c>
      <c r="C35" s="971" t="s">
        <v>146</v>
      </c>
      <c r="D35" s="971"/>
      <c r="E35" s="971"/>
      <c r="F35" s="971" t="s">
        <v>147</v>
      </c>
      <c r="G35" s="971"/>
      <c r="H35" s="971"/>
      <c r="J35" s="6"/>
    </row>
    <row r="36" spans="2:15">
      <c r="B36" s="970" t="s">
        <v>148</v>
      </c>
      <c r="C36" s="971" t="s">
        <v>149</v>
      </c>
      <c r="D36" s="971"/>
      <c r="E36" s="971"/>
      <c r="F36" s="971" t="s">
        <v>150</v>
      </c>
      <c r="G36" s="971"/>
      <c r="H36" s="971"/>
      <c r="J36" s="6"/>
    </row>
  </sheetData>
  <mergeCells count="64">
    <mergeCell ref="H4:H5"/>
    <mergeCell ref="F18:H19"/>
    <mergeCell ref="C4:C5"/>
    <mergeCell ref="D4:D5"/>
    <mergeCell ref="E4:E5"/>
    <mergeCell ref="F4:F5"/>
    <mergeCell ref="G4:G5"/>
    <mergeCell ref="A8:A9"/>
    <mergeCell ref="A10:A11"/>
    <mergeCell ref="A12:A13"/>
    <mergeCell ref="A14:A15"/>
    <mergeCell ref="B4:B5"/>
    <mergeCell ref="F32:H32"/>
    <mergeCell ref="C33:E33"/>
    <mergeCell ref="F33:H33"/>
    <mergeCell ref="C36:E36"/>
    <mergeCell ref="F36:H36"/>
    <mergeCell ref="C34:E34"/>
    <mergeCell ref="C35:E35"/>
    <mergeCell ref="F35:H35"/>
    <mergeCell ref="C26:E26"/>
    <mergeCell ref="F26:H26"/>
    <mergeCell ref="C27:E27"/>
    <mergeCell ref="F27:H27"/>
    <mergeCell ref="C28:E28"/>
    <mergeCell ref="F28:H28"/>
    <mergeCell ref="C29:E29"/>
    <mergeCell ref="F29:H29"/>
    <mergeCell ref="C30:E30"/>
    <mergeCell ref="F30:H30"/>
    <mergeCell ref="C31:E31"/>
    <mergeCell ref="F31:H31"/>
    <mergeCell ref="C32:E32"/>
    <mergeCell ref="C24:E24"/>
    <mergeCell ref="F24:H24"/>
    <mergeCell ref="C25:E25"/>
    <mergeCell ref="F25:H25"/>
    <mergeCell ref="B17:H17"/>
    <mergeCell ref="C18:E18"/>
    <mergeCell ref="C19:E19"/>
    <mergeCell ref="C20:E20"/>
    <mergeCell ref="F20:H20"/>
    <mergeCell ref="C21:E21"/>
    <mergeCell ref="F21:H21"/>
    <mergeCell ref="C22:E22"/>
    <mergeCell ref="F22:H22"/>
    <mergeCell ref="C23:E23"/>
    <mergeCell ref="F23:H23"/>
    <mergeCell ref="C14:J14"/>
    <mergeCell ref="C15:J15"/>
    <mergeCell ref="A1:Q1"/>
    <mergeCell ref="A2:Q2"/>
    <mergeCell ref="I4:I5"/>
    <mergeCell ref="J4:J5"/>
    <mergeCell ref="K4:K5"/>
    <mergeCell ref="L4:L5"/>
    <mergeCell ref="M4:M5"/>
    <mergeCell ref="N4:N5"/>
    <mergeCell ref="C10:J10"/>
    <mergeCell ref="C11:J11"/>
    <mergeCell ref="C8:J8"/>
    <mergeCell ref="C9:J9"/>
    <mergeCell ref="A4:A5"/>
    <mergeCell ref="A6:A7"/>
  </mergeCells>
  <pageMargins left="0.9055118110236221" right="0.51181102362204722" top="1.1417322834645669" bottom="0.19685039370078741" header="0.47244094488188981" footer="0.31496062992125984"/>
  <pageSetup paperSize="512" scale="8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96"/>
  <sheetViews>
    <sheetView topLeftCell="A74" zoomScale="85" zoomScaleNormal="85" workbookViewId="0">
      <selection activeCell="A79" sqref="A79:XFD79"/>
    </sheetView>
  </sheetViews>
  <sheetFormatPr defaultColWidth="9.140625" defaultRowHeight="15"/>
  <cols>
    <col min="1" max="1" width="5.140625" style="7" customWidth="1"/>
    <col min="2" max="2" width="15.140625" style="7" customWidth="1"/>
    <col min="3" max="3" width="16" style="7" customWidth="1"/>
    <col min="4" max="4" width="2.140625" style="7" customWidth="1"/>
    <col min="5" max="5" width="12.5703125" style="7" customWidth="1"/>
    <col min="6" max="6" width="12.85546875" style="7" customWidth="1"/>
    <col min="7" max="7" width="12.7109375" style="7" customWidth="1"/>
    <col min="8" max="8" width="13.28515625" style="7" customWidth="1"/>
    <col min="9" max="9" width="9.140625" style="7"/>
    <col min="10" max="10" width="5" style="64" customWidth="1"/>
    <col min="11" max="12" width="7.7109375" style="7" customWidth="1"/>
    <col min="13" max="13" width="8.7109375" style="7" customWidth="1"/>
    <col min="14" max="14" width="7.7109375" style="7" customWidth="1"/>
    <col min="15" max="15" width="5.5703125" style="7" customWidth="1"/>
    <col min="16" max="16" width="5.7109375" style="7" customWidth="1"/>
    <col min="17" max="17" width="5.140625" style="7" customWidth="1"/>
    <col min="18" max="20" width="7.7109375" style="7" customWidth="1"/>
    <col min="21" max="16384" width="9.140625" style="7"/>
  </cols>
  <sheetData>
    <row r="1" spans="1:16" ht="18.75" customHeight="1">
      <c r="A1" s="602" t="s">
        <v>151</v>
      </c>
      <c r="B1" s="602"/>
      <c r="C1" s="602"/>
      <c r="D1" s="602"/>
      <c r="E1" s="602"/>
      <c r="F1" s="602"/>
      <c r="G1" s="602"/>
      <c r="H1" s="279" t="s">
        <v>152</v>
      </c>
      <c r="I1" s="277"/>
      <c r="J1" s="277"/>
      <c r="K1" s="277"/>
    </row>
    <row r="2" spans="1:16" ht="15" customHeight="1">
      <c r="H2" s="265">
        <v>45483</v>
      </c>
      <c r="I2" s="267"/>
      <c r="J2" s="267"/>
      <c r="K2" s="267"/>
    </row>
    <row r="3" spans="1:16" ht="15" customHeight="1">
      <c r="A3" s="7" t="s">
        <v>3</v>
      </c>
      <c r="B3" s="54"/>
      <c r="C3" s="7" t="str">
        <f>'COVER '!E26</f>
        <v>: Teknik Mesin</v>
      </c>
    </row>
    <row r="4" spans="1:16" ht="15" customHeight="1">
      <c r="A4" s="7" t="s">
        <v>4</v>
      </c>
      <c r="B4" s="54"/>
      <c r="C4" s="7" t="str">
        <f>'COVER '!E27</f>
        <v xml:space="preserve">: Teknik Pemesinan </v>
      </c>
      <c r="J4" s="7"/>
    </row>
    <row r="5" spans="1:16" ht="15" customHeight="1">
      <c r="A5" s="7" t="s">
        <v>5</v>
      </c>
      <c r="C5" s="7" t="str">
        <f>'COVER '!E28</f>
        <v>: Mata Pelajaran Pilihan (CAM)</v>
      </c>
      <c r="J5" s="7"/>
    </row>
    <row r="6" spans="1:16" ht="15" customHeight="1">
      <c r="A6" s="7" t="s">
        <v>6</v>
      </c>
      <c r="B6" s="54"/>
      <c r="C6" s="6" t="str">
        <f>'COVER '!E29</f>
        <v>: F</v>
      </c>
      <c r="J6" s="7"/>
    </row>
    <row r="7" spans="1:16">
      <c r="A7" s="7" t="s">
        <v>7</v>
      </c>
      <c r="B7" s="54"/>
      <c r="C7" s="7" t="str">
        <f>'COVER '!E30</f>
        <v>: XI TM3</v>
      </c>
      <c r="J7" s="7"/>
    </row>
    <row r="8" spans="1:16" ht="16.5" customHeight="1">
      <c r="A8" s="7" t="s">
        <v>8</v>
      </c>
      <c r="B8" s="54"/>
      <c r="C8" s="7" t="str">
        <f>'COVER '!E31</f>
        <v>: Gasal</v>
      </c>
      <c r="J8" s="7"/>
    </row>
    <row r="9" spans="1:16">
      <c r="A9" s="7" t="s">
        <v>10</v>
      </c>
      <c r="B9" s="54"/>
      <c r="C9" s="7" t="str">
        <f>'COVER '!E32</f>
        <v>: 2025/2026</v>
      </c>
      <c r="J9" s="7"/>
    </row>
    <row r="10" spans="1:16" ht="16.5" customHeight="1">
      <c r="B10" s="54"/>
      <c r="J10" s="313"/>
      <c r="K10" s="314"/>
      <c r="L10" s="314"/>
      <c r="M10" s="314"/>
      <c r="N10" s="314"/>
      <c r="O10" s="314"/>
      <c r="P10" s="314"/>
    </row>
    <row r="11" spans="1:16" ht="35.1" customHeight="1" thickBot="1">
      <c r="A11" s="305" t="s">
        <v>153</v>
      </c>
      <c r="B11" s="305" t="s">
        <v>154</v>
      </c>
      <c r="C11" s="305" t="s">
        <v>155</v>
      </c>
      <c r="D11" s="603" t="s">
        <v>156</v>
      </c>
      <c r="E11" s="604"/>
      <c r="F11" s="305" t="s">
        <v>157</v>
      </c>
      <c r="G11" s="305" t="s">
        <v>158</v>
      </c>
      <c r="H11" s="306" t="s">
        <v>159</v>
      </c>
      <c r="J11" s="313"/>
      <c r="K11" s="314"/>
      <c r="L11" s="314"/>
      <c r="M11" s="314"/>
      <c r="N11" s="314"/>
      <c r="O11" s="314"/>
      <c r="P11" s="314"/>
    </row>
    <row r="12" spans="1:16" ht="18" customHeight="1" thickTop="1">
      <c r="A12" s="58">
        <v>1</v>
      </c>
      <c r="B12" s="454" t="s">
        <v>996</v>
      </c>
      <c r="C12" s="453">
        <v>5</v>
      </c>
      <c r="D12" s="605">
        <v>2</v>
      </c>
      <c r="E12" s="605"/>
      <c r="F12" s="453">
        <f>C12-D12</f>
        <v>3</v>
      </c>
      <c r="G12" s="307">
        <f>F12</f>
        <v>3</v>
      </c>
      <c r="H12" s="307">
        <f>G12*$E$20</f>
        <v>24</v>
      </c>
    </row>
    <row r="13" spans="1:16" ht="18" customHeight="1">
      <c r="A13" s="55">
        <v>2</v>
      </c>
      <c r="B13" s="455" t="s">
        <v>997</v>
      </c>
      <c r="C13" s="452">
        <v>4</v>
      </c>
      <c r="D13" s="606">
        <v>0</v>
      </c>
      <c r="E13" s="606"/>
      <c r="F13" s="453">
        <f t="shared" ref="F13:F17" si="0">C13-D13</f>
        <v>4</v>
      </c>
      <c r="G13" s="308">
        <f>F13</f>
        <v>4</v>
      </c>
      <c r="H13" s="307">
        <f t="shared" ref="H13:H17" si="1">G13*$E$20</f>
        <v>32</v>
      </c>
    </row>
    <row r="14" spans="1:16" ht="18" customHeight="1">
      <c r="A14" s="55">
        <v>3</v>
      </c>
      <c r="B14" s="455" t="s">
        <v>998</v>
      </c>
      <c r="C14" s="452">
        <v>4</v>
      </c>
      <c r="D14" s="606">
        <v>2</v>
      </c>
      <c r="E14" s="606"/>
      <c r="F14" s="453">
        <f t="shared" si="0"/>
        <v>2</v>
      </c>
      <c r="G14" s="308">
        <f>F14</f>
        <v>2</v>
      </c>
      <c r="H14" s="307">
        <f t="shared" si="1"/>
        <v>16</v>
      </c>
    </row>
    <row r="15" spans="1:16" ht="18.75" customHeight="1">
      <c r="A15" s="55">
        <v>4</v>
      </c>
      <c r="B15" s="455" t="s">
        <v>999</v>
      </c>
      <c r="C15" s="452">
        <v>4</v>
      </c>
      <c r="D15" s="606">
        <v>4</v>
      </c>
      <c r="E15" s="606"/>
      <c r="F15" s="453">
        <f t="shared" si="0"/>
        <v>0</v>
      </c>
      <c r="G15" s="308">
        <f>F15</f>
        <v>0</v>
      </c>
      <c r="H15" s="307">
        <f t="shared" si="1"/>
        <v>0</v>
      </c>
      <c r="K15" s="64"/>
    </row>
    <row r="16" spans="1:16" ht="18" customHeight="1">
      <c r="A16" s="55">
        <v>5</v>
      </c>
      <c r="B16" s="455" t="s">
        <v>1000</v>
      </c>
      <c r="C16" s="452">
        <v>4</v>
      </c>
      <c r="D16" s="606">
        <v>4</v>
      </c>
      <c r="E16" s="606"/>
      <c r="F16" s="453">
        <f t="shared" si="0"/>
        <v>0</v>
      </c>
      <c r="G16" s="308">
        <f t="shared" ref="G16:G17" si="2">F16</f>
        <v>0</v>
      </c>
      <c r="H16" s="307">
        <f t="shared" si="1"/>
        <v>0</v>
      </c>
    </row>
    <row r="17" spans="1:17" ht="18" customHeight="1">
      <c r="A17" s="55">
        <v>6</v>
      </c>
      <c r="B17" s="455" t="s">
        <v>1001</v>
      </c>
      <c r="C17" s="452">
        <v>5</v>
      </c>
      <c r="D17" s="606">
        <v>5</v>
      </c>
      <c r="E17" s="606"/>
      <c r="F17" s="453">
        <f t="shared" si="0"/>
        <v>0</v>
      </c>
      <c r="G17" s="308">
        <f t="shared" si="2"/>
        <v>0</v>
      </c>
      <c r="H17" s="307">
        <f t="shared" si="1"/>
        <v>0</v>
      </c>
    </row>
    <row r="18" spans="1:17">
      <c r="A18" s="607" t="s">
        <v>160</v>
      </c>
      <c r="B18" s="608"/>
      <c r="C18" s="307">
        <f>SUM(C12:C17)</f>
        <v>26</v>
      </c>
      <c r="D18" s="609">
        <f>SUM(D12:E17)</f>
        <v>17</v>
      </c>
      <c r="E18" s="610"/>
      <c r="F18" s="307">
        <f>SUM(F12:F17)</f>
        <v>9</v>
      </c>
      <c r="G18" s="307">
        <f t="shared" ref="G18:H18" si="3">SUM(G12:G17)</f>
        <v>9</v>
      </c>
      <c r="H18" s="307">
        <f t="shared" si="3"/>
        <v>72</v>
      </c>
    </row>
    <row r="19" spans="1:17" ht="16.5" customHeight="1">
      <c r="A19" s="64"/>
      <c r="B19" s="64"/>
      <c r="C19" s="64"/>
      <c r="D19" s="64"/>
      <c r="E19" s="64"/>
      <c r="F19" s="64"/>
      <c r="G19" s="64"/>
    </row>
    <row r="20" spans="1:17">
      <c r="A20" s="64"/>
      <c r="B20" s="411" t="s">
        <v>161</v>
      </c>
      <c r="C20" s="64"/>
      <c r="D20" s="64" t="s">
        <v>13</v>
      </c>
      <c r="E20" s="64">
        <v>8</v>
      </c>
      <c r="F20" s="62" t="s">
        <v>162</v>
      </c>
      <c r="G20" s="64"/>
    </row>
    <row r="21" spans="1:17" ht="16.5" customHeight="1">
      <c r="A21" s="64"/>
      <c r="B21" s="62" t="s">
        <v>163</v>
      </c>
      <c r="C21" s="64"/>
      <c r="D21" s="64" t="s">
        <v>13</v>
      </c>
      <c r="E21" s="309">
        <f>H18</f>
        <v>72</v>
      </c>
      <c r="F21" s="62" t="s">
        <v>162</v>
      </c>
      <c r="G21" s="64"/>
    </row>
    <row r="22" spans="1:17">
      <c r="B22" s="54" t="s">
        <v>164</v>
      </c>
      <c r="E22" s="64"/>
    </row>
    <row r="23" spans="1:17">
      <c r="B23" s="7" t="s">
        <v>165</v>
      </c>
      <c r="D23" s="64" t="s">
        <v>13</v>
      </c>
      <c r="E23" s="104">
        <f>E27-E24-E25</f>
        <v>56</v>
      </c>
      <c r="F23" s="7" t="s">
        <v>162</v>
      </c>
    </row>
    <row r="24" spans="1:17">
      <c r="B24" s="362" t="s">
        <v>1002</v>
      </c>
      <c r="D24" s="64" t="s">
        <v>13</v>
      </c>
      <c r="E24" s="64">
        <v>12</v>
      </c>
      <c r="F24" s="7" t="s">
        <v>162</v>
      </c>
      <c r="P24" s="62"/>
    </row>
    <row r="25" spans="1:17">
      <c r="B25" s="10" t="s">
        <v>166</v>
      </c>
      <c r="D25" s="64" t="s">
        <v>13</v>
      </c>
      <c r="E25" s="64">
        <v>4</v>
      </c>
      <c r="F25" s="7" t="s">
        <v>162</v>
      </c>
      <c r="Q25" s="316">
        <f>SUM(Q17:Q24)</f>
        <v>0</v>
      </c>
    </row>
    <row r="26" spans="1:17">
      <c r="E26" s="64"/>
    </row>
    <row r="27" spans="1:17">
      <c r="C27" s="104" t="s">
        <v>167</v>
      </c>
      <c r="D27" s="64" t="s">
        <v>13</v>
      </c>
      <c r="E27" s="310">
        <f>E21</f>
        <v>72</v>
      </c>
      <c r="F27" s="311" t="s">
        <v>162</v>
      </c>
    </row>
    <row r="28" spans="1:17" ht="16.5" customHeight="1">
      <c r="B28" s="10"/>
      <c r="D28" s="64"/>
      <c r="E28" s="64"/>
    </row>
    <row r="29" spans="1:17" hidden="1">
      <c r="B29" s="10"/>
      <c r="E29" s="64"/>
    </row>
    <row r="30" spans="1:17" hidden="1">
      <c r="C30" s="104"/>
      <c r="D30" s="64"/>
      <c r="E30" s="312"/>
      <c r="F30" s="311"/>
    </row>
    <row r="31" spans="1:17" hidden="1">
      <c r="F31" s="7" t="s">
        <v>168</v>
      </c>
    </row>
    <row r="32" spans="1:17" hidden="1"/>
    <row r="33" spans="2:23" hidden="1">
      <c r="B33" s="362" t="s">
        <v>993</v>
      </c>
      <c r="F33" s="7" t="s">
        <v>170</v>
      </c>
    </row>
    <row r="34" spans="2:23" hidden="1">
      <c r="N34" s="54"/>
    </row>
    <row r="35" spans="2:23" hidden="1"/>
    <row r="36" spans="2:23" hidden="1"/>
    <row r="37" spans="2:23" ht="21.75" hidden="1" customHeight="1">
      <c r="B37" s="363" t="s">
        <v>981</v>
      </c>
      <c r="C37" s="103"/>
      <c r="D37" s="103"/>
      <c r="E37" s="103"/>
      <c r="F37" s="103" t="str">
        <f>'COVER '!F34</f>
        <v>Hermawan Rochmadi, S. Pd.</v>
      </c>
    </row>
    <row r="38" spans="2:23" hidden="1">
      <c r="B38" s="362" t="s">
        <v>846</v>
      </c>
      <c r="F38" s="611" t="s">
        <v>991</v>
      </c>
      <c r="G38" s="611"/>
      <c r="K38" s="6"/>
      <c r="L38" s="6"/>
      <c r="M38" s="6"/>
      <c r="N38" s="6"/>
      <c r="O38" s="6"/>
      <c r="P38" s="6"/>
      <c r="Q38" s="6"/>
    </row>
    <row r="39" spans="2:23" hidden="1">
      <c r="F39" s="54"/>
      <c r="K39" s="6"/>
      <c r="L39" s="6"/>
      <c r="M39" s="6"/>
      <c r="N39" s="6"/>
      <c r="O39" s="6"/>
      <c r="P39" s="6"/>
      <c r="Q39" s="6"/>
      <c r="R39" s="6"/>
    </row>
    <row r="40" spans="2:23" hidden="1">
      <c r="C40" s="451" t="s">
        <v>171</v>
      </c>
      <c r="F40" s="54"/>
    </row>
    <row r="41" spans="2:23" hidden="1">
      <c r="B41" s="7" t="s">
        <v>172</v>
      </c>
      <c r="F41" s="7" t="s">
        <v>173</v>
      </c>
      <c r="L41" s="315"/>
    </row>
    <row r="42" spans="2:23" hidden="1"/>
    <row r="43" spans="2:23" hidden="1"/>
    <row r="44" spans="2:23" hidden="1">
      <c r="R44" s="6"/>
      <c r="S44" s="6"/>
      <c r="T44" s="6"/>
      <c r="U44" s="6"/>
      <c r="V44" s="6"/>
      <c r="W44" s="6"/>
    </row>
    <row r="45" spans="2:23" hidden="1">
      <c r="B45" s="7" t="s">
        <v>94</v>
      </c>
      <c r="F45" s="103" t="s">
        <v>782</v>
      </c>
      <c r="R45" s="6"/>
      <c r="S45" s="6"/>
      <c r="T45" s="6"/>
      <c r="U45" s="6"/>
      <c r="V45" s="6"/>
      <c r="W45" s="103"/>
    </row>
    <row r="46" spans="2:23" hidden="1">
      <c r="B46" s="362" t="s">
        <v>994</v>
      </c>
      <c r="F46" s="363" t="s">
        <v>992</v>
      </c>
    </row>
    <row r="47" spans="2:23" ht="10.5" hidden="1" customHeight="1"/>
    <row r="48" spans="2:23" ht="10.5" hidden="1" customHeight="1"/>
    <row r="49" spans="1:19" ht="10.5" hidden="1" customHeight="1"/>
    <row r="50" spans="1:19" ht="10.5" hidden="1" customHeight="1"/>
    <row r="51" spans="1:19" ht="10.5" hidden="1" customHeight="1"/>
    <row r="52" spans="1:19" ht="18.75" hidden="1">
      <c r="A52" s="602" t="s">
        <v>151</v>
      </c>
      <c r="B52" s="602"/>
      <c r="C52" s="602"/>
      <c r="D52" s="602"/>
      <c r="E52" s="602"/>
      <c r="F52" s="602"/>
      <c r="G52" s="602"/>
      <c r="H52" s="279" t="s">
        <v>174</v>
      </c>
      <c r="K52" s="64"/>
      <c r="L52" s="64"/>
      <c r="M52" s="64"/>
      <c r="N52" s="64"/>
      <c r="O52" s="64"/>
      <c r="P52" s="64"/>
    </row>
    <row r="53" spans="1:19" hidden="1">
      <c r="H53" s="265">
        <v>45117</v>
      </c>
      <c r="K53" s="64"/>
      <c r="L53" s="64"/>
      <c r="M53" s="64"/>
      <c r="N53" s="64"/>
      <c r="O53" s="64"/>
      <c r="P53" s="64"/>
    </row>
    <row r="54" spans="1:19" ht="16.5" hidden="1" customHeight="1">
      <c r="A54" s="7" t="s">
        <v>3</v>
      </c>
      <c r="C54" s="7" t="str">
        <f>'COVER '!E26</f>
        <v>: Teknik Mesin</v>
      </c>
      <c r="K54" s="64"/>
      <c r="L54" s="64"/>
      <c r="M54" s="64"/>
      <c r="N54" s="64"/>
      <c r="O54" s="64"/>
      <c r="P54" s="64"/>
      <c r="R54" s="6"/>
      <c r="S54" s="6"/>
    </row>
    <row r="55" spans="1:19" ht="16.5" hidden="1" customHeight="1">
      <c r="A55" s="7" t="s">
        <v>4</v>
      </c>
      <c r="B55" s="54"/>
      <c r="C55" s="7" t="str">
        <f>'COVER '!E27</f>
        <v xml:space="preserve">: Teknik Pemesinan </v>
      </c>
      <c r="K55" s="64"/>
      <c r="L55" s="64"/>
      <c r="M55" s="64"/>
      <c r="N55" s="64"/>
      <c r="O55" s="64"/>
      <c r="P55" s="64"/>
      <c r="R55" s="6"/>
      <c r="S55" s="6"/>
    </row>
    <row r="56" spans="1:19" ht="16.5" hidden="1" customHeight="1">
      <c r="A56" s="7" t="s">
        <v>5</v>
      </c>
      <c r="B56" s="54"/>
      <c r="C56" s="7" t="str">
        <f>'COVER '!E28</f>
        <v>: Mata Pelajaran Pilihan (CAM)</v>
      </c>
      <c r="K56" s="64"/>
      <c r="L56" s="64"/>
      <c r="M56" s="64"/>
      <c r="N56" s="64"/>
      <c r="O56" s="64"/>
      <c r="P56" s="64"/>
      <c r="R56" s="6"/>
      <c r="S56" s="6"/>
    </row>
    <row r="57" spans="1:19" ht="16.5" hidden="1" customHeight="1">
      <c r="A57" s="7" t="s">
        <v>6</v>
      </c>
      <c r="B57" s="54"/>
      <c r="C57" s="6" t="str">
        <f>'COVER '!E29</f>
        <v>: F</v>
      </c>
      <c r="K57" s="64"/>
      <c r="L57" s="64"/>
      <c r="M57" s="64"/>
      <c r="N57" s="64"/>
      <c r="O57" s="64"/>
      <c r="P57" s="64"/>
      <c r="R57" s="6"/>
      <c r="S57" s="6"/>
    </row>
    <row r="58" spans="1:19" hidden="1">
      <c r="A58" s="7" t="s">
        <v>7</v>
      </c>
      <c r="B58" s="54"/>
      <c r="C58" s="7" t="str">
        <f>'COVER '!E30</f>
        <v>: XI TM3</v>
      </c>
    </row>
    <row r="59" spans="1:19" ht="16.5" customHeight="1">
      <c r="A59" s="7" t="s">
        <v>8</v>
      </c>
      <c r="B59" s="54"/>
      <c r="C59" s="7" t="s">
        <v>175</v>
      </c>
      <c r="F59" s="7" t="s">
        <v>176</v>
      </c>
      <c r="R59" s="6"/>
      <c r="S59" s="6"/>
    </row>
    <row r="60" spans="1:19" ht="16.5" customHeight="1">
      <c r="A60" s="7" t="s">
        <v>10</v>
      </c>
      <c r="B60" s="54"/>
      <c r="C60" s="7" t="str">
        <f>'COVER '!E32</f>
        <v>: 2025/2026</v>
      </c>
      <c r="K60" s="612"/>
      <c r="L60" s="612"/>
      <c r="M60" s="612"/>
      <c r="N60" s="612"/>
      <c r="O60" s="612"/>
      <c r="P60" s="612"/>
      <c r="R60" s="6"/>
      <c r="S60" s="6"/>
    </row>
    <row r="61" spans="1:19">
      <c r="K61" s="315"/>
      <c r="Q61" s="315"/>
    </row>
    <row r="62" spans="1:19" ht="33.75" customHeight="1">
      <c r="A62" s="305" t="s">
        <v>153</v>
      </c>
      <c r="B62" s="305" t="s">
        <v>154</v>
      </c>
      <c r="C62" s="305" t="s">
        <v>155</v>
      </c>
      <c r="D62" s="603" t="s">
        <v>156</v>
      </c>
      <c r="E62" s="604"/>
      <c r="F62" s="305" t="s">
        <v>157</v>
      </c>
      <c r="G62" s="305" t="s">
        <v>158</v>
      </c>
      <c r="H62" s="306" t="s">
        <v>159</v>
      </c>
      <c r="K62" s="64"/>
      <c r="L62" s="64"/>
      <c r="M62" s="64"/>
      <c r="N62" s="64"/>
      <c r="O62" s="64"/>
      <c r="P62" s="64"/>
    </row>
    <row r="63" spans="1:19">
      <c r="A63" s="58">
        <v>1</v>
      </c>
      <c r="B63" s="456" t="s">
        <v>197</v>
      </c>
      <c r="C63" s="58">
        <v>4</v>
      </c>
      <c r="D63" s="613">
        <v>0</v>
      </c>
      <c r="E63" s="614"/>
      <c r="F63" s="58">
        <f>C63-D63</f>
        <v>4</v>
      </c>
      <c r="G63" s="58">
        <f>F63</f>
        <v>4</v>
      </c>
      <c r="H63" s="58">
        <f>G63*$E$71</f>
        <v>32</v>
      </c>
      <c r="J63" s="7"/>
      <c r="K63" s="64"/>
      <c r="L63" s="64"/>
      <c r="M63" s="64"/>
      <c r="N63" s="64"/>
      <c r="O63" s="64"/>
      <c r="P63" s="64"/>
      <c r="Q63" s="64"/>
      <c r="R63" s="64"/>
    </row>
    <row r="64" spans="1:19">
      <c r="A64" s="55">
        <v>2</v>
      </c>
      <c r="B64" s="457" t="s">
        <v>198</v>
      </c>
      <c r="C64" s="55">
        <v>4</v>
      </c>
      <c r="D64" s="618">
        <v>1</v>
      </c>
      <c r="E64" s="619"/>
      <c r="F64" s="58">
        <f>C64-D64</f>
        <v>3</v>
      </c>
      <c r="G64" s="357">
        <f t="shared" ref="G64:G68" si="4">F64</f>
        <v>3</v>
      </c>
      <c r="H64" s="357">
        <f t="shared" ref="H64:H68" si="5">G64*$E$71</f>
        <v>24</v>
      </c>
      <c r="J64" s="7"/>
      <c r="K64" s="64"/>
      <c r="L64" s="64"/>
      <c r="M64" s="64"/>
      <c r="N64" s="64"/>
      <c r="O64" s="64"/>
      <c r="P64" s="64"/>
      <c r="Q64" s="64"/>
      <c r="R64" s="64"/>
    </row>
    <row r="65" spans="1:18">
      <c r="A65" s="55">
        <v>3</v>
      </c>
      <c r="B65" s="457" t="s">
        <v>199</v>
      </c>
      <c r="C65" s="55">
        <v>4</v>
      </c>
      <c r="D65" s="618">
        <v>2</v>
      </c>
      <c r="E65" s="619"/>
      <c r="F65" s="58">
        <f t="shared" ref="F65:F68" si="6">C65-D65</f>
        <v>2</v>
      </c>
      <c r="G65" s="357">
        <f t="shared" si="4"/>
        <v>2</v>
      </c>
      <c r="H65" s="357">
        <f t="shared" si="5"/>
        <v>16</v>
      </c>
      <c r="I65" s="64"/>
      <c r="K65" s="64"/>
      <c r="L65" s="64"/>
      <c r="M65" s="64"/>
      <c r="N65" s="64"/>
      <c r="O65" s="64"/>
      <c r="P65" s="64"/>
      <c r="Q65" s="64"/>
      <c r="R65" s="64"/>
    </row>
    <row r="66" spans="1:18">
      <c r="A66" s="55">
        <v>4</v>
      </c>
      <c r="B66" s="457" t="s">
        <v>200</v>
      </c>
      <c r="C66" s="55">
        <v>5</v>
      </c>
      <c r="D66" s="618">
        <v>5</v>
      </c>
      <c r="E66" s="619"/>
      <c r="F66" s="58">
        <f t="shared" si="6"/>
        <v>0</v>
      </c>
      <c r="G66" s="357">
        <f t="shared" si="4"/>
        <v>0</v>
      </c>
      <c r="H66" s="357">
        <f t="shared" si="5"/>
        <v>0</v>
      </c>
      <c r="K66" s="315"/>
      <c r="Q66" s="315"/>
    </row>
    <row r="67" spans="1:18">
      <c r="A67" s="55">
        <v>5</v>
      </c>
      <c r="B67" s="457" t="s">
        <v>201</v>
      </c>
      <c r="C67" s="55">
        <v>4</v>
      </c>
      <c r="D67" s="618">
        <v>4</v>
      </c>
      <c r="E67" s="619"/>
      <c r="F67" s="58">
        <f t="shared" si="6"/>
        <v>0</v>
      </c>
      <c r="G67" s="357">
        <f t="shared" si="4"/>
        <v>0</v>
      </c>
      <c r="H67" s="357">
        <f t="shared" si="5"/>
        <v>0</v>
      </c>
    </row>
    <row r="68" spans="1:18">
      <c r="A68" s="55">
        <v>6</v>
      </c>
      <c r="B68" s="457" t="s">
        <v>202</v>
      </c>
      <c r="C68" s="55">
        <v>4</v>
      </c>
      <c r="D68" s="618">
        <v>4</v>
      </c>
      <c r="E68" s="619"/>
      <c r="F68" s="58">
        <f t="shared" si="6"/>
        <v>0</v>
      </c>
      <c r="G68" s="357">
        <f t="shared" si="4"/>
        <v>0</v>
      </c>
      <c r="H68" s="357">
        <f t="shared" si="5"/>
        <v>0</v>
      </c>
    </row>
    <row r="69" spans="1:18">
      <c r="A69" s="607" t="s">
        <v>160</v>
      </c>
      <c r="B69" s="608"/>
      <c r="C69" s="308">
        <f>SUM(C63:C68)</f>
        <v>25</v>
      </c>
      <c r="D69" s="615">
        <f>SUM(D63:D68)</f>
        <v>16</v>
      </c>
      <c r="E69" s="616"/>
      <c r="F69" s="308">
        <f>SUM(F63:F68)</f>
        <v>9</v>
      </c>
      <c r="G69" s="308">
        <f t="shared" ref="G69:H69" si="7">SUM(G63:G68)</f>
        <v>9</v>
      </c>
      <c r="H69" s="308">
        <f t="shared" si="7"/>
        <v>72</v>
      </c>
    </row>
    <row r="70" spans="1:18">
      <c r="A70" s="64"/>
      <c r="B70" s="64"/>
      <c r="C70" s="64"/>
      <c r="D70" s="64"/>
      <c r="E70" s="64"/>
      <c r="F70" s="64"/>
      <c r="G70" s="64"/>
    </row>
    <row r="71" spans="1:18">
      <c r="A71" s="64"/>
      <c r="B71" s="62" t="s">
        <v>161</v>
      </c>
      <c r="C71" s="64"/>
      <c r="D71" s="64" t="s">
        <v>13</v>
      </c>
      <c r="E71" s="64">
        <v>8</v>
      </c>
      <c r="F71" s="62" t="s">
        <v>162</v>
      </c>
      <c r="G71" s="64"/>
      <c r="Q71" s="315"/>
    </row>
    <row r="72" spans="1:18">
      <c r="A72" s="64"/>
      <c r="B72" s="62" t="s">
        <v>163</v>
      </c>
      <c r="C72" s="64"/>
      <c r="D72" s="64" t="s">
        <v>13</v>
      </c>
      <c r="E72" s="458">
        <f>H69</f>
        <v>72</v>
      </c>
      <c r="F72" s="62" t="s">
        <v>162</v>
      </c>
      <c r="G72" s="64"/>
    </row>
    <row r="73" spans="1:18">
      <c r="B73" s="54" t="s">
        <v>164</v>
      </c>
      <c r="E73" s="64"/>
    </row>
    <row r="74" spans="1:18">
      <c r="B74" s="7" t="s">
        <v>165</v>
      </c>
      <c r="D74" s="64" t="s">
        <v>13</v>
      </c>
      <c r="E74" s="64">
        <f>E72-E75-E76</f>
        <v>56</v>
      </c>
    </row>
    <row r="75" spans="1:18">
      <c r="B75" s="406" t="s">
        <v>1009</v>
      </c>
      <c r="C75" s="10"/>
      <c r="D75" s="64" t="s">
        <v>13</v>
      </c>
      <c r="E75" s="64">
        <v>12</v>
      </c>
    </row>
    <row r="76" spans="1:18">
      <c r="B76" s="10" t="s">
        <v>166</v>
      </c>
      <c r="C76" s="10"/>
      <c r="D76" s="64" t="s">
        <v>13</v>
      </c>
      <c r="E76" s="64">
        <v>4</v>
      </c>
      <c r="F76" s="7" t="s">
        <v>162</v>
      </c>
      <c r="O76" s="54"/>
      <c r="Q76" s="315"/>
    </row>
    <row r="78" spans="1:18">
      <c r="B78" s="10"/>
      <c r="C78" s="104" t="s">
        <v>167</v>
      </c>
      <c r="D78" s="64" t="s">
        <v>13</v>
      </c>
      <c r="E78" s="459">
        <f>SUM(E74:E76)</f>
        <v>72</v>
      </c>
      <c r="F78" s="311" t="s">
        <v>162</v>
      </c>
    </row>
    <row r="79" spans="1:18" ht="4.5" customHeight="1"/>
    <row r="80" spans="1:18" ht="33.75" customHeight="1">
      <c r="B80" s="979" t="s">
        <v>177</v>
      </c>
      <c r="C80" s="104"/>
      <c r="D80" s="64"/>
      <c r="E80" s="312"/>
      <c r="F80" s="311"/>
    </row>
    <row r="81" spans="2:17" ht="16.5" customHeight="1">
      <c r="G81" s="7" t="s">
        <v>168</v>
      </c>
      <c r="K81" s="315"/>
      <c r="Q81" s="315"/>
    </row>
    <row r="82" spans="2:17">
      <c r="K82" s="315"/>
    </row>
    <row r="83" spans="2:17">
      <c r="B83" s="362" t="s">
        <v>993</v>
      </c>
      <c r="G83" s="7" t="s">
        <v>178</v>
      </c>
    </row>
    <row r="87" spans="2:17" ht="16.5" customHeight="1">
      <c r="B87" s="103" t="str">
        <f>B37</f>
        <v>Drs. M. Hasannuddin</v>
      </c>
      <c r="C87" s="103"/>
      <c r="D87" s="103"/>
      <c r="E87" s="103"/>
      <c r="G87" s="103" t="str">
        <f>F37</f>
        <v>Hermawan Rochmadi, S. Pd.</v>
      </c>
    </row>
    <row r="88" spans="2:17">
      <c r="B88" s="7" t="str">
        <f>B38</f>
        <v>NIP. 19670621 199412 1 003</v>
      </c>
      <c r="G88" s="7" t="str">
        <f>F38</f>
        <v>NIP. 19920317 201903 1 009</v>
      </c>
    </row>
    <row r="89" spans="2:17">
      <c r="B89" s="103"/>
      <c r="C89" s="103"/>
      <c r="D89" s="103"/>
      <c r="E89" s="103"/>
      <c r="G89" s="103"/>
    </row>
    <row r="90" spans="2:17">
      <c r="C90" s="617" t="s">
        <v>179</v>
      </c>
      <c r="D90" s="617"/>
      <c r="E90" s="617"/>
    </row>
    <row r="91" spans="2:17">
      <c r="B91" s="103" t="str">
        <f>B41</f>
        <v>Kepala Sekolah</v>
      </c>
      <c r="C91" s="103"/>
      <c r="D91" s="103"/>
      <c r="E91" s="103"/>
      <c r="G91" s="103" t="str">
        <f>F41</f>
        <v>WKS-1</v>
      </c>
    </row>
    <row r="93" spans="2:17">
      <c r="B93" s="103"/>
      <c r="C93" s="103"/>
      <c r="D93" s="103"/>
      <c r="E93" s="103"/>
      <c r="G93" s="103"/>
    </row>
    <row r="95" spans="2:17">
      <c r="B95" s="103" t="str">
        <f>B45</f>
        <v>WIDADA, S.Pd., M.Pd.</v>
      </c>
      <c r="C95" s="103"/>
      <c r="D95" s="103"/>
      <c r="E95" s="103"/>
      <c r="G95" s="103" t="str">
        <f>F45</f>
        <v>GUNAWAN, S.Pd., M.M.</v>
      </c>
    </row>
    <row r="96" spans="2:17">
      <c r="B96" s="7" t="str">
        <f>B46</f>
        <v>NIP. 19690212 200012 1 002</v>
      </c>
      <c r="G96" s="7" t="str">
        <f>F46</f>
        <v>NIP. 19711213 200501 1 004</v>
      </c>
    </row>
  </sheetData>
  <mergeCells count="23">
    <mergeCell ref="A69:B69"/>
    <mergeCell ref="D69:E69"/>
    <mergeCell ref="C90:E90"/>
    <mergeCell ref="D64:E64"/>
    <mergeCell ref="D65:E65"/>
    <mergeCell ref="D66:E66"/>
    <mergeCell ref="D67:E67"/>
    <mergeCell ref="D68:E68"/>
    <mergeCell ref="F38:G38"/>
    <mergeCell ref="A52:G52"/>
    <mergeCell ref="K60:P60"/>
    <mergeCell ref="D62:E62"/>
    <mergeCell ref="D63:E63"/>
    <mergeCell ref="D15:E15"/>
    <mergeCell ref="D16:E16"/>
    <mergeCell ref="D17:E17"/>
    <mergeCell ref="A18:B18"/>
    <mergeCell ref="D18:E18"/>
    <mergeCell ref="A1:G1"/>
    <mergeCell ref="D11:E11"/>
    <mergeCell ref="D12:E12"/>
    <mergeCell ref="D13:E13"/>
    <mergeCell ref="D14:E14"/>
  </mergeCells>
  <pageMargins left="1.0629921259842521" right="0.39370078740157483" top="0.47244094488188981" bottom="0.59055118110236227" header="0.31496062992125984" footer="0.31496062992125984"/>
  <pageSetup paperSize="512" scale="8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38"/>
  <sheetViews>
    <sheetView zoomScale="85" zoomScaleNormal="85" workbookViewId="0">
      <selection activeCell="A3" sqref="A3:F3"/>
    </sheetView>
  </sheetViews>
  <sheetFormatPr defaultColWidth="9.140625" defaultRowHeight="16.5" customHeight="1"/>
  <cols>
    <col min="1" max="1" width="3.28515625" style="361" customWidth="1"/>
    <col min="2" max="2" width="19.42578125" style="361" customWidth="1"/>
    <col min="3" max="3" width="43.85546875" style="361" customWidth="1"/>
    <col min="4" max="5" width="14.85546875" style="361" customWidth="1"/>
    <col min="6" max="6" width="8.5703125" style="361" customWidth="1"/>
    <col min="7" max="16384" width="9.140625" style="361"/>
  </cols>
  <sheetData>
    <row r="1" spans="1:8" ht="16.5" customHeight="1">
      <c r="C1" s="362"/>
      <c r="D1" s="362"/>
      <c r="E1" s="622" t="s">
        <v>180</v>
      </c>
      <c r="F1" s="622"/>
    </row>
    <row r="2" spans="1:8" ht="16.5" customHeight="1">
      <c r="D2" s="362"/>
      <c r="E2" s="623">
        <v>45483</v>
      </c>
      <c r="F2" s="623"/>
    </row>
    <row r="3" spans="1:8" ht="48" customHeight="1">
      <c r="A3" s="941" t="s">
        <v>181</v>
      </c>
      <c r="B3" s="941"/>
      <c r="C3" s="941"/>
      <c r="D3" s="941"/>
      <c r="E3" s="941"/>
      <c r="F3" s="941"/>
    </row>
    <row r="4" spans="1:8" ht="16.5" customHeight="1">
      <c r="B4" s="362" t="s">
        <v>3</v>
      </c>
      <c r="C4" s="541" t="str">
        <f>'COVER '!E26</f>
        <v>: Teknik Mesin</v>
      </c>
      <c r="D4" s="541"/>
      <c r="E4" s="541"/>
      <c r="F4" s="541"/>
      <c r="G4" s="541"/>
      <c r="H4" s="362"/>
    </row>
    <row r="5" spans="1:8" ht="16.5" customHeight="1">
      <c r="B5" s="362" t="s">
        <v>4</v>
      </c>
      <c r="C5" s="541" t="str">
        <f>'COVER '!E27</f>
        <v xml:space="preserve">: Teknik Pemesinan </v>
      </c>
      <c r="D5" s="541"/>
      <c r="E5" s="541"/>
      <c r="F5" s="541"/>
      <c r="G5" s="541"/>
      <c r="H5" s="362"/>
    </row>
    <row r="6" spans="1:8" ht="16.5" customHeight="1">
      <c r="B6" s="362" t="s">
        <v>5</v>
      </c>
      <c r="C6" s="541" t="str">
        <f>'COVER '!E28</f>
        <v>: Mata Pelajaran Pilihan (CAM)</v>
      </c>
      <c r="D6" s="541"/>
      <c r="E6" s="541"/>
      <c r="F6" s="541"/>
      <c r="G6" s="541"/>
      <c r="H6" s="362"/>
    </row>
    <row r="7" spans="1:8" ht="16.5" customHeight="1">
      <c r="B7" s="362" t="s">
        <v>6</v>
      </c>
      <c r="C7" s="542" t="str">
        <f>'COVER '!E29</f>
        <v>: F</v>
      </c>
      <c r="D7" s="541"/>
      <c r="E7" s="541"/>
      <c r="F7" s="541"/>
      <c r="G7" s="541"/>
      <c r="H7" s="362"/>
    </row>
    <row r="8" spans="1:8" ht="16.5" customHeight="1">
      <c r="B8" s="362" t="s">
        <v>7</v>
      </c>
      <c r="C8" s="541" t="str">
        <f>'COVER '!E30</f>
        <v>: XI TM3</v>
      </c>
      <c r="D8" s="541"/>
      <c r="E8" s="541"/>
      <c r="F8" s="541"/>
      <c r="G8" s="541"/>
      <c r="H8" s="362"/>
    </row>
    <row r="9" spans="1:8" ht="16.5" hidden="1" customHeight="1">
      <c r="B9" s="362" t="s">
        <v>8</v>
      </c>
      <c r="C9" s="541" t="str">
        <f>'COVER '!E31</f>
        <v>: Gasal</v>
      </c>
      <c r="D9" s="541"/>
      <c r="E9" s="541"/>
      <c r="F9" s="541"/>
      <c r="G9" s="541"/>
      <c r="H9" s="362"/>
    </row>
    <row r="10" spans="1:8" ht="16.5" customHeight="1">
      <c r="B10" s="362" t="s">
        <v>10</v>
      </c>
      <c r="C10" s="541" t="str">
        <f>'COVER '!E32</f>
        <v>: 2025/2026</v>
      </c>
      <c r="D10" s="541"/>
      <c r="E10" s="541"/>
      <c r="F10" s="541"/>
      <c r="G10" s="541"/>
      <c r="H10" s="362"/>
    </row>
    <row r="11" spans="1:8" ht="16.5" customHeight="1">
      <c r="C11" s="362"/>
      <c r="D11" s="362"/>
      <c r="E11" s="362"/>
      <c r="F11" s="362"/>
    </row>
    <row r="12" spans="1:8" ht="26.25" customHeight="1">
      <c r="B12" s="625" t="s">
        <v>8</v>
      </c>
      <c r="C12" s="625" t="s">
        <v>182</v>
      </c>
      <c r="D12" s="624" t="s">
        <v>1032</v>
      </c>
      <c r="E12" s="624"/>
      <c r="F12" s="624" t="s">
        <v>183</v>
      </c>
    </row>
    <row r="13" spans="1:8" ht="16.5" customHeight="1">
      <c r="B13" s="625"/>
      <c r="C13" s="625"/>
      <c r="D13" s="627" t="s">
        <v>184</v>
      </c>
      <c r="E13" s="627" t="s">
        <v>185</v>
      </c>
      <c r="F13" s="624"/>
    </row>
    <row r="14" spans="1:8" ht="16.5" customHeight="1">
      <c r="B14" s="626"/>
      <c r="C14" s="626"/>
      <c r="D14" s="628"/>
      <c r="E14" s="628"/>
      <c r="F14" s="627"/>
    </row>
    <row r="15" spans="1:8" ht="26.25" customHeight="1">
      <c r="B15" s="629">
        <v>3</v>
      </c>
      <c r="C15" s="548" t="s">
        <v>1010</v>
      </c>
      <c r="D15" s="549">
        <v>32</v>
      </c>
      <c r="E15" s="549">
        <v>8</v>
      </c>
      <c r="F15" s="543">
        <f t="shared" ref="F15:F18" si="0">SUM(D15:E15)</f>
        <v>40</v>
      </c>
    </row>
    <row r="16" spans="1:8" ht="27.75" customHeight="1">
      <c r="B16" s="630"/>
      <c r="C16" s="548" t="s">
        <v>1011</v>
      </c>
      <c r="D16" s="549">
        <v>28</v>
      </c>
      <c r="E16" s="549">
        <v>4</v>
      </c>
      <c r="F16" s="543">
        <f t="shared" si="0"/>
        <v>32</v>
      </c>
    </row>
    <row r="17" spans="2:7" ht="26.25" customHeight="1">
      <c r="B17" s="629">
        <v>4</v>
      </c>
      <c r="C17" s="548" t="s">
        <v>1021</v>
      </c>
      <c r="D17" s="549">
        <v>32</v>
      </c>
      <c r="E17" s="549">
        <v>8</v>
      </c>
      <c r="F17" s="543">
        <f t="shared" si="0"/>
        <v>40</v>
      </c>
    </row>
    <row r="18" spans="2:7" ht="30" customHeight="1">
      <c r="B18" s="630"/>
      <c r="C18" s="548" t="s">
        <v>1012</v>
      </c>
      <c r="D18" s="549">
        <v>28</v>
      </c>
      <c r="E18" s="549">
        <v>4</v>
      </c>
      <c r="F18" s="543">
        <f t="shared" si="0"/>
        <v>32</v>
      </c>
    </row>
    <row r="19" spans="2:7" ht="30" customHeight="1">
      <c r="B19" s="620" t="s">
        <v>187</v>
      </c>
      <c r="C19" s="621"/>
      <c r="D19" s="543">
        <f>SUM(D15:D18)</f>
        <v>120</v>
      </c>
      <c r="E19" s="543">
        <f>SUM(E15:E18)</f>
        <v>24</v>
      </c>
      <c r="F19" s="543">
        <f>SUM(D19:E19)</f>
        <v>144</v>
      </c>
    </row>
    <row r="21" spans="2:7" ht="16.5" customHeight="1">
      <c r="B21" s="406"/>
      <c r="C21" s="544"/>
      <c r="D21" s="406"/>
      <c r="E21" s="544"/>
      <c r="G21" s="362"/>
    </row>
    <row r="22" spans="2:7" ht="16.5" customHeight="1">
      <c r="B22" s="406"/>
      <c r="C22" s="544"/>
      <c r="D22" s="406"/>
      <c r="E22" s="544"/>
      <c r="G22" s="362"/>
    </row>
    <row r="23" spans="2:7" ht="16.5" customHeight="1">
      <c r="B23" s="362"/>
      <c r="C23" s="362"/>
      <c r="D23" s="362"/>
      <c r="E23" s="362"/>
    </row>
    <row r="24" spans="2:7" ht="16.5" customHeight="1">
      <c r="B24" s="362"/>
      <c r="C24" s="362"/>
      <c r="E24" s="362" t="s">
        <v>968</v>
      </c>
    </row>
    <row r="25" spans="2:7" ht="16.5" customHeight="1">
      <c r="B25" s="362" t="str">
        <f>'Prhtngn Mingg Ef(3)'!B83</f>
        <v>KPK Teknik Mesin</v>
      </c>
      <c r="C25" s="362"/>
      <c r="E25" s="362" t="s">
        <v>178</v>
      </c>
    </row>
    <row r="26" spans="2:7" ht="16.5" customHeight="1">
      <c r="B26" s="362"/>
      <c r="C26" s="362"/>
      <c r="E26" s="362"/>
    </row>
    <row r="27" spans="2:7" ht="16.5" customHeight="1">
      <c r="B27" s="362"/>
      <c r="C27" s="362"/>
      <c r="E27" s="363"/>
    </row>
    <row r="28" spans="2:7" ht="16.5" customHeight="1">
      <c r="B28" s="362"/>
      <c r="C28" s="362"/>
      <c r="E28" s="362"/>
    </row>
    <row r="29" spans="2:7" ht="16.5" customHeight="1">
      <c r="B29" s="362" t="str">
        <f>'Prhtngn Mingg Ef(3)'!B87</f>
        <v>Drs. M. Hasannuddin</v>
      </c>
      <c r="C29" s="362"/>
      <c r="E29" s="362" t="str">
        <f>'Prhtngn Mingg Ef(3)'!G87</f>
        <v>Hermawan Rochmadi, S. Pd.</v>
      </c>
    </row>
    <row r="30" spans="2:7" ht="16.5" customHeight="1">
      <c r="B30" s="362" t="str">
        <f>'Prhtngn Mingg Ef(3)'!B88</f>
        <v>NIP. 19670621 199412 1 003</v>
      </c>
      <c r="C30" s="362"/>
      <c r="E30" s="362" t="str">
        <f>'Prhtngn Mingg Ef(3)'!G88</f>
        <v>NIP. 19920317 201903 1 009</v>
      </c>
    </row>
    <row r="31" spans="2:7" ht="16.5" customHeight="1">
      <c r="B31" s="362"/>
      <c r="C31" s="362"/>
      <c r="E31" s="362"/>
    </row>
    <row r="32" spans="2:7" ht="16.5" customHeight="1">
      <c r="B32" s="362"/>
      <c r="C32" s="550" t="str">
        <f>'Prhtngn Mingg Ef(3)'!C90:E90</f>
        <v>Mengetahui</v>
      </c>
      <c r="E32" s="362"/>
    </row>
    <row r="33" spans="2:5" ht="16.5" customHeight="1">
      <c r="B33" s="362" t="str">
        <f>'Prhtngn Mingg Ef(3)'!B91</f>
        <v>Kepala Sekolah</v>
      </c>
      <c r="C33" s="362"/>
      <c r="E33" s="362" t="str">
        <f>'Prhtngn Mingg Ef(3)'!G91</f>
        <v>WKS-1</v>
      </c>
    </row>
    <row r="34" spans="2:5" ht="16.5" customHeight="1">
      <c r="B34" s="362"/>
      <c r="C34" s="362"/>
      <c r="E34" s="362"/>
    </row>
    <row r="35" spans="2:5" ht="16.5" customHeight="1">
      <c r="B35" s="362"/>
      <c r="C35" s="362"/>
      <c r="E35" s="362"/>
    </row>
    <row r="36" spans="2:5" ht="16.5" customHeight="1">
      <c r="B36" s="362"/>
      <c r="C36" s="362"/>
      <c r="E36" s="362"/>
    </row>
    <row r="37" spans="2:5" ht="16.5" customHeight="1">
      <c r="B37" s="362" t="str">
        <f>'Prhtngn Mingg Ef(3)'!B95</f>
        <v>WIDADA, S.Pd., M.Pd.</v>
      </c>
      <c r="C37" s="362"/>
      <c r="E37" s="362" t="str">
        <f>'Prhtngn Mingg Ef(3)'!G95</f>
        <v>GUNAWAN, S.Pd., M.M.</v>
      </c>
    </row>
    <row r="38" spans="2:5" ht="16.5" customHeight="1">
      <c r="B38" s="362" t="str">
        <f>'Prhtngn Mingg Ef(3)'!B96</f>
        <v>NIP. 19690212 200012 1 002</v>
      </c>
      <c r="E38" s="362" t="str">
        <f>'Prhtngn Mingg Ef(3)'!G96</f>
        <v>NIP. 19711213 200501 1 004</v>
      </c>
    </row>
  </sheetData>
  <mergeCells count="12">
    <mergeCell ref="B19:C19"/>
    <mergeCell ref="E1:F1"/>
    <mergeCell ref="E2:F2"/>
    <mergeCell ref="D12:E12"/>
    <mergeCell ref="B12:B14"/>
    <mergeCell ref="E13:E14"/>
    <mergeCell ref="B15:B16"/>
    <mergeCell ref="B17:B18"/>
    <mergeCell ref="F12:F14"/>
    <mergeCell ref="C12:C14"/>
    <mergeCell ref="D13:D14"/>
    <mergeCell ref="A3:F3"/>
  </mergeCells>
  <printOptions horizontalCentered="1"/>
  <pageMargins left="0.9055118110236221" right="0.9055118110236221" top="0.94488188976377963" bottom="1.4566929133858268" header="0.31496062992125984" footer="0.31496062992125984"/>
  <pageSetup paperSize="512"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D50"/>
  <sheetViews>
    <sheetView topLeftCell="A18" zoomScaleNormal="100" workbookViewId="0">
      <selection activeCell="A27" sqref="A27:AD52"/>
    </sheetView>
  </sheetViews>
  <sheetFormatPr defaultColWidth="9.140625" defaultRowHeight="15.75" customHeight="1"/>
  <cols>
    <col min="1" max="1" width="5" style="361" customWidth="1"/>
    <col min="2" max="2" width="38.140625" style="361" customWidth="1"/>
    <col min="3" max="3" width="4.5703125" style="361" customWidth="1"/>
    <col min="4" max="29" width="3.28515625" style="361" customWidth="1"/>
    <col min="30" max="30" width="17.5703125" style="361" customWidth="1"/>
    <col min="31" max="31" width="4.140625" style="361" customWidth="1"/>
    <col min="32" max="16384" width="9.140625" style="361"/>
  </cols>
  <sheetData>
    <row r="1" spans="1:30" ht="15.75" customHeight="1">
      <c r="Y1" s="622" t="s">
        <v>190</v>
      </c>
      <c r="Z1" s="622"/>
      <c r="AA1" s="622"/>
      <c r="AB1" s="622"/>
      <c r="AC1" s="622"/>
    </row>
    <row r="2" spans="1:30" ht="15.75" customHeight="1">
      <c r="Y2" s="623">
        <v>45483</v>
      </c>
      <c r="Z2" s="623"/>
      <c r="AA2" s="623"/>
      <c r="AB2" s="623"/>
      <c r="AC2" s="623"/>
    </row>
    <row r="3" spans="1:30" ht="15.75" customHeight="1">
      <c r="A3" s="631" t="s">
        <v>191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  <c r="Y3" s="631"/>
      <c r="Z3" s="631"/>
      <c r="AA3" s="631"/>
      <c r="AB3" s="631"/>
      <c r="AC3" s="631"/>
      <c r="AD3" s="631"/>
    </row>
    <row r="4" spans="1:30" ht="15.75" customHeight="1">
      <c r="A4" s="550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550"/>
      <c r="Y4" s="550"/>
      <c r="Z4" s="550"/>
      <c r="AA4" s="550"/>
      <c r="AB4" s="550"/>
      <c r="AC4" s="550"/>
      <c r="AD4" s="550"/>
    </row>
    <row r="5" spans="1:30" ht="15.75" customHeight="1">
      <c r="A5" s="550"/>
      <c r="B5" s="362" t="s">
        <v>3</v>
      </c>
      <c r="C5" s="362" t="str">
        <f>'COVER '!E26</f>
        <v>: Teknik Mesin</v>
      </c>
      <c r="D5" s="362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550"/>
      <c r="U5" s="550"/>
      <c r="V5" s="550"/>
      <c r="W5" s="550"/>
      <c r="X5" s="550"/>
      <c r="Y5" s="550"/>
      <c r="Z5" s="550"/>
      <c r="AA5" s="550"/>
      <c r="AB5" s="550"/>
      <c r="AC5" s="550"/>
      <c r="AD5" s="550"/>
    </row>
    <row r="6" spans="1:30" ht="15.75" customHeight="1">
      <c r="A6" s="550"/>
      <c r="B6" s="362" t="s">
        <v>4</v>
      </c>
      <c r="C6" s="362" t="str">
        <f>'COVER '!E27</f>
        <v xml:space="preserve">: Teknik Pemesinan </v>
      </c>
      <c r="D6" s="362"/>
      <c r="E6" s="550"/>
      <c r="F6" s="550"/>
      <c r="G6" s="550"/>
      <c r="H6" s="550"/>
      <c r="I6" s="550"/>
      <c r="J6" s="550"/>
      <c r="K6" s="550"/>
      <c r="L6" s="550"/>
      <c r="M6" s="550"/>
      <c r="N6" s="550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</row>
    <row r="7" spans="1:30" ht="15.75" customHeight="1">
      <c r="A7" s="550"/>
      <c r="B7" s="362" t="s">
        <v>5</v>
      </c>
      <c r="C7" s="362" t="str">
        <f>'COVER '!E28</f>
        <v>: Mata Pelajaran Pilihan (CAM)</v>
      </c>
      <c r="D7" s="362"/>
      <c r="E7" s="550"/>
      <c r="F7" s="550"/>
      <c r="G7" s="550"/>
      <c r="H7" s="550"/>
      <c r="I7" s="550"/>
      <c r="J7" s="550"/>
      <c r="K7" s="550"/>
      <c r="L7" s="550"/>
      <c r="M7" s="550"/>
      <c r="N7" s="550"/>
      <c r="O7" s="550"/>
      <c r="P7" s="550"/>
      <c r="Q7" s="550"/>
      <c r="R7" s="550"/>
      <c r="S7" s="550"/>
      <c r="T7" s="550"/>
      <c r="U7" s="550"/>
      <c r="V7" s="550"/>
      <c r="W7" s="550"/>
      <c r="X7" s="550"/>
      <c r="Y7" s="550"/>
      <c r="Z7" s="550"/>
      <c r="AA7" s="550"/>
      <c r="AB7" s="550"/>
      <c r="AC7" s="550"/>
      <c r="AD7" s="550"/>
    </row>
    <row r="8" spans="1:30" ht="15.75" customHeight="1">
      <c r="B8" s="362" t="s">
        <v>6</v>
      </c>
      <c r="C8" s="362" t="str">
        <f>'COVER '!E29</f>
        <v>: F</v>
      </c>
    </row>
    <row r="9" spans="1:30" ht="15.75" customHeight="1">
      <c r="B9" s="362" t="s">
        <v>7</v>
      </c>
      <c r="C9" s="362" t="str">
        <f>'COVER '!E30</f>
        <v>: XI TM3</v>
      </c>
      <c r="D9" s="362"/>
      <c r="N9" s="362"/>
      <c r="O9" s="362"/>
      <c r="U9" s="362"/>
    </row>
    <row r="10" spans="1:30" ht="15.75" customHeight="1">
      <c r="B10" s="362" t="s">
        <v>8</v>
      </c>
      <c r="C10" s="362" t="str">
        <f>'COVER '!E31</f>
        <v>: Gasal</v>
      </c>
      <c r="D10" s="362"/>
      <c r="H10" s="362"/>
      <c r="O10" s="362"/>
      <c r="AD10" s="361" t="s">
        <v>176</v>
      </c>
    </row>
    <row r="11" spans="1:30" ht="15.75" customHeight="1">
      <c r="B11" s="362" t="s">
        <v>10</v>
      </c>
      <c r="C11" s="362" t="str">
        <f>'COVER '!E32</f>
        <v>: 2025/2026</v>
      </c>
      <c r="D11" s="362"/>
    </row>
    <row r="12" spans="1:30" ht="15.75" customHeight="1">
      <c r="C12" s="553"/>
    </row>
    <row r="13" spans="1:30" ht="15.75" customHeight="1">
      <c r="A13" s="632" t="s">
        <v>192</v>
      </c>
      <c r="B13" s="633" t="s">
        <v>182</v>
      </c>
      <c r="C13" s="633" t="s">
        <v>193</v>
      </c>
      <c r="D13" s="632" t="s">
        <v>154</v>
      </c>
      <c r="E13" s="632"/>
      <c r="F13" s="632"/>
      <c r="G13" s="632"/>
      <c r="H13" s="632"/>
      <c r="I13" s="632"/>
      <c r="J13" s="632"/>
      <c r="K13" s="632"/>
      <c r="L13" s="632"/>
      <c r="M13" s="632"/>
      <c r="N13" s="632"/>
      <c r="O13" s="632"/>
      <c r="P13" s="632"/>
      <c r="Q13" s="632"/>
      <c r="R13" s="632"/>
      <c r="S13" s="632"/>
      <c r="T13" s="632"/>
      <c r="U13" s="632"/>
      <c r="V13" s="632"/>
      <c r="W13" s="632"/>
      <c r="X13" s="632"/>
      <c r="Y13" s="632"/>
      <c r="Z13" s="632"/>
      <c r="AA13" s="632"/>
      <c r="AB13" s="632"/>
      <c r="AC13" s="632"/>
      <c r="AD13" s="1014" t="s">
        <v>194</v>
      </c>
    </row>
    <row r="14" spans="1:30" ht="15.75" customHeight="1">
      <c r="A14" s="632"/>
      <c r="B14" s="633"/>
      <c r="C14" s="633"/>
      <c r="D14" s="632" t="s">
        <v>996</v>
      </c>
      <c r="E14" s="632"/>
      <c r="F14" s="632"/>
      <c r="G14" s="632"/>
      <c r="H14" s="632"/>
      <c r="I14" s="632" t="s">
        <v>997</v>
      </c>
      <c r="J14" s="632"/>
      <c r="K14" s="632"/>
      <c r="L14" s="632"/>
      <c r="M14" s="632" t="s">
        <v>1013</v>
      </c>
      <c r="N14" s="632"/>
      <c r="O14" s="632"/>
      <c r="P14" s="632"/>
      <c r="Q14" s="632" t="s">
        <v>999</v>
      </c>
      <c r="R14" s="632"/>
      <c r="S14" s="632"/>
      <c r="T14" s="632"/>
      <c r="U14" s="632" t="s">
        <v>1000</v>
      </c>
      <c r="V14" s="632"/>
      <c r="W14" s="632"/>
      <c r="X14" s="632"/>
      <c r="Y14" s="632"/>
      <c r="Z14" s="632" t="s">
        <v>1001</v>
      </c>
      <c r="AA14" s="632"/>
      <c r="AB14" s="632"/>
      <c r="AC14" s="632"/>
      <c r="AD14" s="634"/>
    </row>
    <row r="15" spans="1:30" ht="15.75" customHeight="1">
      <c r="A15" s="632"/>
      <c r="B15" s="633"/>
      <c r="C15" s="633"/>
      <c r="D15" s="554">
        <v>1</v>
      </c>
      <c r="E15" s="554">
        <v>2</v>
      </c>
      <c r="F15" s="554">
        <v>3</v>
      </c>
      <c r="G15" s="554">
        <v>4</v>
      </c>
      <c r="H15" s="554">
        <v>5</v>
      </c>
      <c r="I15" s="554">
        <v>1</v>
      </c>
      <c r="J15" s="554">
        <v>2</v>
      </c>
      <c r="K15" s="554">
        <v>3</v>
      </c>
      <c r="L15" s="554">
        <v>4</v>
      </c>
      <c r="M15" s="554">
        <v>1</v>
      </c>
      <c r="N15" s="554">
        <v>2</v>
      </c>
      <c r="O15" s="554">
        <v>3</v>
      </c>
      <c r="P15" s="554">
        <v>4</v>
      </c>
      <c r="Q15" s="554">
        <v>1</v>
      </c>
      <c r="R15" s="554">
        <v>2</v>
      </c>
      <c r="S15" s="554">
        <v>3</v>
      </c>
      <c r="T15" s="554">
        <v>4</v>
      </c>
      <c r="U15" s="554">
        <v>1</v>
      </c>
      <c r="V15" s="554">
        <v>2</v>
      </c>
      <c r="W15" s="554">
        <v>3</v>
      </c>
      <c r="X15" s="554">
        <v>4</v>
      </c>
      <c r="Y15" s="554">
        <v>5</v>
      </c>
      <c r="Z15" s="554">
        <v>1</v>
      </c>
      <c r="AA15" s="554">
        <v>2</v>
      </c>
      <c r="AB15" s="554">
        <v>3</v>
      </c>
      <c r="AC15" s="554">
        <v>4</v>
      </c>
      <c r="AD15" s="635"/>
    </row>
    <row r="16" spans="1:30" ht="63.95" customHeight="1">
      <c r="A16" s="554">
        <v>1</v>
      </c>
      <c r="B16" s="555" t="str">
        <f>'PROTA (4)'!C15</f>
        <v>2D Modelling dengan software CAM</v>
      </c>
      <c r="C16" s="556">
        <v>40</v>
      </c>
      <c r="D16" s="554"/>
      <c r="E16" s="547"/>
      <c r="F16" s="916"/>
      <c r="G16" s="916"/>
      <c r="H16" s="916"/>
      <c r="I16" s="916"/>
      <c r="J16" s="916"/>
      <c r="K16" s="554"/>
      <c r="L16" s="554"/>
      <c r="M16" s="554"/>
      <c r="N16" s="554"/>
      <c r="O16" s="554"/>
      <c r="P16" s="554"/>
      <c r="Q16" s="554"/>
      <c r="R16" s="554"/>
      <c r="S16" s="554"/>
      <c r="T16" s="554"/>
      <c r="U16" s="554"/>
      <c r="V16" s="554"/>
      <c r="W16" s="554"/>
      <c r="X16" s="554"/>
      <c r="Y16" s="554"/>
      <c r="Z16" s="554"/>
      <c r="AA16" s="554"/>
      <c r="AB16" s="554"/>
      <c r="AC16" s="554"/>
      <c r="AD16" s="557"/>
    </row>
    <row r="17" spans="1:30" ht="63.95" customHeight="1">
      <c r="A17" s="554">
        <v>2</v>
      </c>
      <c r="B17" s="555" t="str">
        <f>'PROTA (4)'!C16</f>
        <v>3D Modelling dengan software CAM</v>
      </c>
      <c r="C17" s="556">
        <v>32</v>
      </c>
      <c r="D17" s="554"/>
      <c r="E17" s="547"/>
      <c r="F17" s="547"/>
      <c r="G17" s="547"/>
      <c r="H17" s="547"/>
      <c r="I17" s="547"/>
      <c r="J17" s="547"/>
      <c r="K17" s="917"/>
      <c r="L17" s="917"/>
      <c r="M17" s="917"/>
      <c r="N17" s="917"/>
      <c r="O17" s="554"/>
      <c r="P17" s="554"/>
      <c r="Q17" s="554"/>
      <c r="R17" s="554"/>
      <c r="S17" s="554"/>
      <c r="T17" s="554"/>
      <c r="U17" s="554"/>
      <c r="V17" s="554"/>
      <c r="W17" s="554"/>
      <c r="X17" s="554"/>
      <c r="Y17" s="554"/>
      <c r="Z17" s="554"/>
      <c r="AA17" s="554"/>
      <c r="AB17" s="554"/>
      <c r="AC17" s="554"/>
      <c r="AD17" s="557"/>
    </row>
    <row r="19" spans="1:30" ht="15.75" customHeight="1">
      <c r="B19" s="362" t="s">
        <v>171</v>
      </c>
      <c r="C19" s="362" t="s">
        <v>173</v>
      </c>
      <c r="O19" s="362" t="s">
        <v>993</v>
      </c>
      <c r="Y19" s="361" t="s">
        <v>178</v>
      </c>
    </row>
    <row r="20" spans="1:30" ht="15.75" customHeight="1">
      <c r="B20" s="362" t="s">
        <v>172</v>
      </c>
    </row>
    <row r="23" spans="1:30" ht="15.75" customHeight="1">
      <c r="B23" s="362" t="str">
        <f>'PROTA (4)'!B37</f>
        <v>WIDADA, S.Pd., M.Pd.</v>
      </c>
      <c r="C23" s="545" t="str">
        <f>'PROTA (4)'!E37</f>
        <v>GUNAWAN, S.Pd., M.M.</v>
      </c>
      <c r="O23" s="363" t="str">
        <f>'PROTA (4)'!B29</f>
        <v>Drs. M. Hasannuddin</v>
      </c>
      <c r="Y23" s="361" t="str">
        <f>'PROTA (4)'!E29</f>
        <v>Hermawan Rochmadi, S. Pd.</v>
      </c>
    </row>
    <row r="24" spans="1:30" ht="15.75" customHeight="1">
      <c r="B24" s="362" t="str">
        <f>'PROTA (4)'!B38</f>
        <v>NIP. 19690212 200012 1 002</v>
      </c>
      <c r="C24" s="545" t="str">
        <f>'PROTA (4)'!E38</f>
        <v>NIP. 19711213 200501 1 004</v>
      </c>
      <c r="O24" s="363" t="str">
        <f>'PROTA (4)'!B30</f>
        <v>NIP. 19670621 199412 1 003</v>
      </c>
      <c r="Y24" s="361" t="str">
        <f>'PROTA (4)'!E30</f>
        <v>NIP. 19920317 201903 1 009</v>
      </c>
    </row>
    <row r="27" spans="1:30" ht="15.75" customHeight="1">
      <c r="A27" s="631" t="s">
        <v>191</v>
      </c>
      <c r="B27" s="631"/>
      <c r="C27" s="631"/>
      <c r="D27" s="631"/>
      <c r="E27" s="631"/>
      <c r="F27" s="631"/>
      <c r="G27" s="631"/>
      <c r="H27" s="631"/>
      <c r="I27" s="631"/>
      <c r="J27" s="631"/>
      <c r="K27" s="631"/>
      <c r="L27" s="631"/>
      <c r="M27" s="631"/>
      <c r="N27" s="631"/>
      <c r="O27" s="631"/>
      <c r="P27" s="631"/>
      <c r="Q27" s="631"/>
      <c r="R27" s="631"/>
      <c r="S27" s="631"/>
      <c r="T27" s="631"/>
      <c r="U27" s="631"/>
      <c r="V27" s="631"/>
      <c r="W27" s="631"/>
      <c r="X27" s="631"/>
      <c r="Y27" s="631"/>
      <c r="Z27" s="631"/>
      <c r="AA27" s="631"/>
      <c r="AB27" s="631"/>
      <c r="AC27" s="631"/>
      <c r="AD27" s="631"/>
    </row>
    <row r="28" spans="1:30" ht="15.75" customHeight="1">
      <c r="A28" s="550"/>
      <c r="B28" s="550"/>
      <c r="C28" s="550"/>
      <c r="D28" s="550"/>
      <c r="E28" s="550"/>
      <c r="F28" s="550"/>
      <c r="G28" s="550"/>
      <c r="H28" s="550"/>
      <c r="I28" s="550"/>
      <c r="J28" s="550"/>
      <c r="K28" s="550"/>
      <c r="L28" s="550"/>
      <c r="M28" s="550"/>
      <c r="N28" s="550"/>
      <c r="O28" s="550"/>
      <c r="P28" s="550"/>
      <c r="Q28" s="550"/>
      <c r="R28" s="550"/>
      <c r="S28" s="550"/>
      <c r="T28" s="550"/>
      <c r="U28" s="550"/>
      <c r="V28" s="550"/>
      <c r="W28" s="550"/>
      <c r="X28" s="550"/>
      <c r="Y28" s="550"/>
      <c r="Z28" s="550"/>
      <c r="AA28" s="550"/>
      <c r="AB28" s="550"/>
      <c r="AC28" s="550"/>
      <c r="AD28" s="550"/>
    </row>
    <row r="29" spans="1:30" ht="15.75" customHeight="1">
      <c r="A29" s="550"/>
      <c r="B29" s="362" t="s">
        <v>3</v>
      </c>
      <c r="C29" s="362" t="str">
        <f>'COVER '!E26</f>
        <v>: Teknik Mesin</v>
      </c>
      <c r="D29" s="362"/>
      <c r="E29" s="550"/>
      <c r="F29" s="550"/>
      <c r="G29" s="550"/>
      <c r="H29" s="550"/>
      <c r="I29" s="550"/>
      <c r="J29" s="550"/>
      <c r="K29" s="550"/>
      <c r="L29" s="550"/>
      <c r="M29" s="550"/>
      <c r="N29" s="550"/>
      <c r="O29" s="550"/>
      <c r="P29" s="550"/>
      <c r="Q29" s="550"/>
      <c r="R29" s="550"/>
      <c r="S29" s="550"/>
      <c r="T29" s="550"/>
      <c r="U29" s="550"/>
      <c r="V29" s="550"/>
      <c r="W29" s="550"/>
      <c r="X29" s="550"/>
      <c r="Y29" s="550"/>
      <c r="Z29" s="550"/>
      <c r="AA29" s="550"/>
      <c r="AB29" s="550"/>
      <c r="AC29" s="550"/>
      <c r="AD29" s="550"/>
    </row>
    <row r="30" spans="1:30" ht="15.75" customHeight="1">
      <c r="A30" s="550"/>
      <c r="B30" s="362" t="s">
        <v>4</v>
      </c>
      <c r="C30" s="362" t="str">
        <f>'COVER '!E27</f>
        <v xml:space="preserve">: Teknik Pemesinan </v>
      </c>
      <c r="D30" s="362"/>
      <c r="E30" s="550"/>
      <c r="F30" s="550"/>
      <c r="G30" s="550"/>
      <c r="H30" s="550"/>
      <c r="I30" s="550"/>
      <c r="J30" s="550"/>
      <c r="K30" s="550"/>
      <c r="L30" s="550"/>
      <c r="M30" s="550"/>
      <c r="N30" s="550"/>
      <c r="O30" s="550"/>
      <c r="P30" s="550"/>
      <c r="Q30" s="550"/>
      <c r="R30" s="550"/>
      <c r="S30" s="550"/>
      <c r="T30" s="550"/>
      <c r="U30" s="550"/>
      <c r="V30" s="550"/>
      <c r="W30" s="550"/>
      <c r="X30" s="550"/>
      <c r="Y30" s="550"/>
      <c r="Z30" s="550"/>
      <c r="AA30" s="550"/>
      <c r="AB30" s="550"/>
      <c r="AC30" s="550"/>
      <c r="AD30" s="550"/>
    </row>
    <row r="31" spans="1:30" ht="15.75" customHeight="1">
      <c r="A31" s="550"/>
      <c r="B31" s="362" t="s">
        <v>5</v>
      </c>
      <c r="C31" s="362" t="str">
        <f>'COVER '!E28</f>
        <v>: Mata Pelajaran Pilihan (CAM)</v>
      </c>
      <c r="D31" s="362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550"/>
      <c r="P31" s="550"/>
      <c r="Q31" s="550"/>
      <c r="R31" s="550"/>
      <c r="S31" s="550"/>
      <c r="T31" s="550"/>
      <c r="U31" s="550"/>
      <c r="V31" s="550"/>
      <c r="W31" s="550"/>
      <c r="X31" s="550"/>
      <c r="Y31" s="550"/>
      <c r="Z31" s="550"/>
      <c r="AA31" s="550"/>
      <c r="AB31" s="550"/>
      <c r="AC31" s="550"/>
      <c r="AD31" s="550"/>
    </row>
    <row r="32" spans="1:30" ht="15.75" customHeight="1">
      <c r="B32" s="362" t="s">
        <v>6</v>
      </c>
      <c r="C32" s="362" t="str">
        <f>'COVER '!E29</f>
        <v>: F</v>
      </c>
    </row>
    <row r="33" spans="1:30" ht="15.75" customHeight="1">
      <c r="B33" s="362" t="s">
        <v>7</v>
      </c>
      <c r="C33" s="362" t="str">
        <f>'COVER '!E30</f>
        <v>: XI TM3</v>
      </c>
      <c r="D33" s="362"/>
      <c r="N33" s="362"/>
      <c r="O33" s="362"/>
      <c r="U33" s="362"/>
    </row>
    <row r="34" spans="1:30" ht="15.75" customHeight="1">
      <c r="B34" s="362" t="s">
        <v>8</v>
      </c>
      <c r="C34" s="362" t="str">
        <f>'Prhtngn Mingg Ef(3)'!C59</f>
        <v>: Genap</v>
      </c>
      <c r="D34" s="362"/>
      <c r="H34" s="362"/>
      <c r="O34" s="362"/>
      <c r="AD34" s="361" t="s">
        <v>176</v>
      </c>
    </row>
    <row r="35" spans="1:30" ht="15.75" customHeight="1">
      <c r="B35" s="362" t="s">
        <v>10</v>
      </c>
      <c r="C35" s="362" t="str">
        <f>'COVER '!E32</f>
        <v>: 2025/2026</v>
      </c>
      <c r="D35" s="362"/>
    </row>
    <row r="36" spans="1:30" ht="15.75" customHeight="1">
      <c r="B36" s="362"/>
      <c r="C36" s="552"/>
      <c r="D36" s="362"/>
    </row>
    <row r="37" spans="1:30" ht="15.75" customHeight="1">
      <c r="A37" s="632" t="s">
        <v>192</v>
      </c>
      <c r="B37" s="633" t="s">
        <v>182</v>
      </c>
      <c r="C37" s="633" t="s">
        <v>193</v>
      </c>
      <c r="D37" s="918" t="s">
        <v>154</v>
      </c>
      <c r="E37" s="919"/>
      <c r="F37" s="919"/>
      <c r="G37" s="919"/>
      <c r="H37" s="919"/>
      <c r="I37" s="919"/>
      <c r="J37" s="919"/>
      <c r="K37" s="919"/>
      <c r="L37" s="919"/>
      <c r="M37" s="919"/>
      <c r="N37" s="919"/>
      <c r="O37" s="919"/>
      <c r="P37" s="919"/>
      <c r="Q37" s="919"/>
      <c r="R37" s="919"/>
      <c r="S37" s="919"/>
      <c r="T37" s="919"/>
      <c r="U37" s="919"/>
      <c r="V37" s="919"/>
      <c r="W37" s="919"/>
      <c r="X37" s="919"/>
      <c r="Y37" s="919"/>
      <c r="Z37" s="919"/>
      <c r="AA37" s="919"/>
      <c r="AB37" s="920"/>
      <c r="AC37" s="923" t="s">
        <v>194</v>
      </c>
      <c r="AD37" s="924"/>
    </row>
    <row r="38" spans="1:30" ht="15.75" customHeight="1">
      <c r="A38" s="632"/>
      <c r="B38" s="633"/>
      <c r="C38" s="633"/>
      <c r="D38" s="918" t="s">
        <v>197</v>
      </c>
      <c r="E38" s="919"/>
      <c r="F38" s="919"/>
      <c r="G38" s="920"/>
      <c r="H38" s="918" t="s">
        <v>198</v>
      </c>
      <c r="I38" s="919"/>
      <c r="J38" s="919"/>
      <c r="K38" s="920"/>
      <c r="L38" s="918" t="s">
        <v>199</v>
      </c>
      <c r="M38" s="919"/>
      <c r="N38" s="919"/>
      <c r="O38" s="920"/>
      <c r="P38" s="918" t="s">
        <v>200</v>
      </c>
      <c r="Q38" s="919"/>
      <c r="R38" s="919"/>
      <c r="S38" s="919"/>
      <c r="T38" s="920"/>
      <c r="U38" s="918" t="s">
        <v>201</v>
      </c>
      <c r="V38" s="919"/>
      <c r="W38" s="919"/>
      <c r="X38" s="920"/>
      <c r="Y38" s="918" t="s">
        <v>202</v>
      </c>
      <c r="Z38" s="919"/>
      <c r="AA38" s="919"/>
      <c r="AB38" s="920"/>
      <c r="AC38" s="921"/>
      <c r="AD38" s="925"/>
    </row>
    <row r="39" spans="1:30" ht="15.75" customHeight="1">
      <c r="A39" s="632"/>
      <c r="B39" s="633"/>
      <c r="C39" s="633"/>
      <c r="D39" s="554">
        <v>1</v>
      </c>
      <c r="E39" s="554">
        <v>2</v>
      </c>
      <c r="F39" s="554">
        <v>3</v>
      </c>
      <c r="G39" s="554">
        <v>4</v>
      </c>
      <c r="H39" s="554">
        <v>1</v>
      </c>
      <c r="I39" s="554">
        <v>2</v>
      </c>
      <c r="J39" s="554">
        <v>3</v>
      </c>
      <c r="K39" s="554">
        <v>4</v>
      </c>
      <c r="L39" s="554">
        <v>1</v>
      </c>
      <c r="M39" s="554">
        <v>2</v>
      </c>
      <c r="N39" s="554">
        <v>3</v>
      </c>
      <c r="O39" s="554">
        <v>4</v>
      </c>
      <c r="P39" s="554">
        <v>1</v>
      </c>
      <c r="Q39" s="554">
        <v>2</v>
      </c>
      <c r="R39" s="554">
        <v>3</v>
      </c>
      <c r="S39" s="554">
        <v>4</v>
      </c>
      <c r="T39" s="554">
        <v>5</v>
      </c>
      <c r="U39" s="554">
        <v>1</v>
      </c>
      <c r="V39" s="554">
        <v>2</v>
      </c>
      <c r="W39" s="554">
        <v>3</v>
      </c>
      <c r="X39" s="554">
        <v>4</v>
      </c>
      <c r="Y39" s="554">
        <v>1</v>
      </c>
      <c r="Z39" s="554">
        <v>2</v>
      </c>
      <c r="AA39" s="554">
        <v>3</v>
      </c>
      <c r="AB39" s="554">
        <v>4</v>
      </c>
      <c r="AC39" s="926"/>
      <c r="AD39" s="927"/>
    </row>
    <row r="40" spans="1:30" ht="63.95" customHeight="1">
      <c r="A40" s="554">
        <v>1</v>
      </c>
      <c r="B40" s="555" t="str">
        <f>'PROTA (4)'!C17</f>
        <v>Pemrograman 2D dengan software CAM</v>
      </c>
      <c r="C40" s="556">
        <v>40</v>
      </c>
      <c r="D40" s="916"/>
      <c r="E40" s="916"/>
      <c r="F40" s="916"/>
      <c r="G40" s="916"/>
      <c r="H40" s="916"/>
      <c r="I40" s="547"/>
      <c r="J40" s="554"/>
      <c r="K40" s="554"/>
      <c r="L40" s="554"/>
      <c r="M40" s="554"/>
      <c r="N40" s="554"/>
      <c r="O40" s="554"/>
      <c r="P40" s="554"/>
      <c r="Q40" s="554"/>
      <c r="R40" s="554"/>
      <c r="S40" s="554"/>
      <c r="T40" s="554"/>
      <c r="U40" s="554"/>
      <c r="V40" s="554"/>
      <c r="W40" s="554"/>
      <c r="X40" s="554"/>
      <c r="Y40" s="554"/>
      <c r="Z40" s="554"/>
      <c r="AA40" s="554"/>
      <c r="AB40" s="554"/>
      <c r="AC40" s="1012"/>
      <c r="AD40" s="1013"/>
    </row>
    <row r="41" spans="1:30" ht="63.95" customHeight="1">
      <c r="A41" s="554">
        <v>2</v>
      </c>
      <c r="B41" s="555" t="str">
        <f>'PROTA (4)'!C18</f>
        <v>Pemrograman 3D dengan software CAM</v>
      </c>
      <c r="C41" s="556">
        <v>32</v>
      </c>
      <c r="D41" s="554"/>
      <c r="E41" s="547"/>
      <c r="F41" s="547"/>
      <c r="G41" s="547"/>
      <c r="H41" s="547"/>
      <c r="I41" s="917"/>
      <c r="J41" s="922" t="s">
        <v>1014</v>
      </c>
      <c r="K41" s="917"/>
      <c r="L41" s="917"/>
      <c r="M41" s="917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554"/>
      <c r="AB41" s="554"/>
      <c r="AC41" s="1010" t="s">
        <v>1015</v>
      </c>
      <c r="AD41" s="1011"/>
    </row>
    <row r="42" spans="1:30" ht="15.75" customHeight="1">
      <c r="B42" s="362"/>
      <c r="C42" s="552"/>
      <c r="D42" s="362"/>
    </row>
    <row r="43" spans="1:30" ht="15.75" customHeight="1">
      <c r="C43" s="553"/>
    </row>
    <row r="45" spans="1:30" ht="15.75" customHeight="1">
      <c r="B45" s="362" t="s">
        <v>171</v>
      </c>
    </row>
    <row r="46" spans="1:30" ht="15.75" customHeight="1">
      <c r="B46" s="362" t="s">
        <v>172</v>
      </c>
      <c r="C46" s="362" t="s">
        <v>173</v>
      </c>
      <c r="O46" s="362" t="str">
        <f>'PROTA (4)'!B25</f>
        <v>KPK Teknik Mesin</v>
      </c>
      <c r="Y46" s="361" t="s">
        <v>178</v>
      </c>
    </row>
    <row r="49" spans="2:25" ht="15.75" customHeight="1">
      <c r="B49" s="362" t="str">
        <f>B23</f>
        <v>WIDADA, S.Pd., M.Pd.</v>
      </c>
      <c r="C49" s="362" t="str">
        <f t="shared" ref="C49:Y49" si="0">C23</f>
        <v>GUNAWAN, S.Pd., M.M.</v>
      </c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 t="str">
        <f t="shared" si="0"/>
        <v>Drs. M. Hasannuddin</v>
      </c>
      <c r="P49" s="362"/>
      <c r="Q49" s="362"/>
      <c r="R49" s="362"/>
      <c r="S49" s="362"/>
      <c r="T49" s="362"/>
      <c r="U49" s="362"/>
      <c r="V49" s="362"/>
      <c r="W49" s="362"/>
      <c r="X49" s="362"/>
      <c r="Y49" s="362" t="str">
        <f t="shared" si="0"/>
        <v>Hermawan Rochmadi, S. Pd.</v>
      </c>
    </row>
    <row r="50" spans="2:25" ht="15.75" customHeight="1">
      <c r="B50" s="362" t="str">
        <f>B24</f>
        <v>NIP. 19690212 200012 1 002</v>
      </c>
      <c r="C50" s="362" t="str">
        <f t="shared" ref="C50:Y50" si="1">C24</f>
        <v>NIP. 19711213 200501 1 004</v>
      </c>
      <c r="D50" s="362"/>
      <c r="E50" s="362"/>
      <c r="F50" s="362"/>
      <c r="G50" s="362"/>
      <c r="H50" s="362"/>
      <c r="I50" s="362"/>
      <c r="J50" s="362"/>
      <c r="K50" s="362"/>
      <c r="L50" s="362"/>
      <c r="M50" s="362"/>
      <c r="N50" s="362"/>
      <c r="O50" s="362" t="str">
        <f t="shared" si="1"/>
        <v>NIP. 19670621 199412 1 003</v>
      </c>
      <c r="P50" s="362"/>
      <c r="Q50" s="362"/>
      <c r="R50" s="362"/>
      <c r="S50" s="362"/>
      <c r="T50" s="362"/>
      <c r="U50" s="362"/>
      <c r="V50" s="362"/>
      <c r="W50" s="362"/>
      <c r="X50" s="362"/>
      <c r="Y50" s="362" t="str">
        <f t="shared" si="1"/>
        <v>NIP. 19920317 201903 1 009</v>
      </c>
    </row>
  </sheetData>
  <mergeCells count="28">
    <mergeCell ref="AC40:AD40"/>
    <mergeCell ref="AC41:AD41"/>
    <mergeCell ref="AC37:AD39"/>
    <mergeCell ref="L38:O38"/>
    <mergeCell ref="P38:T38"/>
    <mergeCell ref="U38:X38"/>
    <mergeCell ref="Y38:AB38"/>
    <mergeCell ref="D37:AB37"/>
    <mergeCell ref="A37:A39"/>
    <mergeCell ref="D38:G38"/>
    <mergeCell ref="C37:C39"/>
    <mergeCell ref="B37:B39"/>
    <mergeCell ref="H38:K38"/>
    <mergeCell ref="A27:AD27"/>
    <mergeCell ref="Y1:AC1"/>
    <mergeCell ref="Y2:AC2"/>
    <mergeCell ref="A3:AD3"/>
    <mergeCell ref="D13:AC13"/>
    <mergeCell ref="D14:H14"/>
    <mergeCell ref="I14:L14"/>
    <mergeCell ref="M14:P14"/>
    <mergeCell ref="Q14:T14"/>
    <mergeCell ref="U14:Y14"/>
    <mergeCell ref="Z14:AC14"/>
    <mergeCell ref="A13:A15"/>
    <mergeCell ref="B13:B15"/>
    <mergeCell ref="C13:C15"/>
    <mergeCell ref="AD13:AD15"/>
  </mergeCells>
  <printOptions horizontalCentered="1"/>
  <pageMargins left="0.74803149606299213" right="0.78740157480314965" top="0.78740157480314965" bottom="0.31496062992125984" header="0.31496062992125984" footer="0.27559055118110237"/>
  <pageSetup paperSize="512" scale="9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9"/>
  <sheetViews>
    <sheetView view="pageBreakPreview" topLeftCell="A4" zoomScale="70" zoomScaleNormal="100" zoomScaleSheetLayoutView="70" workbookViewId="0">
      <selection activeCell="A3" sqref="A3:D3"/>
    </sheetView>
  </sheetViews>
  <sheetFormatPr defaultColWidth="9" defaultRowHeight="15"/>
  <cols>
    <col min="1" max="1" width="5.42578125" style="361" customWidth="1"/>
    <col min="2" max="2" width="21.85546875" style="361" customWidth="1"/>
    <col min="3" max="3" width="35.42578125" style="361" customWidth="1"/>
    <col min="4" max="4" width="28.85546875" style="361" customWidth="1"/>
    <col min="5" max="16384" width="9" style="361"/>
  </cols>
  <sheetData>
    <row r="1" spans="1:10" ht="15.75">
      <c r="A1" s="410"/>
      <c r="B1" s="410"/>
      <c r="C1" s="410"/>
      <c r="D1" s="929" t="s">
        <v>203</v>
      </c>
    </row>
    <row r="2" spans="1:10" ht="15.75">
      <c r="A2" s="410"/>
      <c r="B2" s="410"/>
      <c r="C2" s="410"/>
      <c r="D2" s="930">
        <v>45483</v>
      </c>
    </row>
    <row r="3" spans="1:10" ht="42" customHeight="1">
      <c r="A3" s="1015" t="s">
        <v>1033</v>
      </c>
      <c r="B3" s="1015"/>
      <c r="C3" s="1015"/>
      <c r="D3" s="1015"/>
    </row>
    <row r="4" spans="1:10" ht="15.75">
      <c r="A4" s="410"/>
      <c r="B4" s="410"/>
      <c r="C4" s="410"/>
      <c r="D4" s="410"/>
    </row>
    <row r="5" spans="1:10">
      <c r="A5" s="362" t="s">
        <v>3</v>
      </c>
      <c r="B5" s="552"/>
      <c r="C5" s="411" t="str">
        <f>'COVER '!E26</f>
        <v>: Teknik Mesin</v>
      </c>
      <c r="D5" s="551"/>
      <c r="E5" s="551"/>
      <c r="F5" s="551"/>
      <c r="G5" s="551"/>
      <c r="H5" s="551"/>
      <c r="I5" s="551"/>
      <c r="J5" s="551"/>
    </row>
    <row r="6" spans="1:10">
      <c r="A6" s="362" t="s">
        <v>4</v>
      </c>
      <c r="B6" s="552"/>
      <c r="C6" s="411" t="str">
        <f>'COVER '!E27</f>
        <v xml:space="preserve">: Teknik Pemesinan </v>
      </c>
      <c r="D6" s="551"/>
      <c r="E6" s="551"/>
      <c r="F6" s="551"/>
      <c r="G6" s="551"/>
      <c r="H6" s="551"/>
      <c r="I6" s="551"/>
      <c r="J6" s="551"/>
    </row>
    <row r="7" spans="1:10">
      <c r="A7" s="362" t="s">
        <v>5</v>
      </c>
      <c r="B7" s="362"/>
      <c r="C7" s="411" t="str">
        <f>'COVER '!E28</f>
        <v>: Mata Pelajaran Pilihan (CAM)</v>
      </c>
      <c r="D7" s="551"/>
      <c r="E7" s="551"/>
      <c r="F7" s="551"/>
      <c r="G7" s="551"/>
      <c r="H7" s="551"/>
      <c r="I7" s="551"/>
      <c r="J7" s="551"/>
    </row>
    <row r="8" spans="1:10">
      <c r="A8" s="362" t="s">
        <v>6</v>
      </c>
      <c r="B8" s="552"/>
      <c r="C8" s="931" t="str">
        <f>'COVER '!E29</f>
        <v>: F</v>
      </c>
    </row>
    <row r="9" spans="1:10">
      <c r="A9" s="362" t="s">
        <v>7</v>
      </c>
      <c r="B9" s="552"/>
      <c r="C9" s="931" t="str">
        <f>'COVER '!E30</f>
        <v>: XI TM3</v>
      </c>
      <c r="J9" s="362"/>
    </row>
    <row r="10" spans="1:10">
      <c r="A10" s="362" t="s">
        <v>8</v>
      </c>
      <c r="B10" s="552"/>
      <c r="C10" s="931" t="str">
        <f>'COVER '!E31</f>
        <v>: Gasal</v>
      </c>
    </row>
    <row r="11" spans="1:10">
      <c r="A11" s="362" t="s">
        <v>10</v>
      </c>
      <c r="B11" s="552"/>
      <c r="C11" s="931" t="s">
        <v>11</v>
      </c>
    </row>
    <row r="12" spans="1:10" ht="24.75" customHeight="1">
      <c r="A12" s="362"/>
      <c r="B12" s="552"/>
      <c r="C12" s="931"/>
    </row>
    <row r="13" spans="1:10" ht="15.75">
      <c r="A13" s="932" t="s">
        <v>205</v>
      </c>
      <c r="B13" s="932" t="s">
        <v>1017</v>
      </c>
      <c r="C13" s="933" t="s">
        <v>204</v>
      </c>
      <c r="D13" s="934"/>
    </row>
    <row r="14" spans="1:10" ht="103.5" customHeight="1">
      <c r="A14" s="936">
        <v>1</v>
      </c>
      <c r="B14" s="937" t="s">
        <v>1018</v>
      </c>
      <c r="C14" s="928" t="s">
        <v>1016</v>
      </c>
      <c r="D14" s="928"/>
    </row>
    <row r="15" spans="1:10" ht="38.25" customHeight="1"/>
    <row r="16" spans="1:10">
      <c r="A16" s="362"/>
      <c r="B16" s="362"/>
      <c r="D16" s="411" t="s">
        <v>968</v>
      </c>
    </row>
    <row r="17" spans="1:4">
      <c r="A17" s="362" t="str">
        <f>'PROSEM(5)  '!O46</f>
        <v>KPK Teknik Mesin</v>
      </c>
      <c r="B17" s="362"/>
      <c r="D17" s="411" t="s">
        <v>178</v>
      </c>
    </row>
    <row r="18" spans="1:4">
      <c r="A18" s="362"/>
      <c r="B18" s="362"/>
      <c r="D18" s="411"/>
    </row>
    <row r="19" spans="1:4">
      <c r="A19" s="935"/>
      <c r="B19" s="362"/>
      <c r="D19" s="545"/>
    </row>
    <row r="20" spans="1:4">
      <c r="A20" s="362"/>
      <c r="B20" s="362"/>
      <c r="D20" s="411"/>
    </row>
    <row r="21" spans="1:4">
      <c r="A21" s="362" t="str">
        <f>'PROTA (4)'!B29</f>
        <v>Drs. M. Hasannuddin</v>
      </c>
      <c r="B21" s="362"/>
      <c r="D21" s="411" t="str">
        <f>'PROTA (4)'!E29</f>
        <v>Hermawan Rochmadi, S. Pd.</v>
      </c>
    </row>
    <row r="22" spans="1:4">
      <c r="A22" s="362" t="str">
        <f>'PROTA (4)'!B30</f>
        <v>NIP. 19670621 199412 1 003</v>
      </c>
      <c r="B22" s="362"/>
      <c r="D22" s="411" t="str">
        <f>'PROTA (4)'!E30</f>
        <v>NIP. 19920317 201903 1 009</v>
      </c>
    </row>
    <row r="23" spans="1:4">
      <c r="A23" s="362"/>
      <c r="B23" s="362"/>
      <c r="D23" s="411"/>
    </row>
    <row r="24" spans="1:4">
      <c r="A24" s="362" t="str">
        <f>'PROSEM(5)  '!B46</f>
        <v>Kepala Sekolah</v>
      </c>
      <c r="B24" s="362"/>
      <c r="D24" s="411" t="str">
        <f>'PROSEM(5)  '!C46</f>
        <v>WKS-1</v>
      </c>
    </row>
    <row r="25" spans="1:4">
      <c r="A25" s="362"/>
      <c r="B25" s="362"/>
      <c r="D25" s="411"/>
    </row>
    <row r="26" spans="1:4">
      <c r="A26" s="362"/>
      <c r="B26" s="362"/>
      <c r="D26" s="411"/>
    </row>
    <row r="27" spans="1:4">
      <c r="A27" s="362"/>
      <c r="B27" s="362"/>
      <c r="D27" s="411"/>
    </row>
    <row r="28" spans="1:4">
      <c r="A28" s="362" t="str">
        <f>'PROSEM(5)  '!B49</f>
        <v>WIDADA, S.Pd., M.Pd.</v>
      </c>
      <c r="B28" s="362"/>
      <c r="D28" s="411" t="str">
        <f>'PROSEM(5)  '!C49</f>
        <v>GUNAWAN, S.Pd., M.M.</v>
      </c>
    </row>
    <row r="29" spans="1:4">
      <c r="A29" s="362" t="str">
        <f>'PROSEM(5)  '!B50</f>
        <v>NIP. 19690212 200012 1 002</v>
      </c>
      <c r="B29" s="362"/>
      <c r="D29" s="411" t="str">
        <f>'PROSEM(5)  '!C50</f>
        <v>NIP. 19711213 200501 1 004</v>
      </c>
    </row>
  </sheetData>
  <mergeCells count="3">
    <mergeCell ref="A3:D3"/>
    <mergeCell ref="C14:D14"/>
    <mergeCell ref="C13:D13"/>
  </mergeCells>
  <printOptions horizontalCentered="1"/>
  <pageMargins left="0.70866141732283472" right="0.70866141732283472" top="0.74803149606299213" bottom="0.74803149606299213" header="0.31496062992125984" footer="0.31496062992125984"/>
  <pageSetup paperSize="512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62"/>
  <sheetViews>
    <sheetView topLeftCell="A16" zoomScale="85" zoomScaleNormal="85" workbookViewId="0">
      <selection activeCell="Q12" sqref="Q12"/>
    </sheetView>
  </sheetViews>
  <sheetFormatPr defaultColWidth="9.140625" defaultRowHeight="15"/>
  <cols>
    <col min="1" max="1" width="4.140625" style="361" customWidth="1"/>
    <col min="2" max="2" width="51" style="361" customWidth="1"/>
    <col min="3" max="3" width="9.140625" style="361"/>
    <col min="4" max="4" width="9.5703125" style="361" customWidth="1"/>
    <col min="5" max="6" width="12.140625" style="361" customWidth="1"/>
    <col min="7" max="7" width="5.85546875" style="361" customWidth="1"/>
    <col min="8" max="16384" width="9.140625" style="361"/>
  </cols>
  <sheetData>
    <row r="1" spans="1:14">
      <c r="F1" s="622" t="s">
        <v>206</v>
      </c>
      <c r="G1" s="622"/>
    </row>
    <row r="2" spans="1:14">
      <c r="F2" s="940">
        <v>45483</v>
      </c>
      <c r="G2" s="940"/>
    </row>
    <row r="3" spans="1:14">
      <c r="A3" s="941" t="s">
        <v>207</v>
      </c>
      <c r="B3" s="941"/>
      <c r="C3" s="941"/>
      <c r="D3" s="941"/>
      <c r="E3" s="941"/>
      <c r="F3" s="941"/>
      <c r="G3" s="553"/>
      <c r="I3" s="941"/>
      <c r="J3" s="941"/>
      <c r="K3" s="941"/>
      <c r="L3" s="941"/>
      <c r="M3" s="941"/>
      <c r="N3" s="941"/>
    </row>
    <row r="4" spans="1:14" ht="12" customHeight="1">
      <c r="G4" s="942"/>
    </row>
    <row r="5" spans="1:14" ht="16.5" customHeight="1">
      <c r="A5" s="1016" t="s">
        <v>3</v>
      </c>
      <c r="B5" s="943"/>
      <c r="C5" s="362" t="str">
        <f>'COVER '!E26</f>
        <v>: Teknik Mesin</v>
      </c>
      <c r="G5" s="942"/>
      <c r="H5" s="362"/>
    </row>
    <row r="6" spans="1:14">
      <c r="A6" s="1016" t="s">
        <v>4</v>
      </c>
      <c r="B6" s="943"/>
      <c r="C6" s="362" t="str">
        <f>'COVER '!E27</f>
        <v xml:space="preserve">: Teknik Pemesinan </v>
      </c>
      <c r="E6" s="362"/>
      <c r="F6" s="362"/>
      <c r="H6" s="362"/>
      <c r="I6" s="944"/>
      <c r="J6" s="944"/>
      <c r="K6" s="944"/>
      <c r="L6" s="944"/>
      <c r="M6" s="944"/>
      <c r="N6" s="944"/>
    </row>
    <row r="7" spans="1:14">
      <c r="A7" s="1016" t="s">
        <v>5</v>
      </c>
      <c r="B7" s="945"/>
      <c r="C7" s="362" t="str">
        <f>'COVER '!E28</f>
        <v>: Mata Pelajaran Pilihan (CAM)</v>
      </c>
      <c r="E7" s="553"/>
      <c r="F7" s="553"/>
      <c r="H7" s="362"/>
      <c r="I7" s="946"/>
      <c r="J7" s="946"/>
      <c r="K7" s="946"/>
      <c r="L7" s="946"/>
      <c r="M7" s="946"/>
      <c r="N7" s="946"/>
    </row>
    <row r="8" spans="1:14">
      <c r="A8" s="1016" t="s">
        <v>6</v>
      </c>
      <c r="B8" s="943"/>
      <c r="C8" s="361" t="str">
        <f>'COVER '!E29</f>
        <v>: F</v>
      </c>
      <c r="E8" s="553"/>
      <c r="F8" s="553"/>
      <c r="H8" s="362"/>
      <c r="I8" s="931"/>
      <c r="J8" s="931"/>
      <c r="K8" s="931"/>
      <c r="L8" s="931"/>
      <c r="M8" s="931"/>
      <c r="N8" s="931"/>
    </row>
    <row r="9" spans="1:14">
      <c r="A9" s="1016" t="s">
        <v>7</v>
      </c>
      <c r="B9" s="943"/>
      <c r="C9" s="362" t="str">
        <f>'COVER '!E30</f>
        <v>: XI TM3</v>
      </c>
      <c r="E9" s="552"/>
      <c r="F9" s="552"/>
      <c r="H9" s="362"/>
      <c r="I9" s="944"/>
      <c r="J9" s="944"/>
      <c r="K9" s="944"/>
      <c r="L9" s="944"/>
      <c r="M9" s="944"/>
      <c r="N9" s="944"/>
    </row>
    <row r="10" spans="1:14" ht="12" customHeight="1">
      <c r="A10" s="1016" t="s">
        <v>8</v>
      </c>
      <c r="B10" s="943"/>
      <c r="C10" s="362" t="str">
        <f>'COVER '!E31</f>
        <v>: Gasal</v>
      </c>
      <c r="G10" s="553"/>
      <c r="H10" s="362"/>
    </row>
    <row r="11" spans="1:14" ht="18.75" customHeight="1">
      <c r="A11" s="1016" t="s">
        <v>10</v>
      </c>
      <c r="B11" s="943"/>
      <c r="C11" s="362" t="str">
        <f>'COVER '!E32</f>
        <v>: 2025/2026</v>
      </c>
      <c r="G11" s="553"/>
      <c r="H11" s="362"/>
    </row>
    <row r="12" spans="1:14" ht="31.5" customHeight="1" thickBot="1">
      <c r="A12" s="362"/>
      <c r="B12" s="552"/>
      <c r="C12" s="362"/>
      <c r="G12" s="553"/>
      <c r="H12" s="362"/>
    </row>
    <row r="13" spans="1:14">
      <c r="A13" s="947" t="s">
        <v>153</v>
      </c>
      <c r="B13" s="948" t="s">
        <v>182</v>
      </c>
      <c r="C13" s="949" t="s">
        <v>208</v>
      </c>
      <c r="D13" s="949" t="s">
        <v>183</v>
      </c>
      <c r="E13" s="950" t="s">
        <v>209</v>
      </c>
      <c r="F13" s="951"/>
      <c r="G13" s="553"/>
      <c r="I13" s="631"/>
      <c r="J13" s="631"/>
      <c r="K13" s="952"/>
      <c r="L13" s="952"/>
      <c r="M13" s="631"/>
      <c r="N13" s="631"/>
    </row>
    <row r="14" spans="1:14" ht="29.25" thickBot="1">
      <c r="A14" s="953"/>
      <c r="B14" s="954"/>
      <c r="C14" s="955"/>
      <c r="D14" s="955"/>
      <c r="E14" s="956" t="s">
        <v>210</v>
      </c>
      <c r="F14" s="957" t="s">
        <v>211</v>
      </c>
      <c r="G14" s="362"/>
      <c r="I14" s="631"/>
      <c r="J14" s="631"/>
      <c r="K14" s="952"/>
      <c r="L14" s="952"/>
      <c r="M14" s="958"/>
      <c r="N14" s="958"/>
    </row>
    <row r="15" spans="1:14" ht="39.950000000000003" customHeight="1">
      <c r="A15" s="430">
        <v>1</v>
      </c>
      <c r="B15" s="938" t="str">
        <f>'PROTA (4)'!C15</f>
        <v>2D Modelling dengan software CAM</v>
      </c>
      <c r="C15" s="430" t="s">
        <v>1028</v>
      </c>
      <c r="D15" s="430">
        <f>'PROTA (4)'!F15</f>
        <v>40</v>
      </c>
      <c r="E15" s="430">
        <f>D15</f>
        <v>40</v>
      </c>
      <c r="F15" s="430">
        <v>0</v>
      </c>
    </row>
    <row r="16" spans="1:14" ht="39.950000000000003" customHeight="1">
      <c r="A16" s="546">
        <v>2</v>
      </c>
      <c r="B16" s="939" t="str">
        <f>'PROTA (4)'!C16</f>
        <v>3D Modelling dengan software CAM</v>
      </c>
      <c r="C16" s="546" t="s">
        <v>1028</v>
      </c>
      <c r="D16" s="546">
        <f>'PROTA (4)'!F16</f>
        <v>32</v>
      </c>
      <c r="E16" s="546">
        <f t="shared" ref="E16:E18" si="0">D16</f>
        <v>32</v>
      </c>
      <c r="F16" s="546">
        <v>0</v>
      </c>
    </row>
    <row r="17" spans="1:6" ht="39.950000000000003" customHeight="1">
      <c r="A17" s="546">
        <v>3</v>
      </c>
      <c r="B17" s="939" t="str">
        <f>'PROTA (4)'!C17</f>
        <v>Pemrograman 2D dengan software CAM</v>
      </c>
      <c r="C17" s="546" t="s">
        <v>1029</v>
      </c>
      <c r="D17" s="546">
        <f>'PROTA (4)'!F17</f>
        <v>40</v>
      </c>
      <c r="E17" s="546">
        <f t="shared" si="0"/>
        <v>40</v>
      </c>
      <c r="F17" s="546">
        <v>0</v>
      </c>
    </row>
    <row r="18" spans="1:6" ht="39.950000000000003" customHeight="1">
      <c r="A18" s="546">
        <v>4</v>
      </c>
      <c r="B18" s="939" t="str">
        <f>'PROTA (4)'!C18</f>
        <v>Pemrograman 3D dengan software CAM</v>
      </c>
      <c r="C18" s="546" t="s">
        <v>1030</v>
      </c>
      <c r="D18" s="546">
        <f>'PROTA (4)'!F18</f>
        <v>32</v>
      </c>
      <c r="E18" s="546">
        <f t="shared" si="0"/>
        <v>32</v>
      </c>
      <c r="F18" s="546">
        <v>0</v>
      </c>
    </row>
    <row r="19" spans="1:6" ht="48" customHeight="1">
      <c r="A19" s="959"/>
      <c r="B19" s="960"/>
      <c r="C19" s="959"/>
      <c r="D19" s="959"/>
      <c r="E19" s="959"/>
      <c r="F19" s="959"/>
    </row>
    <row r="20" spans="1:6">
      <c r="A20" s="961"/>
      <c r="B20" s="362"/>
      <c r="C20" s="362"/>
      <c r="D20" s="362" t="s">
        <v>168</v>
      </c>
      <c r="E20" s="362"/>
    </row>
    <row r="21" spans="1:6">
      <c r="A21" s="961"/>
      <c r="B21" s="362"/>
      <c r="C21" s="362"/>
      <c r="D21" s="362"/>
      <c r="E21" s="362"/>
    </row>
    <row r="22" spans="1:6">
      <c r="A22" s="961"/>
      <c r="B22" s="362" t="str">
        <f>'CP (6)'!A17</f>
        <v>KPK Teknik Mesin</v>
      </c>
      <c r="C22" s="362"/>
      <c r="D22" s="362" t="s">
        <v>178</v>
      </c>
      <c r="E22" s="362"/>
    </row>
    <row r="23" spans="1:6">
      <c r="A23" s="961"/>
      <c r="B23" s="362"/>
      <c r="C23" s="362"/>
      <c r="D23" s="362"/>
      <c r="E23" s="362"/>
    </row>
    <row r="24" spans="1:6">
      <c r="A24" s="961"/>
      <c r="B24" s="362"/>
      <c r="C24" s="362"/>
      <c r="D24" s="362"/>
      <c r="E24" s="362"/>
    </row>
    <row r="25" spans="1:6">
      <c r="A25" s="961"/>
      <c r="B25" s="362"/>
      <c r="C25" s="362"/>
      <c r="D25" s="362"/>
      <c r="E25" s="362"/>
    </row>
    <row r="26" spans="1:6">
      <c r="A26" s="961"/>
      <c r="B26" s="363" t="str">
        <f>'CP (6)'!A21</f>
        <v>Drs. M. Hasannuddin</v>
      </c>
      <c r="C26" s="362"/>
      <c r="D26" s="363" t="str">
        <f>'CP (6)'!D21</f>
        <v>Hermawan Rochmadi, S. Pd.</v>
      </c>
      <c r="E26" s="362"/>
    </row>
    <row r="27" spans="1:6">
      <c r="A27" s="961"/>
      <c r="B27" s="363" t="str">
        <f>'CP (6)'!A22</f>
        <v>NIP. 19670621 199412 1 003</v>
      </c>
      <c r="C27" s="362"/>
      <c r="D27" s="363" t="str">
        <f>'CP (6)'!D22</f>
        <v>NIP. 19920317 201903 1 009</v>
      </c>
      <c r="E27" s="362"/>
    </row>
    <row r="28" spans="1:6" ht="30" customHeight="1">
      <c r="A28" s="961"/>
      <c r="B28" s="962" t="s">
        <v>179</v>
      </c>
      <c r="C28" s="362"/>
      <c r="D28" s="363"/>
      <c r="E28" s="362"/>
    </row>
    <row r="29" spans="1:6">
      <c r="B29" s="363" t="str">
        <f>'CP (6)'!A24</f>
        <v>Kepala Sekolah</v>
      </c>
      <c r="D29" s="363" t="str">
        <f>'CP (6)'!D24</f>
        <v>WKS-1</v>
      </c>
      <c r="E29" s="362"/>
    </row>
    <row r="30" spans="1:6">
      <c r="B30" s="363"/>
      <c r="C30" s="362"/>
      <c r="D30" s="363"/>
      <c r="E30" s="362"/>
    </row>
    <row r="31" spans="1:6">
      <c r="B31" s="363"/>
      <c r="C31" s="362"/>
      <c r="D31" s="363"/>
      <c r="E31" s="362"/>
    </row>
    <row r="32" spans="1:6">
      <c r="B32" s="363"/>
      <c r="C32" s="362"/>
      <c r="D32" s="363"/>
      <c r="E32" s="362"/>
    </row>
    <row r="33" spans="2:8">
      <c r="B33" s="363" t="str">
        <f>'CP (6)'!A28</f>
        <v>WIDADA, S.Pd., M.Pd.</v>
      </c>
      <c r="C33" s="362"/>
      <c r="D33" s="363" t="str">
        <f>'CP (6)'!D28</f>
        <v>GUNAWAN, S.Pd., M.M.</v>
      </c>
      <c r="E33" s="362"/>
    </row>
    <row r="34" spans="2:8">
      <c r="B34" s="363" t="str">
        <f>'CP (6)'!A29</f>
        <v>NIP. 19690212 200012 1 002</v>
      </c>
      <c r="C34" s="362"/>
      <c r="D34" s="363" t="str">
        <f>'CP (6)'!D29</f>
        <v>NIP. 19711213 200501 1 004</v>
      </c>
      <c r="E34" s="362"/>
    </row>
    <row r="35" spans="2:8">
      <c r="B35" s="363"/>
      <c r="C35" s="362"/>
      <c r="D35" s="363"/>
      <c r="E35" s="362"/>
    </row>
    <row r="37" spans="2:8">
      <c r="B37" s="362"/>
      <c r="C37" s="362"/>
      <c r="D37" s="362"/>
      <c r="E37" s="362"/>
    </row>
    <row r="38" spans="2:8">
      <c r="B38" s="362"/>
      <c r="C38" s="362"/>
      <c r="D38" s="552"/>
      <c r="E38" s="362"/>
    </row>
    <row r="39" spans="2:8">
      <c r="B39" s="963"/>
      <c r="D39" s="552"/>
      <c r="E39" s="362"/>
    </row>
    <row r="40" spans="2:8">
      <c r="B40" s="362"/>
      <c r="C40" s="362"/>
      <c r="D40" s="362"/>
      <c r="E40" s="362"/>
    </row>
    <row r="41" spans="2:8">
      <c r="B41" s="362"/>
      <c r="C41" s="362"/>
      <c r="D41" s="362"/>
      <c r="E41" s="362"/>
    </row>
    <row r="42" spans="2:8">
      <c r="B42" s="362"/>
      <c r="C42" s="362"/>
      <c r="D42" s="362"/>
      <c r="E42" s="362"/>
    </row>
    <row r="43" spans="2:8">
      <c r="B43" s="362"/>
      <c r="C43" s="362"/>
      <c r="D43" s="362"/>
      <c r="E43" s="362"/>
    </row>
    <row r="44" spans="2:8">
      <c r="B44" s="362"/>
      <c r="C44" s="362"/>
      <c r="D44" s="363"/>
      <c r="E44" s="362"/>
    </row>
    <row r="45" spans="2:8">
      <c r="B45" s="362"/>
      <c r="C45" s="362"/>
      <c r="D45" s="363"/>
      <c r="E45" s="362"/>
    </row>
    <row r="46" spans="2:8" ht="12" customHeight="1"/>
    <row r="47" spans="2:8">
      <c r="G47" s="362"/>
      <c r="H47" s="362"/>
    </row>
    <row r="48" spans="2:8">
      <c r="G48" s="362"/>
      <c r="H48" s="362"/>
    </row>
    <row r="49" spans="7:8">
      <c r="G49" s="362"/>
      <c r="H49" s="362"/>
    </row>
    <row r="50" spans="7:8">
      <c r="G50" s="362"/>
      <c r="H50" s="362"/>
    </row>
    <row r="51" spans="7:8">
      <c r="G51" s="362"/>
      <c r="H51" s="362"/>
    </row>
    <row r="52" spans="7:8">
      <c r="G52" s="362"/>
      <c r="H52" s="362"/>
    </row>
    <row r="53" spans="7:8">
      <c r="G53" s="362"/>
      <c r="H53" s="362"/>
    </row>
    <row r="54" spans="7:8">
      <c r="G54" s="362"/>
      <c r="H54" s="362"/>
    </row>
    <row r="55" spans="7:8">
      <c r="G55" s="362"/>
      <c r="H55" s="362"/>
    </row>
    <row r="56" spans="7:8">
      <c r="G56" s="362"/>
      <c r="H56" s="362"/>
    </row>
    <row r="57" spans="7:8">
      <c r="G57" s="362"/>
      <c r="H57" s="362"/>
    </row>
    <row r="58" spans="7:8">
      <c r="G58" s="362"/>
      <c r="H58" s="362"/>
    </row>
    <row r="59" spans="7:8">
      <c r="G59" s="362"/>
      <c r="H59" s="362"/>
    </row>
    <row r="60" spans="7:8">
      <c r="G60" s="362"/>
      <c r="H60" s="362"/>
    </row>
    <row r="61" spans="7:8">
      <c r="G61" s="362"/>
      <c r="H61" s="362"/>
    </row>
    <row r="62" spans="7:8">
      <c r="G62" s="362"/>
      <c r="H62" s="362"/>
    </row>
  </sheetData>
  <mergeCells count="17">
    <mergeCell ref="I7:N7"/>
    <mergeCell ref="I9:N9"/>
    <mergeCell ref="E13:F13"/>
    <mergeCell ref="M13:N13"/>
    <mergeCell ref="A13:A14"/>
    <mergeCell ref="B13:B14"/>
    <mergeCell ref="C13:C14"/>
    <mergeCell ref="D13:D14"/>
    <mergeCell ref="I13:I14"/>
    <mergeCell ref="J13:J14"/>
    <mergeCell ref="K13:K14"/>
    <mergeCell ref="L13:L14"/>
    <mergeCell ref="F1:G1"/>
    <mergeCell ref="F2:G2"/>
    <mergeCell ref="A3:F3"/>
    <mergeCell ref="I3:N3"/>
    <mergeCell ref="I6:N6"/>
  </mergeCells>
  <pageMargins left="0.98425196850393704" right="0.31496062992125984" top="0.39370078740157483" bottom="0.39370078740157483" header="0.31496062992125984" footer="0.31496062992125984"/>
  <pageSetup paperSize="5" scale="88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G35"/>
  <sheetViews>
    <sheetView tabSelected="1" zoomScale="85" zoomScaleNormal="85" workbookViewId="0">
      <selection activeCell="B6" sqref="B6"/>
    </sheetView>
  </sheetViews>
  <sheetFormatPr defaultColWidth="9" defaultRowHeight="15"/>
  <cols>
    <col min="1" max="1" width="6.28515625" style="361" customWidth="1"/>
    <col min="2" max="2" width="34.7109375" style="361" customWidth="1"/>
    <col min="3" max="3" width="38.5703125" style="361" customWidth="1"/>
    <col min="4" max="4" width="8.140625" style="361" customWidth="1"/>
    <col min="5" max="5" width="9" style="361"/>
    <col min="6" max="6" width="9.85546875" style="361" customWidth="1"/>
    <col min="7" max="16384" width="9" style="361"/>
  </cols>
  <sheetData>
    <row r="2" spans="1:7">
      <c r="E2" s="620" t="s">
        <v>212</v>
      </c>
      <c r="F2" s="621"/>
    </row>
    <row r="3" spans="1:7">
      <c r="E3" s="988">
        <v>45483</v>
      </c>
      <c r="F3" s="989"/>
    </row>
    <row r="4" spans="1:7">
      <c r="A4" s="941" t="s">
        <v>213</v>
      </c>
      <c r="B4" s="941"/>
      <c r="C4" s="941"/>
      <c r="D4" s="941"/>
      <c r="E4" s="941"/>
      <c r="F4" s="941"/>
      <c r="G4" s="553"/>
    </row>
    <row r="5" spans="1:7">
      <c r="G5" s="942"/>
    </row>
    <row r="6" spans="1:7">
      <c r="A6" s="362" t="s">
        <v>3</v>
      </c>
      <c r="B6" s="552"/>
      <c r="C6" s="362" t="str">
        <f>'COVER '!E26</f>
        <v>: Teknik Mesin</v>
      </c>
      <c r="G6" s="942"/>
    </row>
    <row r="7" spans="1:7">
      <c r="A7" s="362" t="s">
        <v>4</v>
      </c>
      <c r="B7" s="552"/>
      <c r="C7" s="362" t="str">
        <f>'COVER '!E27</f>
        <v xml:space="preserve">: Teknik Pemesinan </v>
      </c>
      <c r="E7" s="362"/>
      <c r="F7" s="362"/>
    </row>
    <row r="8" spans="1:7">
      <c r="A8" s="362" t="s">
        <v>5</v>
      </c>
      <c r="B8" s="362"/>
      <c r="C8" s="362" t="str">
        <f>'COVER '!E28</f>
        <v>: Mata Pelajaran Pilihan (CAM)</v>
      </c>
      <c r="E8" s="553"/>
      <c r="F8" s="553"/>
    </row>
    <row r="9" spans="1:7">
      <c r="A9" s="362" t="s">
        <v>6</v>
      </c>
      <c r="B9" s="552"/>
      <c r="C9" s="361" t="str">
        <f>'COVER '!E29</f>
        <v>: F</v>
      </c>
      <c r="E9" s="553"/>
      <c r="F9" s="553"/>
    </row>
    <row r="10" spans="1:7">
      <c r="A10" s="362" t="s">
        <v>7</v>
      </c>
      <c r="B10" s="552"/>
      <c r="C10" s="362" t="str">
        <f>'COVER '!E30</f>
        <v>: XI TM3</v>
      </c>
      <c r="E10" s="552"/>
      <c r="F10" s="552"/>
    </row>
    <row r="11" spans="1:7">
      <c r="A11" s="362" t="s">
        <v>8</v>
      </c>
      <c r="B11" s="552"/>
      <c r="C11" s="362" t="str">
        <f>'COVER '!E31</f>
        <v>: Gasal</v>
      </c>
      <c r="G11" s="553"/>
    </row>
    <row r="12" spans="1:7">
      <c r="A12" s="362" t="s">
        <v>10</v>
      </c>
      <c r="B12" s="552"/>
      <c r="C12" s="362" t="str">
        <f>'COVER '!E32</f>
        <v>: 2025/2026</v>
      </c>
    </row>
    <row r="14" spans="1:7" ht="28.5">
      <c r="A14" s="980" t="s">
        <v>214</v>
      </c>
      <c r="B14" s="980" t="s">
        <v>215</v>
      </c>
      <c r="C14" s="980" t="s">
        <v>216</v>
      </c>
      <c r="D14" s="980" t="s">
        <v>217</v>
      </c>
      <c r="E14" s="980" t="s">
        <v>218</v>
      </c>
      <c r="F14" s="980" t="s">
        <v>8</v>
      </c>
    </row>
    <row r="15" spans="1:7" ht="24.95" customHeight="1">
      <c r="A15" s="981">
        <v>1</v>
      </c>
      <c r="B15" s="982" t="str">
        <f>'Analisis Materi (7)'!B15</f>
        <v>2D Modelling dengan software CAM</v>
      </c>
      <c r="C15" s="983" t="s">
        <v>1019</v>
      </c>
      <c r="D15" s="981" t="s">
        <v>1024</v>
      </c>
      <c r="E15" s="981">
        <f>'Analisis Materi (7)'!E15</f>
        <v>40</v>
      </c>
      <c r="F15" s="981">
        <v>3</v>
      </c>
    </row>
    <row r="16" spans="1:7" ht="24.95" customHeight="1">
      <c r="A16" s="981">
        <v>2</v>
      </c>
      <c r="B16" s="982" t="s">
        <v>1011</v>
      </c>
      <c r="C16" s="983" t="s">
        <v>1020</v>
      </c>
      <c r="D16" s="981" t="s">
        <v>1025</v>
      </c>
      <c r="E16" s="981">
        <f>'Analisis Materi (7)'!E16</f>
        <v>32</v>
      </c>
      <c r="F16" s="981">
        <v>3</v>
      </c>
    </row>
    <row r="17" spans="1:6" ht="24.95" customHeight="1">
      <c r="A17" s="981">
        <v>3</v>
      </c>
      <c r="B17" s="982" t="str">
        <f>'Analisis Materi (7)'!B17</f>
        <v>Pemrograman 2D dengan software CAM</v>
      </c>
      <c r="C17" s="983" t="s">
        <v>1022</v>
      </c>
      <c r="D17" s="981" t="s">
        <v>1026</v>
      </c>
      <c r="E17" s="981">
        <f>'Analisis Materi (7)'!E17</f>
        <v>40</v>
      </c>
      <c r="F17" s="981">
        <v>4</v>
      </c>
    </row>
    <row r="18" spans="1:6" ht="24.95" customHeight="1">
      <c r="A18" s="981">
        <v>4</v>
      </c>
      <c r="B18" s="982" t="str">
        <f>'Analisis Materi (7)'!B18</f>
        <v>Pemrograman 3D dengan software CAM</v>
      </c>
      <c r="C18" s="983" t="s">
        <v>1023</v>
      </c>
      <c r="D18" s="981" t="s">
        <v>1027</v>
      </c>
      <c r="E18" s="981">
        <f>'Analisis Materi (7)'!E18</f>
        <v>32</v>
      </c>
      <c r="F18" s="981">
        <v>4</v>
      </c>
    </row>
    <row r="19" spans="1:6" ht="24.95" customHeight="1">
      <c r="A19" s="984" t="s">
        <v>187</v>
      </c>
      <c r="B19" s="985"/>
      <c r="C19" s="985"/>
      <c r="D19" s="986"/>
      <c r="E19" s="981">
        <f>SUM(E15:E18)</f>
        <v>144</v>
      </c>
      <c r="F19" s="981"/>
    </row>
    <row r="20" spans="1:6" ht="55.5" customHeight="1"/>
    <row r="21" spans="1:6">
      <c r="A21" s="961"/>
      <c r="B21" s="362"/>
      <c r="C21" s="362"/>
      <c r="D21" s="362" t="s">
        <v>168</v>
      </c>
      <c r="E21" s="362"/>
    </row>
    <row r="22" spans="1:6">
      <c r="A22" s="961"/>
      <c r="B22" s="362"/>
      <c r="C22" s="362"/>
      <c r="D22" s="362"/>
      <c r="E22" s="362"/>
    </row>
    <row r="23" spans="1:6">
      <c r="A23" s="961"/>
      <c r="B23" s="990" t="str">
        <f>'Analisis Materi (7)'!B22</f>
        <v>KPK Teknik Mesin</v>
      </c>
      <c r="C23" s="362"/>
      <c r="D23" s="362" t="s">
        <v>178</v>
      </c>
      <c r="E23" s="362"/>
    </row>
    <row r="24" spans="1:6">
      <c r="A24" s="961"/>
      <c r="B24" s="990"/>
      <c r="C24" s="362"/>
      <c r="D24" s="362"/>
      <c r="E24" s="362"/>
    </row>
    <row r="25" spans="1:6">
      <c r="A25" s="961"/>
      <c r="B25" s="990"/>
      <c r="C25" s="362"/>
      <c r="D25" s="362"/>
      <c r="E25" s="362"/>
    </row>
    <row r="26" spans="1:6">
      <c r="A26" s="961"/>
      <c r="B26" s="990"/>
      <c r="C26" s="362"/>
      <c r="D26" s="362"/>
      <c r="E26" s="362"/>
    </row>
    <row r="27" spans="1:6">
      <c r="A27" s="961"/>
      <c r="B27" s="991" t="str">
        <f>'Analisis Materi (7)'!B26</f>
        <v>Drs. M. Hasannuddin</v>
      </c>
      <c r="C27" s="363"/>
      <c r="D27" s="363" t="str">
        <f>'Analisis Materi (7)'!D26</f>
        <v>Hermawan Rochmadi, S. Pd.</v>
      </c>
      <c r="E27" s="362"/>
    </row>
    <row r="28" spans="1:6" ht="15.75" customHeight="1">
      <c r="A28" s="961"/>
      <c r="B28" s="991" t="str">
        <f>'Analisis Materi (7)'!B27</f>
        <v>NIP. 19670621 199412 1 003</v>
      </c>
      <c r="C28" s="363"/>
      <c r="D28" s="363" t="str">
        <f>'Analisis Materi (7)'!D27</f>
        <v>NIP. 19920317 201903 1 009</v>
      </c>
      <c r="E28" s="362"/>
    </row>
    <row r="29" spans="1:6" ht="30.75" customHeight="1">
      <c r="A29" s="961"/>
      <c r="B29" s="987" t="str">
        <f>'Analisis Materi (7)'!B28</f>
        <v>Mengetahui</v>
      </c>
      <c r="C29" s="987"/>
      <c r="D29" s="987"/>
      <c r="E29" s="987"/>
    </row>
    <row r="30" spans="1:6">
      <c r="B30" s="991" t="str">
        <f>'Analisis Materi (7)'!B29</f>
        <v>Kepala Sekolah</v>
      </c>
      <c r="C30" s="363"/>
      <c r="D30" s="363" t="str">
        <f>'Analisis Materi (7)'!D29</f>
        <v>WKS-1</v>
      </c>
      <c r="E30" s="362"/>
    </row>
    <row r="31" spans="1:6">
      <c r="B31" s="991"/>
      <c r="C31" s="363"/>
      <c r="D31" s="363"/>
      <c r="E31" s="362"/>
    </row>
    <row r="32" spans="1:6">
      <c r="B32" s="991"/>
      <c r="C32" s="363"/>
      <c r="D32" s="363"/>
      <c r="E32" s="362"/>
    </row>
    <row r="33" spans="2:5">
      <c r="B33" s="991"/>
      <c r="C33" s="363"/>
      <c r="D33" s="363"/>
      <c r="E33" s="362"/>
    </row>
    <row r="34" spans="2:5">
      <c r="B34" s="991" t="str">
        <f>'Analisis Materi (7)'!B33</f>
        <v>WIDADA, S.Pd., M.Pd.</v>
      </c>
      <c r="C34" s="363"/>
      <c r="D34" s="363" t="str">
        <f>'Analisis Materi (7)'!D33</f>
        <v>GUNAWAN, S.Pd., M.M.</v>
      </c>
      <c r="E34" s="362"/>
    </row>
    <row r="35" spans="2:5">
      <c r="B35" s="991" t="str">
        <f>'Analisis Materi (7)'!B34</f>
        <v>NIP. 19690212 200012 1 002</v>
      </c>
      <c r="C35" s="363"/>
      <c r="D35" s="363" t="str">
        <f>'Analisis Materi (7)'!D34</f>
        <v>NIP. 19711213 200501 1 004</v>
      </c>
      <c r="E35" s="362"/>
    </row>
  </sheetData>
  <mergeCells count="5">
    <mergeCell ref="E2:F2"/>
    <mergeCell ref="E3:F3"/>
    <mergeCell ref="A4:F4"/>
    <mergeCell ref="B29:E29"/>
    <mergeCell ref="A19:D19"/>
  </mergeCells>
  <printOptions horizontalCentered="1"/>
  <pageMargins left="0.70866141732283472" right="0.70866141732283472" top="0.74803149606299213" bottom="0.74803149606299213" header="0.31496062992125984" footer="0.31496062992125984"/>
  <pageSetup paperSize="512" scale="8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S26"/>
  <sheetViews>
    <sheetView topLeftCell="E1" zoomScale="70" zoomScaleNormal="70" workbookViewId="0">
      <selection activeCell="J14" sqref="J14"/>
    </sheetView>
  </sheetViews>
  <sheetFormatPr defaultColWidth="9" defaultRowHeight="15"/>
  <cols>
    <col min="1" max="1" width="3.42578125" customWidth="1"/>
    <col min="2" max="2" width="4.7109375" customWidth="1"/>
    <col min="3" max="3" width="39" customWidth="1"/>
    <col min="4" max="4" width="16.28515625" customWidth="1"/>
    <col min="5" max="5" width="17.42578125" customWidth="1"/>
    <col min="6" max="6" width="44.5703125" customWidth="1"/>
    <col min="7" max="7" width="20.85546875" customWidth="1"/>
    <col min="8" max="8" width="12.140625" customWidth="1"/>
    <col min="9" max="9" width="15.5703125" customWidth="1"/>
    <col min="10" max="10" width="14" customWidth="1"/>
    <col min="12" max="12" width="26.85546875" customWidth="1"/>
  </cols>
  <sheetData>
    <row r="1" spans="2:19" ht="18.75">
      <c r="B1" s="561" t="s">
        <v>219</v>
      </c>
      <c r="C1" s="561"/>
      <c r="D1" s="561"/>
      <c r="E1" s="561"/>
      <c r="F1" s="561"/>
      <c r="G1" s="561"/>
      <c r="H1" s="561"/>
      <c r="I1" s="561"/>
      <c r="J1" s="561"/>
      <c r="K1" s="6"/>
    </row>
    <row r="2" spans="2:19" ht="15.75">
      <c r="B2" s="6"/>
      <c r="C2" s="7" t="s">
        <v>3</v>
      </c>
      <c r="D2" s="54" t="str">
        <f>'COVER '!E26</f>
        <v>: Teknik Mesin</v>
      </c>
      <c r="E2" s="7"/>
      <c r="F2" s="6"/>
      <c r="G2" s="6"/>
      <c r="H2" s="6"/>
      <c r="I2" s="6"/>
      <c r="J2" s="637" t="s">
        <v>220</v>
      </c>
      <c r="K2" s="637"/>
    </row>
    <row r="3" spans="2:19" ht="15.75">
      <c r="C3" s="7" t="s">
        <v>4</v>
      </c>
      <c r="D3" s="54" t="str">
        <f>'COVER '!E27</f>
        <v xml:space="preserve">: Teknik Pemesinan </v>
      </c>
      <c r="E3" s="7"/>
      <c r="F3" s="6"/>
      <c r="G3" s="6"/>
      <c r="H3" s="6"/>
      <c r="I3" s="6"/>
      <c r="J3" s="638">
        <v>45483</v>
      </c>
      <c r="K3" s="638"/>
    </row>
    <row r="4" spans="2:19" ht="15" customHeight="1">
      <c r="C4" s="7" t="s">
        <v>5</v>
      </c>
      <c r="D4" s="7" t="str">
        <f>'COVER '!E28</f>
        <v>: Mata Pelajaran Pilihan (CAM)</v>
      </c>
      <c r="E4" s="7"/>
      <c r="F4" s="6"/>
      <c r="G4" s="6"/>
      <c r="H4" s="6"/>
      <c r="I4" s="6"/>
      <c r="J4" s="6"/>
      <c r="K4" s="6"/>
    </row>
    <row r="5" spans="2:19" ht="15" customHeight="1">
      <c r="C5" s="7" t="s">
        <v>6</v>
      </c>
      <c r="D5" s="54" t="str">
        <f>'COVER '!E29</f>
        <v>: F</v>
      </c>
      <c r="E5" s="6"/>
      <c r="F5" s="6"/>
      <c r="G5" s="6"/>
      <c r="H5" s="6"/>
      <c r="I5" s="6"/>
      <c r="J5" s="6"/>
      <c r="K5" s="6"/>
    </row>
    <row r="6" spans="2:19" ht="15" customHeight="1">
      <c r="C6" s="7" t="s">
        <v>7</v>
      </c>
      <c r="D6" s="54" t="str">
        <f>'COVER '!E30</f>
        <v>: XI TM3</v>
      </c>
      <c r="E6" s="7"/>
      <c r="F6" s="6"/>
      <c r="G6" s="6"/>
      <c r="H6" s="6"/>
      <c r="I6" s="6"/>
      <c r="J6" s="6"/>
      <c r="K6" s="6"/>
    </row>
    <row r="7" spans="2:19" ht="15" customHeight="1">
      <c r="C7" s="7" t="s">
        <v>8</v>
      </c>
      <c r="D7" s="54" t="str">
        <f>'COVER '!E31</f>
        <v>: Gasal</v>
      </c>
      <c r="E7" s="7"/>
      <c r="F7" s="6"/>
      <c r="G7" s="6"/>
      <c r="H7" s="6"/>
      <c r="I7" s="6"/>
      <c r="J7" s="6"/>
      <c r="K7" s="6"/>
    </row>
    <row r="8" spans="2:19" ht="15.75">
      <c r="B8" s="66"/>
      <c r="C8" s="7" t="s">
        <v>10</v>
      </c>
      <c r="D8" s="54" t="str">
        <f>'COVER '!E32</f>
        <v>: 2025/2026</v>
      </c>
      <c r="E8" s="7"/>
      <c r="F8" s="66"/>
      <c r="G8" s="66"/>
      <c r="H8" s="66"/>
      <c r="I8" s="66"/>
      <c r="J8" s="66"/>
      <c r="K8" s="66"/>
    </row>
    <row r="9" spans="2:19" ht="15.75">
      <c r="B9" s="268"/>
      <c r="C9" s="268"/>
      <c r="D9" s="268"/>
      <c r="E9" s="268"/>
      <c r="F9" s="268"/>
      <c r="G9" s="268"/>
      <c r="H9" s="268"/>
    </row>
    <row r="10" spans="2:19" ht="45">
      <c r="B10" s="23" t="s">
        <v>214</v>
      </c>
      <c r="C10" s="23" t="s">
        <v>221</v>
      </c>
      <c r="D10" s="23" t="s">
        <v>222</v>
      </c>
      <c r="E10" s="23" t="s">
        <v>216</v>
      </c>
      <c r="F10" s="23" t="s">
        <v>223</v>
      </c>
      <c r="G10" s="23" t="s">
        <v>224</v>
      </c>
      <c r="H10" s="23" t="s">
        <v>225</v>
      </c>
      <c r="I10" s="23" t="s">
        <v>218</v>
      </c>
      <c r="J10" s="23" t="s">
        <v>226</v>
      </c>
      <c r="K10" s="23" t="s">
        <v>194</v>
      </c>
    </row>
    <row r="11" spans="2:19" ht="77.45" customHeight="1">
      <c r="B11" s="360">
        <v>1</v>
      </c>
      <c r="C11" s="414" t="s">
        <v>974</v>
      </c>
      <c r="D11" s="414" t="s">
        <v>969</v>
      </c>
      <c r="E11" s="414" t="s">
        <v>965</v>
      </c>
      <c r="F11" s="413" t="s">
        <v>971</v>
      </c>
      <c r="G11" s="414" t="s">
        <v>668</v>
      </c>
      <c r="H11" s="414" t="s">
        <v>972</v>
      </c>
      <c r="I11" s="360">
        <v>20</v>
      </c>
      <c r="J11" s="414" t="s">
        <v>973</v>
      </c>
      <c r="K11" s="301"/>
    </row>
    <row r="12" spans="2:19" ht="15.75">
      <c r="B12" s="291"/>
      <c r="C12" s="291"/>
      <c r="D12" s="291"/>
      <c r="E12" s="291"/>
      <c r="F12" s="291"/>
      <c r="G12" s="302"/>
      <c r="H12" s="291"/>
      <c r="I12" s="291"/>
      <c r="J12" s="291"/>
      <c r="K12" s="291"/>
      <c r="M12" s="95"/>
      <c r="N12" s="292"/>
      <c r="O12" s="95"/>
      <c r="P12" s="95"/>
      <c r="Q12" s="66"/>
      <c r="R12" s="66"/>
      <c r="S12" s="66"/>
    </row>
    <row r="13" spans="2:19" ht="15.75">
      <c r="B13" s="291"/>
      <c r="C13" s="66"/>
      <c r="D13" s="95"/>
      <c r="E13" s="95"/>
      <c r="F13" s="95"/>
      <c r="J13" s="410" t="s">
        <v>963</v>
      </c>
      <c r="O13" s="303"/>
      <c r="P13" s="303"/>
      <c r="Q13" s="67"/>
      <c r="R13" s="67"/>
      <c r="S13" s="67"/>
    </row>
    <row r="14" spans="2:19" ht="15.75">
      <c r="B14" s="291"/>
      <c r="C14" s="95" t="s">
        <v>171</v>
      </c>
      <c r="D14" s="66"/>
      <c r="E14" s="95"/>
      <c r="F14" s="95"/>
      <c r="J14" s="66"/>
      <c r="O14" s="303"/>
      <c r="P14" s="303"/>
      <c r="Q14" s="95"/>
      <c r="R14" s="95"/>
      <c r="S14" s="95"/>
    </row>
    <row r="15" spans="2:19" ht="15.75">
      <c r="B15" s="291"/>
      <c r="C15" s="95" t="s">
        <v>172</v>
      </c>
      <c r="E15" s="276" t="s">
        <v>229</v>
      </c>
      <c r="G15" s="95" t="str">
        <f>'ATP (8)'!B23</f>
        <v>KPK Teknik Mesin</v>
      </c>
      <c r="I15" s="95"/>
      <c r="J15" s="66" t="s">
        <v>178</v>
      </c>
    </row>
    <row r="16" spans="2:19" ht="15.75">
      <c r="B16" s="291"/>
      <c r="C16" s="95"/>
      <c r="D16" s="292"/>
      <c r="E16" s="95"/>
      <c r="G16" s="66"/>
      <c r="I16" s="66"/>
    </row>
    <row r="17" spans="2:11" ht="15.75">
      <c r="B17" s="291"/>
      <c r="C17" s="95"/>
      <c r="D17" s="292"/>
      <c r="E17" s="95"/>
      <c r="G17" s="66"/>
      <c r="I17" s="66"/>
    </row>
    <row r="18" spans="2:11" ht="15.75">
      <c r="B18" s="291"/>
      <c r="C18" s="95"/>
      <c r="D18" s="293"/>
      <c r="E18" s="95"/>
      <c r="G18" s="66"/>
      <c r="I18" s="66"/>
    </row>
    <row r="19" spans="2:11" ht="15.75">
      <c r="B19" s="291"/>
      <c r="C19" s="95" t="str">
        <f>'PROSEM(5)  '!B49</f>
        <v>WIDADA, S.Pd., M.Pd.</v>
      </c>
      <c r="E19" s="303" t="str">
        <f>'PROSEM(5)  '!C49</f>
        <v>GUNAWAN, S.Pd., M.M.</v>
      </c>
      <c r="G19" s="67" t="str">
        <f>'PROSEM(5)  '!O49</f>
        <v>Drs. M. Hasannuddin</v>
      </c>
      <c r="I19" s="67"/>
      <c r="J19" t="str">
        <f>'PROSEM(5)  '!Y49</f>
        <v>Hermawan Rochmadi, S. Pd.</v>
      </c>
    </row>
    <row r="20" spans="2:11" ht="15.75">
      <c r="B20" s="291"/>
      <c r="C20" s="95" t="str">
        <f>'PROSEM(5)  '!B50</f>
        <v>NIP. 19690212 200012 1 002</v>
      </c>
      <c r="E20" s="303" t="str">
        <f>'PROSEM(5)  '!C50</f>
        <v>NIP. 19711213 200501 1 004</v>
      </c>
      <c r="G20" s="67" t="str">
        <f>'PROSEM(5)  '!O50</f>
        <v>NIP. 19670621 199412 1 003</v>
      </c>
      <c r="I20" s="95"/>
      <c r="J20" t="str">
        <f>'PROSEM(5)  '!Y50</f>
        <v>NIP. 19920317 201903 1 009</v>
      </c>
    </row>
    <row r="21" spans="2:11">
      <c r="B21" s="291"/>
      <c r="C21" s="291"/>
      <c r="D21" s="291"/>
      <c r="E21" s="291"/>
      <c r="F21" s="291"/>
      <c r="G21" s="291"/>
      <c r="H21" s="291"/>
      <c r="I21" s="291"/>
      <c r="J21" s="291"/>
      <c r="K21" s="291"/>
    </row>
    <row r="22" spans="2:11">
      <c r="B22" s="291"/>
      <c r="C22" s="291"/>
      <c r="D22" s="291"/>
      <c r="E22" s="291"/>
      <c r="F22" s="291"/>
      <c r="G22" s="291"/>
      <c r="H22" s="291"/>
      <c r="I22" s="291"/>
      <c r="J22" s="291"/>
      <c r="K22" s="291"/>
    </row>
    <row r="23" spans="2:11">
      <c r="B23" s="291"/>
      <c r="C23" s="291"/>
      <c r="D23" s="291"/>
      <c r="E23" s="291"/>
      <c r="F23" s="291"/>
      <c r="G23" s="291"/>
      <c r="H23" s="291"/>
      <c r="I23" s="291"/>
      <c r="J23" s="291"/>
      <c r="K23" s="291"/>
    </row>
    <row r="24" spans="2:11">
      <c r="B24" s="291"/>
      <c r="C24" s="291"/>
      <c r="D24" s="291"/>
      <c r="E24" s="291"/>
      <c r="F24" s="291"/>
      <c r="G24" s="291"/>
      <c r="H24" s="291"/>
      <c r="I24" s="291"/>
      <c r="J24" s="291"/>
      <c r="K24" s="291"/>
    </row>
    <row r="25" spans="2:11">
      <c r="B25" s="291"/>
      <c r="C25" s="291"/>
      <c r="D25" s="291"/>
      <c r="E25" s="291"/>
      <c r="F25" s="291"/>
      <c r="G25" s="291"/>
      <c r="H25" s="291"/>
      <c r="I25" s="291"/>
      <c r="J25" s="291"/>
      <c r="K25" s="291"/>
    </row>
    <row r="26" spans="2:11">
      <c r="B26" s="291"/>
      <c r="C26" s="291"/>
      <c r="D26" s="291"/>
      <c r="E26" s="291"/>
      <c r="F26" s="291"/>
      <c r="G26" s="291"/>
      <c r="H26" s="291"/>
      <c r="I26" s="291"/>
      <c r="J26" s="291"/>
      <c r="K26" s="291"/>
    </row>
  </sheetData>
  <mergeCells count="3">
    <mergeCell ref="B1:J1"/>
    <mergeCell ref="J2:K2"/>
    <mergeCell ref="J3:K3"/>
  </mergeCells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71"/>
  <sheetViews>
    <sheetView topLeftCell="A5" zoomScale="70" zoomScaleNormal="70" workbookViewId="0">
      <selection activeCell="B17" sqref="B17:D21"/>
    </sheetView>
  </sheetViews>
  <sheetFormatPr defaultColWidth="9" defaultRowHeight="18" customHeight="1"/>
  <cols>
    <col min="2" max="2" width="50.140625" customWidth="1"/>
    <col min="3" max="3" width="1.85546875" customWidth="1"/>
    <col min="4" max="4" width="38.85546875" customWidth="1"/>
    <col min="6" max="6" width="15" customWidth="1"/>
    <col min="7" max="7" width="4.7109375" customWidth="1"/>
    <col min="8" max="8" width="34.140625" customWidth="1"/>
    <col min="9" max="9" width="81.140625" customWidth="1"/>
    <col min="10" max="10" width="13.140625" customWidth="1"/>
    <col min="11" max="13" width="12.140625" customWidth="1"/>
    <col min="14" max="14" width="17.5703125" customWidth="1"/>
  </cols>
  <sheetData>
    <row r="1" spans="2:14" ht="18" customHeight="1">
      <c r="D1" s="279" t="s">
        <v>230</v>
      </c>
      <c r="E1" s="277"/>
      <c r="F1" s="277"/>
      <c r="G1" s="277"/>
    </row>
    <row r="2" spans="2:14" ht="30" customHeight="1">
      <c r="D2" s="265">
        <v>45117</v>
      </c>
      <c r="E2" s="267"/>
      <c r="F2" s="267"/>
      <c r="G2" s="267"/>
      <c r="H2" s="425" t="s">
        <v>964</v>
      </c>
    </row>
    <row r="5" spans="2:14" ht="28.5" customHeight="1">
      <c r="B5" s="571" t="s">
        <v>231</v>
      </c>
      <c r="C5" s="571"/>
      <c r="D5" s="571"/>
      <c r="E5" s="52"/>
      <c r="F5" s="52"/>
      <c r="G5" s="647" t="s">
        <v>205</v>
      </c>
      <c r="H5" s="649" t="s">
        <v>221</v>
      </c>
      <c r="I5" s="649" t="s">
        <v>975</v>
      </c>
      <c r="J5" s="643" t="s">
        <v>977</v>
      </c>
      <c r="K5" s="644"/>
      <c r="L5" s="644"/>
      <c r="M5" s="645"/>
      <c r="N5" s="651" t="s">
        <v>232</v>
      </c>
    </row>
    <row r="6" spans="2:14" ht="40.5" customHeight="1">
      <c r="B6" s="571" t="s">
        <v>233</v>
      </c>
      <c r="C6" s="571"/>
      <c r="D6" s="571"/>
      <c r="E6" s="52"/>
      <c r="F6" s="52"/>
      <c r="G6" s="648"/>
      <c r="H6" s="648"/>
      <c r="I6" s="648"/>
      <c r="J6" s="295" t="s">
        <v>234</v>
      </c>
      <c r="K6" s="294" t="s">
        <v>235</v>
      </c>
      <c r="L6" s="294" t="s">
        <v>236</v>
      </c>
      <c r="M6" s="294" t="s">
        <v>237</v>
      </c>
      <c r="N6" s="651"/>
    </row>
    <row r="7" spans="2:14" ht="122.45" customHeight="1">
      <c r="E7" s="52"/>
      <c r="F7" s="52"/>
      <c r="G7" s="419">
        <v>1</v>
      </c>
      <c r="H7" s="422" t="s">
        <v>970</v>
      </c>
      <c r="I7" s="423" t="s">
        <v>976</v>
      </c>
      <c r="J7" s="290" t="s">
        <v>238</v>
      </c>
      <c r="K7" s="290" t="s">
        <v>239</v>
      </c>
      <c r="L7" s="290" t="s">
        <v>240</v>
      </c>
      <c r="M7" s="290" t="s">
        <v>241</v>
      </c>
      <c r="N7" s="424" t="s">
        <v>978</v>
      </c>
    </row>
    <row r="8" spans="2:14" ht="18" customHeight="1">
      <c r="G8" s="420"/>
      <c r="H8" s="418"/>
      <c r="I8" s="298"/>
      <c r="J8" s="298"/>
      <c r="K8" s="298"/>
      <c r="L8" s="298"/>
      <c r="M8" s="298"/>
      <c r="N8" s="417"/>
    </row>
    <row r="9" spans="2:14" ht="18" customHeight="1">
      <c r="B9" s="287" t="s">
        <v>242</v>
      </c>
      <c r="C9" s="287" t="s">
        <v>13</v>
      </c>
      <c r="D9" s="288"/>
      <c r="G9" s="420"/>
      <c r="H9" s="418"/>
      <c r="I9" s="416"/>
      <c r="J9" s="416"/>
      <c r="K9" s="416"/>
      <c r="L9" s="416"/>
      <c r="M9" s="416"/>
      <c r="N9" s="415"/>
    </row>
    <row r="10" spans="2:14" ht="18" customHeight="1">
      <c r="B10" s="646" t="s">
        <v>243</v>
      </c>
      <c r="C10" s="646" t="s">
        <v>13</v>
      </c>
      <c r="D10" s="288"/>
      <c r="G10" s="420"/>
      <c r="H10" s="418"/>
      <c r="I10" s="298"/>
      <c r="J10" s="298"/>
      <c r="K10" s="298"/>
      <c r="L10" s="298"/>
      <c r="M10" s="298"/>
      <c r="N10" s="415"/>
    </row>
    <row r="11" spans="2:14" ht="18" customHeight="1">
      <c r="B11" s="646"/>
      <c r="C11" s="646"/>
      <c r="D11" s="288"/>
      <c r="G11" s="420"/>
      <c r="H11" s="418"/>
      <c r="I11" s="418"/>
      <c r="J11" s="418"/>
      <c r="K11" s="418"/>
      <c r="L11" s="418"/>
      <c r="M11" s="418"/>
      <c r="N11" s="415"/>
    </row>
    <row r="12" spans="2:14" ht="18" customHeight="1">
      <c r="B12" s="646" t="s">
        <v>244</v>
      </c>
      <c r="C12" s="646" t="s">
        <v>13</v>
      </c>
      <c r="D12" s="287"/>
      <c r="G12" s="420"/>
      <c r="H12" s="418"/>
      <c r="I12" s="416"/>
      <c r="J12" s="416"/>
      <c r="K12" s="416"/>
      <c r="L12" s="416"/>
      <c r="M12" s="416"/>
      <c r="N12" s="415"/>
    </row>
    <row r="13" spans="2:14" ht="18" customHeight="1">
      <c r="B13" s="646"/>
      <c r="C13" s="646"/>
      <c r="D13" s="287"/>
      <c r="G13" s="420"/>
      <c r="H13" s="418"/>
      <c r="I13" s="298"/>
      <c r="J13" s="298"/>
      <c r="K13" s="298"/>
      <c r="L13" s="298"/>
      <c r="M13" s="298"/>
      <c r="N13" s="297"/>
    </row>
    <row r="14" spans="2:14" ht="18" customHeight="1">
      <c r="B14" s="646" t="s">
        <v>245</v>
      </c>
      <c r="C14" s="646" t="s">
        <v>13</v>
      </c>
      <c r="D14" s="287"/>
      <c r="G14" s="421"/>
      <c r="H14" s="416"/>
      <c r="I14" s="416"/>
      <c r="J14" s="416"/>
      <c r="K14" s="416"/>
      <c r="L14" s="416"/>
      <c r="M14" s="416"/>
      <c r="N14" s="415"/>
    </row>
    <row r="15" spans="2:14" ht="18" customHeight="1">
      <c r="B15" s="646"/>
      <c r="C15" s="646"/>
      <c r="D15" s="287"/>
      <c r="G15" s="419"/>
      <c r="H15" s="419"/>
      <c r="I15" s="296"/>
      <c r="J15" s="290"/>
      <c r="K15" s="290"/>
      <c r="L15" s="290"/>
      <c r="M15" s="290"/>
      <c r="N15" s="415"/>
    </row>
    <row r="16" spans="2:14" ht="18" customHeight="1">
      <c r="B16" s="287"/>
      <c r="C16" s="287"/>
      <c r="D16" s="287"/>
      <c r="G16" s="420"/>
      <c r="H16" s="420"/>
      <c r="I16" s="298"/>
      <c r="J16" s="298"/>
      <c r="K16" s="298"/>
      <c r="L16" s="298"/>
      <c r="M16" s="298"/>
      <c r="N16" s="415"/>
    </row>
    <row r="17" spans="2:14" ht="18" customHeight="1">
      <c r="B17" s="287" t="s">
        <v>246</v>
      </c>
      <c r="C17" s="287" t="s">
        <v>13</v>
      </c>
      <c r="D17" s="287"/>
      <c r="G17" s="420"/>
      <c r="H17" s="420"/>
      <c r="I17" s="416"/>
      <c r="J17" s="416"/>
      <c r="K17" s="416"/>
      <c r="L17" s="416"/>
      <c r="M17" s="416"/>
      <c r="N17" s="415"/>
    </row>
    <row r="18" spans="2:14" ht="18" customHeight="1">
      <c r="B18" s="287" t="s">
        <v>247</v>
      </c>
      <c r="C18" s="287" t="s">
        <v>248</v>
      </c>
      <c r="D18" s="287"/>
      <c r="G18" s="420"/>
      <c r="H18" s="420"/>
      <c r="I18" s="298"/>
      <c r="J18" s="298"/>
      <c r="K18" s="298"/>
      <c r="L18" s="298"/>
      <c r="M18" s="298"/>
      <c r="N18" s="415"/>
    </row>
    <row r="19" spans="2:14" ht="18" customHeight="1">
      <c r="B19" s="287" t="s">
        <v>249</v>
      </c>
      <c r="C19" s="287" t="s">
        <v>13</v>
      </c>
      <c r="D19" s="287"/>
      <c r="G19" s="420"/>
      <c r="H19" s="420"/>
      <c r="I19" s="416"/>
      <c r="J19" s="416"/>
      <c r="K19" s="416"/>
      <c r="L19" s="416"/>
      <c r="M19" s="416"/>
      <c r="N19" s="297"/>
    </row>
    <row r="20" spans="2:14" ht="18" customHeight="1">
      <c r="B20" s="287" t="s">
        <v>250</v>
      </c>
      <c r="C20" s="287" t="s">
        <v>13</v>
      </c>
      <c r="D20" s="287"/>
      <c r="G20" s="421"/>
      <c r="H20" s="421"/>
      <c r="I20" s="298"/>
      <c r="J20" s="299"/>
      <c r="K20" s="299"/>
      <c r="L20" s="299"/>
      <c r="M20" s="299"/>
      <c r="N20" s="415"/>
    </row>
    <row r="21" spans="2:14" ht="18" customHeight="1">
      <c r="B21" s="287" t="s">
        <v>251</v>
      </c>
      <c r="C21" s="287" t="s">
        <v>13</v>
      </c>
      <c r="D21" s="287"/>
      <c r="G21" s="419"/>
      <c r="H21" s="419"/>
      <c r="I21" s="299"/>
      <c r="J21" s="299"/>
      <c r="K21" s="299"/>
      <c r="L21" s="299"/>
      <c r="M21" s="299"/>
      <c r="N21" s="415"/>
    </row>
    <row r="22" spans="2:14" ht="18" customHeight="1">
      <c r="G22" s="420"/>
      <c r="H22" s="420"/>
      <c r="I22" s="299"/>
      <c r="J22" s="290"/>
      <c r="K22" s="290"/>
      <c r="L22" s="290"/>
      <c r="M22" s="290"/>
      <c r="N22" s="415"/>
    </row>
    <row r="23" spans="2:14" ht="18" customHeight="1">
      <c r="G23" s="420"/>
      <c r="H23" s="420"/>
      <c r="I23" s="296"/>
      <c r="J23" s="290"/>
      <c r="K23" s="290"/>
      <c r="L23" s="290"/>
      <c r="M23" s="290"/>
      <c r="N23" s="415"/>
    </row>
    <row r="24" spans="2:14" ht="18" customHeight="1">
      <c r="B24" s="287" t="s">
        <v>252</v>
      </c>
      <c r="C24" s="287" t="s">
        <v>13</v>
      </c>
      <c r="D24" s="288"/>
      <c r="G24" s="421"/>
      <c r="H24" s="421"/>
      <c r="I24" s="296"/>
      <c r="J24" s="290"/>
      <c r="K24" s="290"/>
      <c r="L24" s="290"/>
      <c r="M24" s="290"/>
      <c r="N24" s="297"/>
    </row>
    <row r="25" spans="2:14" ht="18" customHeight="1">
      <c r="B25" s="287" t="s">
        <v>253</v>
      </c>
      <c r="C25" s="287" t="s">
        <v>13</v>
      </c>
      <c r="D25" s="288"/>
      <c r="G25" s="654"/>
      <c r="H25" s="654"/>
      <c r="I25" s="296"/>
      <c r="J25" s="290"/>
      <c r="K25" s="290"/>
      <c r="L25" s="290"/>
      <c r="M25" s="290"/>
      <c r="N25" s="650"/>
    </row>
    <row r="26" spans="2:14" ht="18" customHeight="1">
      <c r="B26" s="646" t="s">
        <v>254</v>
      </c>
      <c r="C26" s="646" t="s">
        <v>13</v>
      </c>
      <c r="D26" s="289"/>
      <c r="G26" s="655"/>
      <c r="H26" s="655"/>
      <c r="I26" s="296"/>
      <c r="J26" s="290"/>
      <c r="K26" s="290"/>
      <c r="L26" s="290"/>
      <c r="M26" s="290"/>
      <c r="N26" s="650"/>
    </row>
    <row r="27" spans="2:14" ht="18" customHeight="1">
      <c r="B27" s="646"/>
      <c r="C27" s="646"/>
      <c r="D27" s="289"/>
      <c r="G27" s="656"/>
      <c r="H27" s="656"/>
      <c r="I27" s="296"/>
      <c r="J27" s="290"/>
      <c r="K27" s="290"/>
      <c r="L27" s="290"/>
      <c r="M27" s="290"/>
      <c r="N27" s="650"/>
    </row>
    <row r="28" spans="2:14" ht="18" customHeight="1">
      <c r="B28" s="646"/>
      <c r="C28" s="646"/>
      <c r="D28" s="289"/>
      <c r="G28" s="654"/>
      <c r="H28" s="657"/>
      <c r="I28" s="652"/>
      <c r="J28" s="290"/>
      <c r="K28" s="290"/>
      <c r="L28" s="290"/>
      <c r="M28" s="290"/>
      <c r="N28" s="650"/>
    </row>
    <row r="29" spans="2:14" ht="18" customHeight="1">
      <c r="B29" s="646"/>
      <c r="C29" s="646"/>
      <c r="D29" s="289"/>
      <c r="G29" s="655"/>
      <c r="H29" s="658"/>
      <c r="I29" s="653"/>
      <c r="J29" s="290"/>
      <c r="K29" s="290"/>
      <c r="L29" s="290"/>
      <c r="M29" s="290"/>
      <c r="N29" s="650"/>
    </row>
    <row r="30" spans="2:14" ht="18" customHeight="1">
      <c r="B30" s="646"/>
      <c r="C30" s="646"/>
      <c r="D30" s="289"/>
      <c r="G30" s="656"/>
      <c r="H30" s="659"/>
      <c r="I30" s="296"/>
      <c r="J30" s="290"/>
      <c r="K30" s="290"/>
      <c r="L30" s="290"/>
      <c r="M30" s="290"/>
      <c r="N30" s="300"/>
    </row>
    <row r="31" spans="2:14" ht="18" customHeight="1">
      <c r="B31" s="646" t="s">
        <v>255</v>
      </c>
      <c r="C31" s="646" t="s">
        <v>13</v>
      </c>
      <c r="D31" s="289"/>
      <c r="G31" s="290"/>
      <c r="H31" s="287"/>
      <c r="I31" s="296"/>
      <c r="J31" s="290"/>
      <c r="K31" s="290"/>
      <c r="L31" s="290"/>
      <c r="M31" s="290"/>
      <c r="N31" s="650"/>
    </row>
    <row r="32" spans="2:14" ht="18" customHeight="1">
      <c r="B32" s="646"/>
      <c r="C32" s="646"/>
      <c r="D32" s="289"/>
      <c r="G32" s="290"/>
      <c r="H32" s="287"/>
      <c r="I32" s="296"/>
      <c r="J32" s="290"/>
      <c r="K32" s="290"/>
      <c r="L32" s="290"/>
      <c r="M32" s="290"/>
      <c r="N32" s="650"/>
    </row>
    <row r="33" spans="2:15" ht="18" customHeight="1">
      <c r="B33" s="646"/>
      <c r="C33" s="646"/>
      <c r="D33" s="289"/>
      <c r="G33" s="290"/>
      <c r="H33" s="287"/>
      <c r="I33" s="296"/>
      <c r="J33" s="290"/>
      <c r="K33" s="290"/>
      <c r="L33" s="290"/>
      <c r="M33" s="290"/>
      <c r="N33" s="650"/>
    </row>
    <row r="34" spans="2:15" ht="18" customHeight="1">
      <c r="B34" s="646"/>
      <c r="C34" s="646"/>
      <c r="D34" s="289"/>
      <c r="G34" s="290"/>
      <c r="H34" s="287"/>
      <c r="I34" s="296"/>
      <c r="J34" s="290"/>
      <c r="K34" s="290"/>
      <c r="L34" s="290"/>
      <c r="M34" s="290"/>
      <c r="N34" s="650"/>
    </row>
    <row r="35" spans="2:15" ht="18" customHeight="1">
      <c r="B35" s="646"/>
      <c r="C35" s="646"/>
      <c r="D35" s="289"/>
      <c r="G35" s="290"/>
      <c r="H35" s="287"/>
      <c r="I35" s="296"/>
      <c r="J35" s="290"/>
      <c r="K35" s="290"/>
      <c r="L35" s="290"/>
      <c r="M35" s="290"/>
      <c r="N35" s="650"/>
    </row>
    <row r="36" spans="2:15" ht="18" customHeight="1">
      <c r="G36" s="290"/>
      <c r="H36" s="287"/>
      <c r="I36" s="296"/>
      <c r="J36" s="290"/>
      <c r="K36" s="290"/>
      <c r="L36" s="290"/>
      <c r="M36" s="290"/>
      <c r="N36" s="650"/>
    </row>
    <row r="40" spans="2:15" ht="18" customHeight="1">
      <c r="G40" s="291"/>
      <c r="H40" s="291"/>
      <c r="I40" s="291"/>
      <c r="J40" s="291"/>
      <c r="K40" s="291"/>
      <c r="L40" s="291"/>
      <c r="M40" s="291"/>
      <c r="N40" s="291"/>
      <c r="O40" s="291"/>
    </row>
    <row r="41" spans="2:15" ht="18" customHeight="1">
      <c r="G41" s="66"/>
      <c r="H41" s="95"/>
      <c r="I41" s="95"/>
      <c r="J41" s="95"/>
      <c r="N41" s="410" t="s">
        <v>963</v>
      </c>
    </row>
    <row r="42" spans="2:15" ht="18" customHeight="1">
      <c r="G42" s="95" t="s">
        <v>171</v>
      </c>
      <c r="H42" s="66"/>
      <c r="I42" s="95"/>
      <c r="J42" s="95"/>
      <c r="N42" s="66"/>
    </row>
    <row r="43" spans="2:15" ht="15.75" customHeight="1">
      <c r="G43" s="95" t="s">
        <v>172</v>
      </c>
      <c r="I43" s="276" t="s">
        <v>229</v>
      </c>
      <c r="J43" s="95" t="s">
        <v>196</v>
      </c>
      <c r="M43" s="95"/>
      <c r="N43" s="66" t="s">
        <v>178</v>
      </c>
    </row>
    <row r="44" spans="2:15" ht="15.75" customHeight="1">
      <c r="G44" s="95"/>
      <c r="H44" s="292"/>
      <c r="I44" s="95"/>
      <c r="J44" s="66"/>
      <c r="M44" s="66"/>
    </row>
    <row r="45" spans="2:15" ht="15.75" customHeight="1">
      <c r="G45" s="95"/>
      <c r="H45" s="292"/>
      <c r="I45" s="95"/>
      <c r="J45" s="66"/>
      <c r="M45" s="66"/>
    </row>
    <row r="46" spans="2:15" ht="15.75" customHeight="1">
      <c r="G46" s="95"/>
      <c r="H46" s="293"/>
      <c r="I46" s="95"/>
      <c r="J46" s="66"/>
      <c r="M46" s="66"/>
    </row>
    <row r="47" spans="2:15" ht="15.75" customHeight="1">
      <c r="G47" s="95" t="str">
        <f>'TP (9)'!C19</f>
        <v>WIDADA, S.Pd., M.Pd.</v>
      </c>
      <c r="H47" s="95"/>
      <c r="I47" s="95" t="str">
        <f>'TP (9)'!E19</f>
        <v>GUNAWAN, S.Pd., M.M.</v>
      </c>
      <c r="J47" s="95" t="str">
        <f>'TP (9)'!G19</f>
        <v>Drs. M. Hasannuddin</v>
      </c>
      <c r="L47" s="95"/>
      <c r="M47" s="95"/>
      <c r="N47" s="95" t="str">
        <f>'TP (9)'!J19</f>
        <v>Hermawan Rochmadi, S. Pd.</v>
      </c>
    </row>
    <row r="48" spans="2:15" ht="15.75" customHeight="1">
      <c r="G48" s="95" t="str">
        <f>'TP (9)'!C20</f>
        <v>NIP. 19690212 200012 1 002</v>
      </c>
      <c r="H48" s="95"/>
      <c r="I48" s="95" t="str">
        <f>'TP (9)'!E20</f>
        <v>NIP. 19711213 200501 1 004</v>
      </c>
      <c r="J48" s="95" t="str">
        <f>'TP (9)'!G20</f>
        <v>NIP. 19670621 199412 1 003</v>
      </c>
      <c r="L48" s="95"/>
      <c r="M48" s="95"/>
      <c r="N48" s="95" t="str">
        <f>'TP (9)'!J20</f>
        <v>NIP. 19920317 201903 1 009</v>
      </c>
    </row>
    <row r="49" spans="7:15" ht="15.75" customHeight="1">
      <c r="G49" s="291"/>
      <c r="H49" s="291"/>
      <c r="I49" s="291"/>
      <c r="J49" s="291"/>
      <c r="K49" s="291"/>
      <c r="L49" s="291"/>
      <c r="M49" s="291"/>
      <c r="N49" s="291"/>
      <c r="O49" s="291"/>
    </row>
    <row r="50" spans="7:15" ht="15.75" customHeight="1"/>
    <row r="51" spans="7:15" ht="15.75" customHeight="1"/>
    <row r="52" spans="7:15" ht="15.75" customHeight="1"/>
    <row r="53" spans="7:15" ht="15.75" customHeight="1"/>
    <row r="54" spans="7:15" ht="15.75" customHeight="1"/>
    <row r="55" spans="7:15" ht="15.75" customHeight="1"/>
    <row r="56" spans="7:15" ht="15.75" customHeight="1"/>
    <row r="57" spans="7:15" ht="15.75" customHeight="1"/>
    <row r="58" spans="7:15" ht="15.75" customHeight="1"/>
    <row r="59" spans="7:15" ht="15.75" customHeight="1"/>
    <row r="60" spans="7:15" ht="15.75" customHeight="1"/>
    <row r="61" spans="7:15" ht="15.75" customHeight="1"/>
    <row r="62" spans="7:15" ht="15.75" customHeight="1"/>
    <row r="63" spans="7:15" ht="15.75" customHeight="1"/>
    <row r="64" spans="7:1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</sheetData>
  <mergeCells count="24">
    <mergeCell ref="N25:N29"/>
    <mergeCell ref="N31:N36"/>
    <mergeCell ref="N5:N6"/>
    <mergeCell ref="I28:I29"/>
    <mergeCell ref="G25:G27"/>
    <mergeCell ref="G28:G30"/>
    <mergeCell ref="H5:H6"/>
    <mergeCell ref="H25:H27"/>
    <mergeCell ref="H28:H30"/>
    <mergeCell ref="B12:B13"/>
    <mergeCell ref="B14:B15"/>
    <mergeCell ref="B26:B30"/>
    <mergeCell ref="B31:B35"/>
    <mergeCell ref="C10:C11"/>
    <mergeCell ref="C12:C13"/>
    <mergeCell ref="C14:C15"/>
    <mergeCell ref="C26:C30"/>
    <mergeCell ref="C31:C35"/>
    <mergeCell ref="B5:D5"/>
    <mergeCell ref="J5:M5"/>
    <mergeCell ref="B6:D6"/>
    <mergeCell ref="B10:B11"/>
    <mergeCell ref="G5:G6"/>
    <mergeCell ref="I5:I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2"/>
  <sheetViews>
    <sheetView topLeftCell="A3" workbookViewId="0">
      <selection activeCell="A3" sqref="A3:I5"/>
    </sheetView>
  </sheetViews>
  <sheetFormatPr defaultColWidth="9" defaultRowHeight="15"/>
  <cols>
    <col min="1" max="1" width="26.42578125" customWidth="1"/>
    <col min="2" max="2" width="22.140625" customWidth="1"/>
    <col min="3" max="3" width="10.5703125" customWidth="1"/>
    <col min="4" max="4" width="12.5703125" customWidth="1"/>
    <col min="5" max="5" width="11.5703125" customWidth="1"/>
    <col min="6" max="6" width="15.85546875" customWidth="1"/>
    <col min="7" max="7" width="13.7109375" customWidth="1"/>
    <col min="8" max="8" width="22.7109375" customWidth="1"/>
    <col min="9" max="9" width="10.7109375" customWidth="1"/>
  </cols>
  <sheetData>
    <row r="1" spans="1:10" ht="18.75">
      <c r="A1" s="571"/>
      <c r="B1" s="571"/>
      <c r="C1" s="571"/>
      <c r="D1" s="571"/>
      <c r="E1" s="571"/>
      <c r="F1" s="571"/>
      <c r="G1" s="571"/>
      <c r="H1" s="53"/>
      <c r="I1" s="105" t="s">
        <v>256</v>
      </c>
    </row>
    <row r="2" spans="1:10" ht="18.75">
      <c r="A2" s="571"/>
      <c r="B2" s="571"/>
      <c r="C2" s="571"/>
      <c r="D2" s="571"/>
      <c r="E2" s="571"/>
      <c r="F2" s="571"/>
      <c r="G2" s="571"/>
      <c r="H2" s="53"/>
      <c r="I2" s="283">
        <v>41783</v>
      </c>
    </row>
    <row r="3" spans="1:10" ht="18.75">
      <c r="A3" s="571" t="s">
        <v>231</v>
      </c>
      <c r="B3" s="571"/>
      <c r="C3" s="571"/>
      <c r="D3" s="571"/>
      <c r="E3" s="571"/>
      <c r="F3" s="571"/>
      <c r="G3" s="571"/>
      <c r="H3" s="571"/>
      <c r="I3" s="571"/>
    </row>
    <row r="4" spans="1:10" ht="18.75">
      <c r="A4" s="571" t="s">
        <v>257</v>
      </c>
      <c r="B4" s="571"/>
      <c r="C4" s="571"/>
      <c r="D4" s="571"/>
      <c r="E4" s="571"/>
      <c r="F4" s="571"/>
      <c r="G4" s="571"/>
      <c r="H4" s="571"/>
      <c r="I4" s="571"/>
      <c r="J4" s="95"/>
    </row>
    <row r="5" spans="1:10" ht="18.75">
      <c r="A5" s="571" t="s">
        <v>258</v>
      </c>
      <c r="B5" s="571"/>
      <c r="C5" s="571"/>
      <c r="D5" s="571"/>
      <c r="E5" s="571"/>
      <c r="F5" s="571"/>
      <c r="G5" s="571"/>
      <c r="H5" s="571"/>
      <c r="I5" s="571"/>
      <c r="J5" s="284"/>
    </row>
    <row r="6" spans="1:10">
      <c r="A6" s="6" t="s">
        <v>242</v>
      </c>
      <c r="B6" s="63" t="s">
        <v>259</v>
      </c>
      <c r="C6" s="63"/>
      <c r="D6" s="63"/>
      <c r="E6" s="63"/>
      <c r="F6" s="63"/>
      <c r="G6" s="6"/>
      <c r="H6" s="6"/>
    </row>
    <row r="7" spans="1:10" ht="15.75">
      <c r="A7" s="66" t="s">
        <v>260</v>
      </c>
      <c r="B7" s="281" t="s">
        <v>248</v>
      </c>
      <c r="C7" s="281"/>
      <c r="D7" s="281"/>
      <c r="E7" s="281"/>
      <c r="F7" s="281"/>
      <c r="G7" s="66"/>
      <c r="H7" s="66"/>
    </row>
    <row r="8" spans="1:10" ht="17.25" customHeight="1">
      <c r="A8" s="66" t="s">
        <v>261</v>
      </c>
      <c r="B8" s="281" t="s">
        <v>248</v>
      </c>
      <c r="C8" s="281"/>
      <c r="D8" s="281"/>
      <c r="E8" s="281"/>
      <c r="F8" s="281"/>
      <c r="G8" s="66"/>
      <c r="H8" s="66"/>
      <c r="I8" s="66"/>
    </row>
    <row r="9" spans="1:10" ht="19.5" customHeight="1">
      <c r="A9" s="66" t="s">
        <v>262</v>
      </c>
      <c r="B9" s="640" t="s">
        <v>13</v>
      </c>
      <c r="C9" s="640"/>
      <c r="D9" s="640"/>
      <c r="E9" s="640"/>
      <c r="F9" s="281"/>
      <c r="G9" s="281"/>
      <c r="H9" s="281"/>
      <c r="I9" s="66"/>
    </row>
    <row r="10" spans="1:10" ht="15.75">
      <c r="A10" s="66"/>
      <c r="B10" s="660"/>
      <c r="C10" s="661"/>
      <c r="D10" s="661"/>
      <c r="E10" s="661"/>
      <c r="F10" s="661"/>
      <c r="G10" s="661"/>
      <c r="H10" s="661"/>
      <c r="I10" s="661"/>
    </row>
    <row r="11" spans="1:10" ht="15.75">
      <c r="A11" s="66"/>
      <c r="B11" s="661" t="s">
        <v>13</v>
      </c>
      <c r="C11" s="661"/>
      <c r="D11" s="661"/>
      <c r="E11" s="661"/>
      <c r="F11" s="661"/>
      <c r="G11" s="661"/>
      <c r="H11" s="661"/>
      <c r="I11" s="661"/>
    </row>
    <row r="12" spans="1:10" ht="15.75">
      <c r="A12" s="281" t="s">
        <v>263</v>
      </c>
      <c r="B12" s="281"/>
      <c r="C12" s="281"/>
      <c r="D12" s="281"/>
      <c r="E12" s="281"/>
      <c r="F12" s="281"/>
      <c r="G12" s="66"/>
      <c r="H12" s="66"/>
      <c r="I12" s="66"/>
    </row>
    <row r="13" spans="1:10" ht="29.25" customHeight="1">
      <c r="A13" s="282" t="s">
        <v>264</v>
      </c>
      <c r="B13" s="6"/>
      <c r="C13" s="6"/>
      <c r="D13" s="6"/>
      <c r="E13" s="6"/>
      <c r="F13" s="6"/>
      <c r="G13" s="6"/>
      <c r="H13" s="6"/>
      <c r="I13" s="6"/>
    </row>
    <row r="14" spans="1:10" ht="23.25" customHeight="1">
      <c r="A14" s="663" t="s">
        <v>265</v>
      </c>
      <c r="B14" s="663" t="s">
        <v>266</v>
      </c>
      <c r="C14" s="665" t="s">
        <v>267</v>
      </c>
      <c r="D14" s="663" t="s">
        <v>268</v>
      </c>
      <c r="E14" s="663" t="s">
        <v>269</v>
      </c>
      <c r="F14" s="662" t="s">
        <v>270</v>
      </c>
      <c r="G14" s="662"/>
      <c r="H14" s="662"/>
      <c r="I14" s="662"/>
    </row>
    <row r="15" spans="1:10" ht="23.25" customHeight="1">
      <c r="A15" s="664"/>
      <c r="B15" s="664"/>
      <c r="C15" s="665"/>
      <c r="D15" s="664"/>
      <c r="E15" s="664"/>
      <c r="F15" s="107" t="s">
        <v>271</v>
      </c>
      <c r="G15" s="107" t="s">
        <v>272</v>
      </c>
      <c r="H15" s="117" t="s">
        <v>260</v>
      </c>
      <c r="I15" s="285" t="s">
        <v>273</v>
      </c>
    </row>
    <row r="16" spans="1:10" ht="23.25" customHeight="1">
      <c r="A16" s="666"/>
      <c r="B16" s="666"/>
      <c r="C16" s="672">
        <v>1</v>
      </c>
      <c r="D16" s="672">
        <v>2</v>
      </c>
      <c r="E16" s="672">
        <v>3</v>
      </c>
      <c r="F16" s="673">
        <f>SUM(C16:E18)/9*100</f>
        <v>66.666666666666657</v>
      </c>
      <c r="G16" s="673">
        <f>(F16+F19)/2</f>
        <v>72.222222222222229</v>
      </c>
      <c r="H16" s="673"/>
      <c r="I16" s="674"/>
    </row>
    <row r="17" spans="1:10" ht="15" customHeight="1">
      <c r="A17" s="667"/>
      <c r="B17" s="667"/>
      <c r="C17" s="672"/>
      <c r="D17" s="672"/>
      <c r="E17" s="672"/>
      <c r="F17" s="673"/>
      <c r="G17" s="673"/>
      <c r="H17" s="673"/>
      <c r="I17" s="675"/>
    </row>
    <row r="18" spans="1:10" ht="15" customHeight="1">
      <c r="A18" s="668"/>
      <c r="B18" s="668"/>
      <c r="C18" s="672"/>
      <c r="D18" s="672"/>
      <c r="E18" s="672"/>
      <c r="F18" s="673"/>
      <c r="G18" s="673"/>
      <c r="H18" s="673"/>
      <c r="I18" s="675"/>
    </row>
    <row r="19" spans="1:10" ht="23.25" customHeight="1">
      <c r="A19" s="669"/>
      <c r="B19" s="669"/>
      <c r="C19" s="672">
        <v>2</v>
      </c>
      <c r="D19" s="672">
        <v>2</v>
      </c>
      <c r="E19" s="672">
        <v>3</v>
      </c>
      <c r="F19" s="673">
        <f>SUM(C19:E21)/9*100</f>
        <v>77.777777777777786</v>
      </c>
      <c r="G19" s="673"/>
      <c r="H19" s="673"/>
      <c r="I19" s="675"/>
    </row>
    <row r="20" spans="1:10" ht="15" customHeight="1">
      <c r="A20" s="670"/>
      <c r="B20" s="670"/>
      <c r="C20" s="672"/>
      <c r="D20" s="672"/>
      <c r="E20" s="672"/>
      <c r="F20" s="673"/>
      <c r="G20" s="673"/>
      <c r="H20" s="673"/>
      <c r="I20" s="675"/>
    </row>
    <row r="21" spans="1:10" ht="15" customHeight="1">
      <c r="A21" s="671"/>
      <c r="B21" s="671"/>
      <c r="C21" s="672"/>
      <c r="D21" s="672"/>
      <c r="E21" s="672"/>
      <c r="F21" s="673"/>
      <c r="G21" s="673"/>
      <c r="H21" s="673"/>
      <c r="I21" s="676"/>
    </row>
    <row r="22" spans="1:10">
      <c r="A22" s="6" t="s">
        <v>274</v>
      </c>
      <c r="B22" s="6"/>
      <c r="C22" s="6"/>
      <c r="D22" s="6"/>
      <c r="E22" s="6"/>
      <c r="F22" s="6"/>
      <c r="G22" s="6"/>
      <c r="H22" s="6"/>
      <c r="I22" s="6" t="s">
        <v>275</v>
      </c>
    </row>
    <row r="23" spans="1:10">
      <c r="A23" s="6"/>
      <c r="B23" s="6"/>
      <c r="C23" s="6"/>
      <c r="D23" s="6"/>
      <c r="E23" s="6"/>
      <c r="F23" s="6"/>
      <c r="G23" s="6"/>
      <c r="H23" s="6"/>
      <c r="I23" s="6" t="s">
        <v>276</v>
      </c>
    </row>
    <row r="24" spans="1:10">
      <c r="A24" s="6"/>
      <c r="B24" s="6"/>
      <c r="C24" s="6"/>
      <c r="D24" s="6"/>
      <c r="E24" s="6"/>
      <c r="F24" s="6"/>
      <c r="G24" s="6"/>
      <c r="H24" s="6"/>
      <c r="I24" s="6"/>
    </row>
    <row r="25" spans="1:10" ht="16.5">
      <c r="A25" s="6"/>
      <c r="B25" s="6"/>
      <c r="C25" s="6"/>
      <c r="D25" s="6"/>
      <c r="E25" s="6"/>
      <c r="F25" s="6"/>
      <c r="G25" s="6"/>
      <c r="H25" s="6"/>
      <c r="I25" s="6"/>
      <c r="J25" s="286"/>
    </row>
    <row r="26" spans="1:10" ht="16.5">
      <c r="A26" s="7"/>
      <c r="B26" s="6"/>
      <c r="C26" s="7" t="s">
        <v>171</v>
      </c>
      <c r="D26" s="7"/>
      <c r="E26" s="54"/>
      <c r="F26" s="7"/>
      <c r="G26" s="6"/>
      <c r="H26" s="6"/>
      <c r="I26" s="6"/>
      <c r="J26" s="286"/>
    </row>
    <row r="27" spans="1:10" ht="16.5">
      <c r="A27" s="7" t="s">
        <v>172</v>
      </c>
      <c r="B27" s="7"/>
      <c r="C27" s="7"/>
      <c r="D27" s="7"/>
      <c r="E27" s="6"/>
      <c r="F27" s="6"/>
      <c r="G27" s="6"/>
      <c r="H27" s="6"/>
      <c r="I27" s="7" t="s">
        <v>277</v>
      </c>
      <c r="J27" s="286"/>
    </row>
    <row r="28" spans="1:10" ht="16.5">
      <c r="A28" s="7"/>
      <c r="B28" s="7"/>
      <c r="C28" s="7"/>
      <c r="D28" s="7"/>
      <c r="E28" s="6"/>
      <c r="F28" s="6"/>
      <c r="G28" s="6"/>
      <c r="H28" s="6"/>
      <c r="I28" s="7"/>
      <c r="J28" s="286"/>
    </row>
    <row r="29" spans="1:10" ht="16.5">
      <c r="A29" s="7"/>
      <c r="B29" s="7"/>
      <c r="C29" s="7"/>
      <c r="D29" s="7"/>
      <c r="E29" s="6"/>
      <c r="F29" s="6"/>
      <c r="G29" s="6"/>
      <c r="H29" s="6"/>
      <c r="I29" s="7"/>
      <c r="J29" s="286"/>
    </row>
    <row r="30" spans="1:10" ht="16.5">
      <c r="A30" s="7"/>
      <c r="B30" s="7"/>
      <c r="C30" s="7"/>
      <c r="D30" s="7"/>
      <c r="E30" s="6"/>
      <c r="F30" s="6"/>
      <c r="G30" s="6"/>
      <c r="H30" s="6"/>
      <c r="I30" s="7"/>
      <c r="J30" s="286"/>
    </row>
    <row r="31" spans="1:10">
      <c r="A31" s="7" t="s">
        <v>278</v>
      </c>
      <c r="B31" s="7"/>
      <c r="C31" s="7"/>
      <c r="D31" s="7"/>
      <c r="E31" s="6"/>
      <c r="F31" s="6"/>
      <c r="G31" s="6"/>
      <c r="H31" s="6"/>
      <c r="I31" s="12" t="s">
        <v>279</v>
      </c>
    </row>
    <row r="32" spans="1:10">
      <c r="A32" s="7" t="s">
        <v>280</v>
      </c>
      <c r="B32" s="7"/>
      <c r="C32" s="7"/>
      <c r="D32" s="7"/>
      <c r="E32" s="6"/>
      <c r="F32" s="6"/>
      <c r="G32" s="6"/>
      <c r="H32" s="6"/>
      <c r="I32" s="12" t="s">
        <v>281</v>
      </c>
    </row>
  </sheetData>
  <mergeCells count="30">
    <mergeCell ref="H16:H21"/>
    <mergeCell ref="I16:I18"/>
    <mergeCell ref="I19:I21"/>
    <mergeCell ref="E16:E18"/>
    <mergeCell ref="E19:E21"/>
    <mergeCell ref="F16:F18"/>
    <mergeCell ref="F19:F21"/>
    <mergeCell ref="G16:G21"/>
    <mergeCell ref="C16:C18"/>
    <mergeCell ref="C19:C21"/>
    <mergeCell ref="D14:D15"/>
    <mergeCell ref="D16:D18"/>
    <mergeCell ref="D19:D21"/>
    <mergeCell ref="A16:A18"/>
    <mergeCell ref="A19:A21"/>
    <mergeCell ref="B14:B15"/>
    <mergeCell ref="B16:B18"/>
    <mergeCell ref="B19:B21"/>
    <mergeCell ref="B9:E9"/>
    <mergeCell ref="B10:I10"/>
    <mergeCell ref="B11:I11"/>
    <mergeCell ref="F14:I14"/>
    <mergeCell ref="A14:A15"/>
    <mergeCell ref="C14:C15"/>
    <mergeCell ref="E14:E15"/>
    <mergeCell ref="A1:G1"/>
    <mergeCell ref="A2:G2"/>
    <mergeCell ref="A3:I3"/>
    <mergeCell ref="A4:I4"/>
    <mergeCell ref="A5:I5"/>
  </mergeCells>
  <pageMargins left="0.70866141732283505" right="0.31496062992126" top="0.33" bottom="0.33" header="0.31496062992126" footer="0.31496062992126"/>
  <pageSetup paperSize="9" scale="95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"/>
  <sheetViews>
    <sheetView zoomScale="85" zoomScaleNormal="85" workbookViewId="0">
      <selection activeCell="A5" sqref="A5:D5"/>
    </sheetView>
  </sheetViews>
  <sheetFormatPr defaultColWidth="9" defaultRowHeight="15"/>
  <sheetData>
    <row r="1" spans="1:11" ht="23.25" customHeight="1">
      <c r="H1" s="678" t="s">
        <v>282</v>
      </c>
      <c r="I1" s="678"/>
      <c r="J1" s="277"/>
      <c r="K1" s="277"/>
    </row>
    <row r="2" spans="1:11" ht="21.75" customHeight="1">
      <c r="H2" s="679">
        <v>45483</v>
      </c>
      <c r="I2" s="679"/>
      <c r="J2" s="267"/>
      <c r="K2" s="267"/>
    </row>
    <row r="3" spans="1:11" ht="21.75" customHeight="1">
      <c r="A3" s="561" t="s">
        <v>283</v>
      </c>
      <c r="B3" s="561"/>
      <c r="C3" s="561"/>
      <c r="D3" s="561"/>
      <c r="E3" s="561"/>
      <c r="F3" s="561"/>
      <c r="G3" s="561"/>
      <c r="H3" s="561"/>
      <c r="I3" s="561"/>
    </row>
    <row r="4" spans="1:11" ht="21.75" customHeight="1">
      <c r="A4" s="561"/>
      <c r="B4" s="561"/>
      <c r="C4" s="561"/>
      <c r="D4" s="561"/>
      <c r="E4" s="561"/>
      <c r="F4" s="561"/>
      <c r="G4" s="561"/>
      <c r="H4" s="561"/>
      <c r="I4" s="561"/>
    </row>
    <row r="5" spans="1:11" ht="18.75">
      <c r="A5" s="680" t="s">
        <v>964</v>
      </c>
      <c r="B5" s="680"/>
      <c r="C5" s="680"/>
      <c r="D5" s="680"/>
      <c r="E5" s="69"/>
      <c r="F5" s="69"/>
      <c r="G5" s="69"/>
      <c r="H5" s="69"/>
      <c r="I5" s="69"/>
    </row>
    <row r="6" spans="1:11" ht="18.75">
      <c r="A6" s="677"/>
      <c r="B6" s="677"/>
      <c r="C6" s="677"/>
      <c r="D6" s="677"/>
      <c r="E6" s="69"/>
      <c r="F6" s="69"/>
      <c r="G6" s="69"/>
      <c r="H6" s="69"/>
      <c r="I6" s="69"/>
    </row>
    <row r="12" spans="1:11" ht="18.75">
      <c r="B12" s="280"/>
      <c r="C12" s="280"/>
      <c r="D12" s="280"/>
      <c r="E12" s="280"/>
      <c r="F12" s="280"/>
      <c r="G12" s="280"/>
      <c r="H12" s="280"/>
      <c r="I12" s="280"/>
      <c r="J12" s="280"/>
    </row>
  </sheetData>
  <mergeCells count="6">
    <mergeCell ref="A6:D6"/>
    <mergeCell ref="H1:I1"/>
    <mergeCell ref="H2:I2"/>
    <mergeCell ref="A3:I3"/>
    <mergeCell ref="A4:I4"/>
    <mergeCell ref="A5:D5"/>
  </mergeCells>
  <pageMargins left="0.70866141732283505" right="0.70866141732283505" top="0.74803149606299202" bottom="0.74803149606299202" header="0.31496062992126" footer="0.31496062992126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EB80-4E23-4D94-B84C-2CFBBA62BEBD}">
  <dimension ref="A1:Q53"/>
  <sheetViews>
    <sheetView topLeftCell="E7" workbookViewId="0">
      <selection activeCell="S16" sqref="S16"/>
    </sheetView>
  </sheetViews>
  <sheetFormatPr defaultColWidth="8.7109375" defaultRowHeight="15"/>
  <cols>
    <col min="1" max="1" width="4.42578125" style="364" customWidth="1"/>
    <col min="2" max="2" width="11.42578125" style="364" customWidth="1"/>
    <col min="3" max="3" width="10.85546875" style="364" customWidth="1"/>
    <col min="4" max="4" width="28.85546875" style="364" customWidth="1"/>
    <col min="5" max="5" width="4.7109375" style="364" customWidth="1"/>
    <col min="6" max="17" width="3.85546875" style="364" customWidth="1"/>
    <col min="18" max="16384" width="8.7109375" style="364"/>
  </cols>
  <sheetData>
    <row r="1" spans="1:17" ht="15.75">
      <c r="L1" s="641" t="s">
        <v>284</v>
      </c>
      <c r="M1" s="681"/>
      <c r="N1" s="681"/>
      <c r="O1" s="681"/>
      <c r="P1" s="681"/>
      <c r="Q1" s="642"/>
    </row>
    <row r="2" spans="1:17" ht="15.75">
      <c r="L2" s="682">
        <v>45483</v>
      </c>
      <c r="M2" s="683"/>
      <c r="N2" s="683"/>
      <c r="O2" s="683"/>
      <c r="P2" s="683"/>
      <c r="Q2" s="684"/>
    </row>
    <row r="3" spans="1:17" ht="18.75">
      <c r="A3" s="685" t="s">
        <v>285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  <c r="N3" s="686"/>
      <c r="O3" s="686"/>
      <c r="P3" s="686"/>
      <c r="Q3" s="686"/>
    </row>
    <row r="4" spans="1:17" ht="16.5">
      <c r="A4" s="365"/>
      <c r="B4" s="365"/>
      <c r="C4" s="365"/>
      <c r="D4" s="366"/>
      <c r="E4" s="365" t="s">
        <v>602</v>
      </c>
      <c r="F4" s="365"/>
      <c r="G4" s="365"/>
      <c r="H4" s="365"/>
      <c r="I4" s="365" t="s">
        <v>13</v>
      </c>
      <c r="J4" s="367" t="s">
        <v>847</v>
      </c>
      <c r="K4" s="365"/>
      <c r="L4" s="365"/>
      <c r="M4" s="365"/>
      <c r="N4" s="367"/>
      <c r="O4" s="365"/>
      <c r="P4" s="365"/>
      <c r="Q4" s="365"/>
    </row>
    <row r="5" spans="1:17" ht="16.5">
      <c r="A5" s="365" t="s">
        <v>287</v>
      </c>
      <c r="B5" s="365"/>
      <c r="C5" s="365" t="str">
        <f>'COVER '!E27</f>
        <v xml:space="preserve">: Teknik Pemesinan </v>
      </c>
      <c r="D5" s="366"/>
      <c r="E5" s="365" t="s">
        <v>286</v>
      </c>
      <c r="F5" s="367"/>
      <c r="G5" s="365"/>
      <c r="H5" s="365"/>
      <c r="I5" s="367" t="s">
        <v>953</v>
      </c>
      <c r="O5" s="365"/>
      <c r="P5" s="365"/>
      <c r="Q5" s="365"/>
    </row>
    <row r="6" spans="1:17" ht="16.5">
      <c r="A6" s="365" t="s">
        <v>5</v>
      </c>
      <c r="B6" s="365"/>
      <c r="C6" s="365" t="str">
        <f>'COVER '!E28</f>
        <v>: Mata Pelajaran Pilihan (CAM)</v>
      </c>
      <c r="D6" s="366"/>
      <c r="E6" s="365" t="s">
        <v>8</v>
      </c>
      <c r="F6" s="367"/>
      <c r="G6" s="365"/>
      <c r="H6" s="365"/>
      <c r="I6" s="367" t="str">
        <f>'COVER '!E31</f>
        <v>: Gasal</v>
      </c>
      <c r="O6" s="365"/>
      <c r="P6" s="365"/>
      <c r="Q6" s="365"/>
    </row>
    <row r="7" spans="1:17" ht="16.5">
      <c r="A7" s="365" t="s">
        <v>7</v>
      </c>
      <c r="B7" s="368"/>
      <c r="C7" s="369" t="str">
        <f>'COVER '!E30</f>
        <v>: XI TM3</v>
      </c>
      <c r="D7" s="366"/>
      <c r="E7" s="365" t="s">
        <v>10</v>
      </c>
      <c r="F7" s="365"/>
      <c r="G7" s="365"/>
      <c r="H7" s="365"/>
      <c r="I7" s="365" t="str">
        <f>'COVER '!E32</f>
        <v>: 2025/2026</v>
      </c>
      <c r="O7" s="365"/>
      <c r="P7" s="365"/>
      <c r="Q7" s="365"/>
    </row>
    <row r="8" spans="1:17" ht="16.5">
      <c r="A8" s="687" t="s">
        <v>192</v>
      </c>
      <c r="B8" s="687" t="s">
        <v>848</v>
      </c>
      <c r="C8" s="687" t="s">
        <v>849</v>
      </c>
      <c r="D8" s="687" t="s">
        <v>547</v>
      </c>
      <c r="E8" s="687" t="s">
        <v>850</v>
      </c>
      <c r="F8" s="691" t="s">
        <v>954</v>
      </c>
      <c r="G8" s="692"/>
      <c r="H8" s="692"/>
      <c r="I8" s="692"/>
      <c r="J8" s="692"/>
      <c r="K8" s="692"/>
      <c r="L8" s="692"/>
      <c r="M8" s="692"/>
      <c r="N8" s="692"/>
      <c r="O8" s="692"/>
      <c r="P8" s="692"/>
      <c r="Q8" s="693"/>
    </row>
    <row r="9" spans="1:17" ht="16.5">
      <c r="A9" s="688"/>
      <c r="B9" s="688"/>
      <c r="C9" s="688"/>
      <c r="D9" s="688"/>
      <c r="E9" s="690"/>
      <c r="F9" s="371">
        <v>1</v>
      </c>
      <c r="G9" s="397">
        <v>2</v>
      </c>
      <c r="H9" s="397">
        <v>3</v>
      </c>
      <c r="I9" s="371">
        <v>4</v>
      </c>
      <c r="J9" s="397">
        <v>5</v>
      </c>
      <c r="K9" s="397">
        <v>6</v>
      </c>
      <c r="L9" s="371">
        <v>7</v>
      </c>
      <c r="M9" s="397">
        <v>8</v>
      </c>
      <c r="N9" s="397">
        <v>9</v>
      </c>
      <c r="O9" s="371">
        <v>10</v>
      </c>
      <c r="P9" s="397">
        <v>11</v>
      </c>
      <c r="Q9" s="397">
        <v>12</v>
      </c>
    </row>
    <row r="10" spans="1:17" ht="45.6" customHeight="1">
      <c r="A10" s="689"/>
      <c r="B10" s="689"/>
      <c r="C10" s="689"/>
      <c r="D10" s="689"/>
      <c r="E10" s="689"/>
      <c r="F10" s="398" t="s">
        <v>955</v>
      </c>
      <c r="G10" s="399" t="s">
        <v>956</v>
      </c>
      <c r="H10" s="399" t="s">
        <v>957</v>
      </c>
      <c r="I10" s="399"/>
      <c r="J10" s="399"/>
      <c r="K10" s="399"/>
      <c r="L10" s="399"/>
      <c r="M10" s="399"/>
      <c r="N10" s="399"/>
      <c r="O10" s="399"/>
      <c r="P10" s="399"/>
      <c r="Q10" s="400"/>
    </row>
    <row r="11" spans="1:17" ht="16.5">
      <c r="A11" s="370">
        <v>1</v>
      </c>
      <c r="B11" s="371" t="s">
        <v>851</v>
      </c>
      <c r="C11" s="372" t="s">
        <v>852</v>
      </c>
      <c r="D11" s="372" t="s">
        <v>853</v>
      </c>
      <c r="E11" s="373" t="s">
        <v>53</v>
      </c>
      <c r="F11" s="374"/>
      <c r="G11" s="375"/>
      <c r="H11" s="375"/>
      <c r="I11" s="375"/>
      <c r="J11" s="375"/>
      <c r="K11" s="375"/>
      <c r="L11" s="375"/>
      <c r="M11" s="375"/>
      <c r="N11" s="375"/>
      <c r="O11" s="375"/>
      <c r="P11" s="375"/>
      <c r="Q11" s="376"/>
    </row>
    <row r="12" spans="1:17" ht="16.5">
      <c r="A12" s="370">
        <v>2</v>
      </c>
      <c r="B12" s="371" t="s">
        <v>854</v>
      </c>
      <c r="C12" s="372" t="s">
        <v>855</v>
      </c>
      <c r="D12" s="372" t="s">
        <v>856</v>
      </c>
      <c r="E12" s="373" t="s">
        <v>53</v>
      </c>
      <c r="F12" s="374"/>
      <c r="G12" s="375"/>
      <c r="H12" s="375"/>
      <c r="I12" s="375"/>
      <c r="J12" s="375"/>
      <c r="K12" s="375"/>
      <c r="L12" s="375"/>
      <c r="M12" s="375"/>
      <c r="N12" s="375"/>
      <c r="O12" s="375"/>
      <c r="P12" s="375"/>
      <c r="Q12" s="376"/>
    </row>
    <row r="13" spans="1:17" ht="16.5">
      <c r="A13" s="370">
        <v>3</v>
      </c>
      <c r="B13" s="371" t="s">
        <v>857</v>
      </c>
      <c r="C13" s="372" t="s">
        <v>858</v>
      </c>
      <c r="D13" s="372" t="s">
        <v>859</v>
      </c>
      <c r="E13" s="373" t="s">
        <v>53</v>
      </c>
      <c r="F13" s="374"/>
      <c r="G13" s="375"/>
      <c r="H13" s="375"/>
      <c r="I13" s="375"/>
      <c r="J13" s="375"/>
      <c r="K13" s="375"/>
      <c r="L13" s="375"/>
      <c r="M13" s="375"/>
      <c r="N13" s="375"/>
      <c r="O13" s="375"/>
      <c r="P13" s="375"/>
      <c r="Q13" s="376"/>
    </row>
    <row r="14" spans="1:17" ht="16.5">
      <c r="A14" s="370">
        <v>4</v>
      </c>
      <c r="B14" s="371" t="s">
        <v>860</v>
      </c>
      <c r="C14" s="372" t="s">
        <v>861</v>
      </c>
      <c r="D14" s="372" t="s">
        <v>862</v>
      </c>
      <c r="E14" s="373" t="s">
        <v>53</v>
      </c>
      <c r="F14" s="374"/>
      <c r="G14" s="375"/>
      <c r="H14" s="375"/>
      <c r="I14" s="375"/>
      <c r="J14" s="375"/>
      <c r="K14" s="375"/>
      <c r="L14" s="375"/>
      <c r="M14" s="375"/>
      <c r="N14" s="375"/>
      <c r="O14" s="375"/>
      <c r="P14" s="375"/>
      <c r="Q14" s="376"/>
    </row>
    <row r="15" spans="1:17" ht="16.5">
      <c r="A15" s="370">
        <v>5</v>
      </c>
      <c r="B15" s="371" t="s">
        <v>863</v>
      </c>
      <c r="C15" s="372" t="s">
        <v>864</v>
      </c>
      <c r="D15" s="372" t="s">
        <v>865</v>
      </c>
      <c r="E15" s="373" t="s">
        <v>53</v>
      </c>
      <c r="F15" s="374"/>
      <c r="G15" s="375"/>
      <c r="H15" s="375"/>
      <c r="I15" s="375"/>
      <c r="J15" s="375"/>
      <c r="K15" s="375"/>
      <c r="L15" s="375"/>
      <c r="M15" s="375"/>
      <c r="N15" s="375"/>
      <c r="O15" s="375"/>
      <c r="P15" s="375"/>
      <c r="Q15" s="376"/>
    </row>
    <row r="16" spans="1:17" ht="16.5">
      <c r="A16" s="370">
        <v>6</v>
      </c>
      <c r="B16" s="371" t="s">
        <v>866</v>
      </c>
      <c r="C16" s="372" t="s">
        <v>867</v>
      </c>
      <c r="D16" s="372" t="s">
        <v>868</v>
      </c>
      <c r="E16" s="373" t="s">
        <v>53</v>
      </c>
      <c r="F16" s="374"/>
      <c r="G16" s="375"/>
      <c r="H16" s="375"/>
      <c r="I16" s="375"/>
      <c r="J16" s="375"/>
      <c r="K16" s="375"/>
      <c r="L16" s="375"/>
      <c r="M16" s="375"/>
      <c r="N16" s="375"/>
      <c r="O16" s="375"/>
      <c r="P16" s="375"/>
      <c r="Q16" s="376"/>
    </row>
    <row r="17" spans="1:17" ht="16.5">
      <c r="A17" s="370">
        <v>7</v>
      </c>
      <c r="B17" s="371" t="s">
        <v>869</v>
      </c>
      <c r="C17" s="372" t="s">
        <v>870</v>
      </c>
      <c r="D17" s="372" t="s">
        <v>871</v>
      </c>
      <c r="E17" s="373" t="s">
        <v>53</v>
      </c>
      <c r="F17" s="374"/>
      <c r="G17" s="375"/>
      <c r="H17" s="375"/>
      <c r="I17" s="375"/>
      <c r="J17" s="375"/>
      <c r="K17" s="375"/>
      <c r="L17" s="375"/>
      <c r="M17" s="375"/>
      <c r="N17" s="375"/>
      <c r="O17" s="375"/>
      <c r="P17" s="375"/>
      <c r="Q17" s="376"/>
    </row>
    <row r="18" spans="1:17" ht="16.5">
      <c r="A18" s="370">
        <v>8</v>
      </c>
      <c r="B18" s="371" t="s">
        <v>872</v>
      </c>
      <c r="C18" s="372" t="s">
        <v>873</v>
      </c>
      <c r="D18" s="372" t="s">
        <v>874</v>
      </c>
      <c r="E18" s="373" t="s">
        <v>53</v>
      </c>
      <c r="F18" s="374"/>
      <c r="G18" s="375"/>
      <c r="H18" s="375"/>
      <c r="I18" s="375"/>
      <c r="J18" s="375"/>
      <c r="K18" s="375"/>
      <c r="L18" s="375"/>
      <c r="M18" s="375"/>
      <c r="N18" s="375"/>
      <c r="O18" s="375"/>
      <c r="P18" s="375"/>
      <c r="Q18" s="376"/>
    </row>
    <row r="19" spans="1:17" ht="16.5">
      <c r="A19" s="370">
        <v>9</v>
      </c>
      <c r="B19" s="371" t="s">
        <v>875</v>
      </c>
      <c r="C19" s="372" t="s">
        <v>876</v>
      </c>
      <c r="D19" s="372" t="s">
        <v>877</v>
      </c>
      <c r="E19" s="373" t="s">
        <v>53</v>
      </c>
      <c r="F19" s="374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6"/>
    </row>
    <row r="20" spans="1:17" ht="16.5">
      <c r="A20" s="370">
        <v>10</v>
      </c>
      <c r="B20" s="371" t="s">
        <v>878</v>
      </c>
      <c r="C20" s="372" t="s">
        <v>879</v>
      </c>
      <c r="D20" s="372" t="s">
        <v>880</v>
      </c>
      <c r="E20" s="373" t="s">
        <v>53</v>
      </c>
      <c r="F20" s="374"/>
      <c r="G20" s="375"/>
      <c r="H20" s="375"/>
      <c r="I20" s="375"/>
      <c r="J20" s="375"/>
      <c r="K20" s="375"/>
      <c r="L20" s="375"/>
      <c r="M20" s="375"/>
      <c r="N20" s="375"/>
      <c r="O20" s="375"/>
      <c r="P20" s="375"/>
      <c r="Q20" s="376"/>
    </row>
    <row r="21" spans="1:17" ht="16.5">
      <c r="A21" s="370">
        <v>11</v>
      </c>
      <c r="B21" s="371" t="s">
        <v>881</v>
      </c>
      <c r="C21" s="372" t="s">
        <v>882</v>
      </c>
      <c r="D21" s="372" t="s">
        <v>883</v>
      </c>
      <c r="E21" s="373" t="s">
        <v>53</v>
      </c>
      <c r="F21" s="374"/>
      <c r="G21" s="375"/>
      <c r="H21" s="375"/>
      <c r="I21" s="375"/>
      <c r="J21" s="375"/>
      <c r="K21" s="375"/>
      <c r="L21" s="375"/>
      <c r="M21" s="375"/>
      <c r="N21" s="375"/>
      <c r="O21" s="375"/>
      <c r="P21" s="375"/>
      <c r="Q21" s="376"/>
    </row>
    <row r="22" spans="1:17" ht="16.5">
      <c r="A22" s="370">
        <v>12</v>
      </c>
      <c r="B22" s="371" t="s">
        <v>884</v>
      </c>
      <c r="C22" s="372" t="s">
        <v>885</v>
      </c>
      <c r="D22" s="372" t="s">
        <v>886</v>
      </c>
      <c r="E22" s="373" t="s">
        <v>53</v>
      </c>
      <c r="F22" s="374"/>
      <c r="G22" s="375"/>
      <c r="H22" s="375"/>
      <c r="I22" s="375"/>
      <c r="J22" s="375"/>
      <c r="K22" s="375"/>
      <c r="L22" s="375"/>
      <c r="M22" s="375"/>
      <c r="N22" s="375"/>
      <c r="O22" s="375"/>
      <c r="P22" s="375"/>
      <c r="Q22" s="376"/>
    </row>
    <row r="23" spans="1:17" ht="16.5">
      <c r="A23" s="370">
        <v>13</v>
      </c>
      <c r="B23" s="371" t="s">
        <v>887</v>
      </c>
      <c r="C23" s="372" t="s">
        <v>888</v>
      </c>
      <c r="D23" s="372" t="s">
        <v>889</v>
      </c>
      <c r="E23" s="373" t="s">
        <v>53</v>
      </c>
      <c r="F23" s="374"/>
      <c r="G23" s="375"/>
      <c r="H23" s="375"/>
      <c r="I23" s="375"/>
      <c r="J23" s="375"/>
      <c r="K23" s="375"/>
      <c r="L23" s="375"/>
      <c r="M23" s="375"/>
      <c r="N23" s="375"/>
      <c r="O23" s="375"/>
      <c r="P23" s="375"/>
      <c r="Q23" s="376"/>
    </row>
    <row r="24" spans="1:17" ht="16.5">
      <c r="A24" s="370">
        <v>14</v>
      </c>
      <c r="B24" s="371" t="s">
        <v>890</v>
      </c>
      <c r="C24" s="372" t="s">
        <v>891</v>
      </c>
      <c r="D24" s="372" t="s">
        <v>892</v>
      </c>
      <c r="E24" s="373" t="s">
        <v>53</v>
      </c>
      <c r="F24" s="374"/>
      <c r="G24" s="375"/>
      <c r="H24" s="375"/>
      <c r="I24" s="375"/>
      <c r="J24" s="375"/>
      <c r="K24" s="375"/>
      <c r="L24" s="375"/>
      <c r="M24" s="375"/>
      <c r="N24" s="375"/>
      <c r="O24" s="375"/>
      <c r="P24" s="375"/>
      <c r="Q24" s="376"/>
    </row>
    <row r="25" spans="1:17" ht="16.5">
      <c r="A25" s="370">
        <v>15</v>
      </c>
      <c r="B25" s="371" t="s">
        <v>893</v>
      </c>
      <c r="C25" s="372" t="s">
        <v>894</v>
      </c>
      <c r="D25" s="372" t="s">
        <v>895</v>
      </c>
      <c r="E25" s="373" t="s">
        <v>53</v>
      </c>
      <c r="F25" s="374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6"/>
    </row>
    <row r="26" spans="1:17" ht="16.5">
      <c r="A26" s="370">
        <v>16</v>
      </c>
      <c r="B26" s="371" t="s">
        <v>896</v>
      </c>
      <c r="C26" s="372" t="s">
        <v>897</v>
      </c>
      <c r="D26" s="372" t="s">
        <v>898</v>
      </c>
      <c r="E26" s="373" t="s">
        <v>53</v>
      </c>
      <c r="F26" s="374"/>
      <c r="G26" s="375"/>
      <c r="H26" s="375"/>
      <c r="I26" s="375"/>
      <c r="J26" s="375"/>
      <c r="K26" s="375"/>
      <c r="L26" s="375"/>
      <c r="M26" s="375"/>
      <c r="N26" s="375"/>
      <c r="O26" s="375"/>
      <c r="P26" s="375"/>
      <c r="Q26" s="376"/>
    </row>
    <row r="27" spans="1:17" ht="16.5">
      <c r="A27" s="370">
        <v>17</v>
      </c>
      <c r="B27" s="371" t="s">
        <v>899</v>
      </c>
      <c r="C27" s="372" t="s">
        <v>900</v>
      </c>
      <c r="D27" s="372" t="s">
        <v>901</v>
      </c>
      <c r="E27" s="373" t="s">
        <v>53</v>
      </c>
      <c r="F27" s="374"/>
      <c r="G27" s="375"/>
      <c r="H27" s="375"/>
      <c r="I27" s="375"/>
      <c r="J27" s="375"/>
      <c r="K27" s="375"/>
      <c r="L27" s="375"/>
      <c r="M27" s="375"/>
      <c r="N27" s="375"/>
      <c r="O27" s="375"/>
      <c r="P27" s="375"/>
      <c r="Q27" s="376"/>
    </row>
    <row r="28" spans="1:17" ht="16.5">
      <c r="A28" s="370">
        <v>18</v>
      </c>
      <c r="B28" s="371" t="s">
        <v>902</v>
      </c>
      <c r="C28" s="372" t="s">
        <v>903</v>
      </c>
      <c r="D28" s="372" t="s">
        <v>904</v>
      </c>
      <c r="E28" s="373" t="s">
        <v>53</v>
      </c>
      <c r="F28" s="374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6"/>
    </row>
    <row r="29" spans="1:17" ht="16.5">
      <c r="A29" s="370">
        <v>19</v>
      </c>
      <c r="B29" s="371" t="s">
        <v>905</v>
      </c>
      <c r="C29" s="372" t="s">
        <v>906</v>
      </c>
      <c r="D29" s="372" t="s">
        <v>907</v>
      </c>
      <c r="E29" s="373" t="s">
        <v>53</v>
      </c>
      <c r="F29" s="374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6"/>
    </row>
    <row r="30" spans="1:17" ht="16.5">
      <c r="A30" s="370">
        <v>20</v>
      </c>
      <c r="B30" s="371" t="s">
        <v>908</v>
      </c>
      <c r="C30" s="372" t="s">
        <v>909</v>
      </c>
      <c r="D30" s="372" t="s">
        <v>910</v>
      </c>
      <c r="E30" s="373" t="s">
        <v>53</v>
      </c>
      <c r="F30" s="374"/>
      <c r="G30" s="375"/>
      <c r="H30" s="375"/>
      <c r="I30" s="375"/>
      <c r="J30" s="375"/>
      <c r="K30" s="375"/>
      <c r="L30" s="375"/>
      <c r="M30" s="375"/>
      <c r="N30" s="375"/>
      <c r="O30" s="375"/>
      <c r="P30" s="375"/>
      <c r="Q30" s="376"/>
    </row>
    <row r="31" spans="1:17" ht="16.5">
      <c r="A31" s="370">
        <v>21</v>
      </c>
      <c r="B31" s="371" t="s">
        <v>911</v>
      </c>
      <c r="C31" s="372" t="s">
        <v>912</v>
      </c>
      <c r="D31" s="372" t="s">
        <v>913</v>
      </c>
      <c r="E31" s="373" t="s">
        <v>53</v>
      </c>
      <c r="F31" s="374"/>
      <c r="G31" s="375"/>
      <c r="H31" s="375"/>
      <c r="I31" s="375"/>
      <c r="J31" s="375"/>
      <c r="K31" s="375"/>
      <c r="L31" s="375"/>
      <c r="M31" s="375"/>
      <c r="N31" s="375"/>
      <c r="O31" s="375"/>
      <c r="P31" s="375"/>
      <c r="Q31" s="376"/>
    </row>
    <row r="32" spans="1:17" ht="16.5">
      <c r="A32" s="370">
        <v>22</v>
      </c>
      <c r="B32" s="371" t="s">
        <v>914</v>
      </c>
      <c r="C32" s="372" t="s">
        <v>915</v>
      </c>
      <c r="D32" s="372" t="s">
        <v>916</v>
      </c>
      <c r="E32" s="373" t="s">
        <v>53</v>
      </c>
      <c r="F32" s="374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6"/>
    </row>
    <row r="33" spans="1:17" ht="16.5">
      <c r="A33" s="370">
        <v>23</v>
      </c>
      <c r="B33" s="371" t="s">
        <v>917</v>
      </c>
      <c r="C33" s="372" t="s">
        <v>918</v>
      </c>
      <c r="D33" s="372" t="s">
        <v>919</v>
      </c>
      <c r="E33" s="373" t="s">
        <v>53</v>
      </c>
      <c r="F33" s="374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6"/>
    </row>
    <row r="34" spans="1:17" ht="16.5">
      <c r="A34" s="370">
        <v>24</v>
      </c>
      <c r="B34" s="371" t="s">
        <v>920</v>
      </c>
      <c r="C34" s="372" t="s">
        <v>921</v>
      </c>
      <c r="D34" s="372" t="s">
        <v>922</v>
      </c>
      <c r="E34" s="373" t="s">
        <v>53</v>
      </c>
      <c r="F34" s="374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6"/>
    </row>
    <row r="35" spans="1:17" ht="16.5">
      <c r="A35" s="370">
        <v>25</v>
      </c>
      <c r="B35" s="371" t="s">
        <v>923</v>
      </c>
      <c r="C35" s="372" t="s">
        <v>924</v>
      </c>
      <c r="D35" s="372" t="s">
        <v>925</v>
      </c>
      <c r="E35" s="373" t="s">
        <v>53</v>
      </c>
      <c r="F35" s="374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6"/>
    </row>
    <row r="36" spans="1:17" ht="16.5">
      <c r="A36" s="370">
        <v>26</v>
      </c>
      <c r="B36" s="371" t="s">
        <v>926</v>
      </c>
      <c r="C36" s="372" t="s">
        <v>927</v>
      </c>
      <c r="D36" s="372" t="s">
        <v>928</v>
      </c>
      <c r="E36" s="373" t="s">
        <v>53</v>
      </c>
      <c r="F36" s="374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6"/>
    </row>
    <row r="37" spans="1:17" ht="16.5">
      <c r="A37" s="370">
        <v>27</v>
      </c>
      <c r="B37" s="371" t="s">
        <v>929</v>
      </c>
      <c r="C37" s="372" t="s">
        <v>930</v>
      </c>
      <c r="D37" s="372" t="s">
        <v>931</v>
      </c>
      <c r="E37" s="373" t="s">
        <v>53</v>
      </c>
      <c r="F37" s="374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6"/>
    </row>
    <row r="38" spans="1:17" ht="16.5">
      <c r="A38" s="370">
        <v>28</v>
      </c>
      <c r="B38" s="371" t="s">
        <v>932</v>
      </c>
      <c r="C38" s="372" t="s">
        <v>933</v>
      </c>
      <c r="D38" s="372" t="s">
        <v>934</v>
      </c>
      <c r="E38" s="373" t="s">
        <v>53</v>
      </c>
      <c r="F38" s="374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6"/>
    </row>
    <row r="39" spans="1:17" ht="16.5">
      <c r="A39" s="370">
        <v>29</v>
      </c>
      <c r="B39" s="371" t="s">
        <v>935</v>
      </c>
      <c r="C39" s="372" t="s">
        <v>936</v>
      </c>
      <c r="D39" s="372" t="s">
        <v>937</v>
      </c>
      <c r="E39" s="373" t="s">
        <v>53</v>
      </c>
      <c r="F39" s="374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6"/>
    </row>
    <row r="40" spans="1:17" ht="16.5">
      <c r="A40" s="370">
        <v>30</v>
      </c>
      <c r="B40" s="371" t="s">
        <v>938</v>
      </c>
      <c r="C40" s="372" t="s">
        <v>939</v>
      </c>
      <c r="D40" s="372" t="s">
        <v>940</v>
      </c>
      <c r="E40" s="373" t="s">
        <v>53</v>
      </c>
      <c r="F40" s="374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6"/>
    </row>
    <row r="41" spans="1:17" ht="16.5">
      <c r="A41" s="370">
        <v>31</v>
      </c>
      <c r="B41" s="371" t="s">
        <v>941</v>
      </c>
      <c r="C41" s="372" t="s">
        <v>942</v>
      </c>
      <c r="D41" s="372" t="s">
        <v>943</v>
      </c>
      <c r="E41" s="373" t="s">
        <v>53</v>
      </c>
      <c r="F41" s="374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6"/>
    </row>
    <row r="42" spans="1:17" ht="16.5">
      <c r="A42" s="377">
        <v>32</v>
      </c>
      <c r="B42" s="371" t="s">
        <v>944</v>
      </c>
      <c r="C42" s="372" t="s">
        <v>945</v>
      </c>
      <c r="D42" s="372" t="s">
        <v>946</v>
      </c>
      <c r="E42" s="373" t="s">
        <v>53</v>
      </c>
      <c r="F42" s="378"/>
      <c r="G42" s="379"/>
      <c r="H42" s="379"/>
      <c r="I42" s="379"/>
      <c r="J42" s="379"/>
      <c r="K42" s="379"/>
      <c r="L42" s="379"/>
      <c r="M42" s="379"/>
      <c r="N42" s="379"/>
      <c r="O42" s="379"/>
      <c r="P42" s="379"/>
      <c r="Q42" s="380"/>
    </row>
    <row r="43" spans="1:17" ht="16.5">
      <c r="A43" s="381">
        <v>33</v>
      </c>
      <c r="B43" s="371" t="s">
        <v>947</v>
      </c>
      <c r="C43" s="372" t="s">
        <v>948</v>
      </c>
      <c r="D43" s="372" t="s">
        <v>949</v>
      </c>
      <c r="E43" s="373" t="s">
        <v>53</v>
      </c>
      <c r="F43" s="382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4"/>
    </row>
    <row r="44" spans="1:17" ht="16.5">
      <c r="A44" s="381">
        <v>34</v>
      </c>
      <c r="B44" s="385" t="s">
        <v>950</v>
      </c>
      <c r="C44" s="385" t="s">
        <v>951</v>
      </c>
      <c r="D44" s="396" t="s">
        <v>952</v>
      </c>
      <c r="E44" s="386" t="s">
        <v>53</v>
      </c>
      <c r="F44" s="382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4"/>
    </row>
    <row r="45" spans="1:17" ht="15.75">
      <c r="A45" s="387"/>
      <c r="B45" s="388"/>
      <c r="C45" s="388"/>
      <c r="D45" s="389" t="s">
        <v>53</v>
      </c>
      <c r="E45" s="390">
        <f>COUNTIF(E11:E44,"L")</f>
        <v>34</v>
      </c>
      <c r="F45" s="366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2"/>
    </row>
    <row r="46" spans="1:17" ht="15.75">
      <c r="A46" s="387"/>
      <c r="B46" s="393"/>
      <c r="C46" s="393"/>
      <c r="D46" s="394" t="s">
        <v>289</v>
      </c>
      <c r="E46" s="387">
        <f>COUNTIF(E11:E44,"P")</f>
        <v>0</v>
      </c>
      <c r="F46" s="366"/>
      <c r="G46" s="391"/>
      <c r="H46" s="391"/>
      <c r="I46" s="391"/>
      <c r="J46" s="391"/>
      <c r="K46" s="391"/>
      <c r="L46" s="391"/>
      <c r="M46" s="391"/>
      <c r="N46" s="391"/>
      <c r="O46" s="391"/>
      <c r="P46" s="391"/>
      <c r="Q46" s="392"/>
    </row>
    <row r="47" spans="1:17" ht="16.5">
      <c r="A47" s="391"/>
      <c r="B47" s="391"/>
      <c r="C47" s="391"/>
      <c r="D47" s="394"/>
      <c r="E47" s="387"/>
      <c r="F47" s="391"/>
      <c r="G47" s="391"/>
      <c r="H47" s="391"/>
      <c r="I47" s="391"/>
      <c r="J47" s="395" t="s">
        <v>290</v>
      </c>
      <c r="K47" s="391"/>
      <c r="L47" s="391"/>
      <c r="M47" s="391"/>
      <c r="N47" s="391"/>
      <c r="O47" s="391"/>
      <c r="P47" s="391"/>
      <c r="Q47" s="391"/>
    </row>
    <row r="48" spans="1:17" ht="16.5">
      <c r="A48" s="391"/>
      <c r="B48" s="391"/>
      <c r="C48" s="391"/>
      <c r="D48" s="394"/>
      <c r="E48" s="387"/>
      <c r="F48" s="391"/>
      <c r="G48" s="391"/>
      <c r="H48" s="391"/>
      <c r="I48" s="391"/>
      <c r="J48" s="395" t="s">
        <v>178</v>
      </c>
      <c r="K48" s="391"/>
      <c r="L48" s="391"/>
      <c r="M48" s="391"/>
      <c r="N48" s="391"/>
      <c r="O48" s="391"/>
      <c r="P48" s="391"/>
      <c r="Q48" s="391"/>
    </row>
    <row r="49" spans="4:10" ht="16.5">
      <c r="D49" s="366"/>
      <c r="E49" s="387"/>
      <c r="J49" s="365"/>
    </row>
    <row r="50" spans="4:10" ht="16.5">
      <c r="D50" s="366"/>
      <c r="E50" s="387"/>
      <c r="J50" s="365"/>
    </row>
    <row r="51" spans="4:10" ht="16.5">
      <c r="D51" s="366"/>
      <c r="E51" s="387"/>
      <c r="J51" s="365"/>
    </row>
    <row r="52" spans="4:10">
      <c r="J52" s="364" t="str">
        <f>'Prhtngn Mingg Ef(3)'!G87</f>
        <v>Hermawan Rochmadi, S. Pd.</v>
      </c>
    </row>
    <row r="53" spans="4:10">
      <c r="J53" s="364" t="str">
        <f>'Prhtngn Mingg Ef(3)'!G88</f>
        <v>NIP. 19920317 201903 1 009</v>
      </c>
    </row>
  </sheetData>
  <mergeCells count="9">
    <mergeCell ref="L1:Q1"/>
    <mergeCell ref="L2:Q2"/>
    <mergeCell ref="A3:Q3"/>
    <mergeCell ref="A8:A10"/>
    <mergeCell ref="B8:B10"/>
    <mergeCell ref="C8:C10"/>
    <mergeCell ref="D8:D10"/>
    <mergeCell ref="E8:E10"/>
    <mergeCell ref="F8:Q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41"/>
  <sheetViews>
    <sheetView topLeftCell="ABF1" workbookViewId="0">
      <selection activeCell="D6" sqref="D6"/>
    </sheetView>
  </sheetViews>
  <sheetFormatPr defaultColWidth="9" defaultRowHeight="16.5"/>
  <cols>
    <col min="1" max="1" width="3.85546875" style="262" customWidth="1"/>
    <col min="2" max="2" width="34.7109375" style="262" customWidth="1"/>
    <col min="3" max="3" width="44.140625" style="262" customWidth="1"/>
    <col min="4" max="4" width="15.140625" style="262" customWidth="1"/>
    <col min="5" max="5" width="49.140625" style="262" customWidth="1"/>
    <col min="6" max="6" width="28" style="262" customWidth="1"/>
    <col min="7" max="256" width="9.140625" style="262"/>
    <col min="257" max="257" width="3.85546875" style="262" customWidth="1"/>
    <col min="258" max="258" width="26.140625" style="262" customWidth="1"/>
    <col min="259" max="259" width="34.140625" style="262" customWidth="1"/>
    <col min="260" max="260" width="10.28515625" style="262" customWidth="1"/>
    <col min="261" max="261" width="42.7109375" style="262" customWidth="1"/>
    <col min="262" max="262" width="37.5703125" style="262" customWidth="1"/>
    <col min="263" max="512" width="9.140625" style="262"/>
    <col min="513" max="513" width="3.85546875" style="262" customWidth="1"/>
    <col min="514" max="514" width="26.140625" style="262" customWidth="1"/>
    <col min="515" max="515" width="34.140625" style="262" customWidth="1"/>
    <col min="516" max="516" width="10.28515625" style="262" customWidth="1"/>
    <col min="517" max="517" width="42.7109375" style="262" customWidth="1"/>
    <col min="518" max="518" width="37.5703125" style="262" customWidth="1"/>
    <col min="519" max="768" width="9.140625" style="262"/>
    <col min="769" max="769" width="3.85546875" style="262" customWidth="1"/>
    <col min="770" max="770" width="26.140625" style="262" customWidth="1"/>
    <col min="771" max="771" width="34.140625" style="262" customWidth="1"/>
    <col min="772" max="772" width="10.28515625" style="262" customWidth="1"/>
    <col min="773" max="773" width="42.7109375" style="262" customWidth="1"/>
    <col min="774" max="774" width="37.5703125" style="262" customWidth="1"/>
    <col min="775" max="1024" width="9.140625" style="262"/>
    <col min="1025" max="1025" width="3.85546875" style="262" customWidth="1"/>
    <col min="1026" max="1026" width="26.140625" style="262" customWidth="1"/>
    <col min="1027" max="1027" width="34.140625" style="262" customWidth="1"/>
    <col min="1028" max="1028" width="10.28515625" style="262" customWidth="1"/>
    <col min="1029" max="1029" width="42.7109375" style="262" customWidth="1"/>
    <col min="1030" max="1030" width="37.5703125" style="262" customWidth="1"/>
    <col min="1031" max="1280" width="9.140625" style="262"/>
    <col min="1281" max="1281" width="3.85546875" style="262" customWidth="1"/>
    <col min="1282" max="1282" width="26.140625" style="262" customWidth="1"/>
    <col min="1283" max="1283" width="34.140625" style="262" customWidth="1"/>
    <col min="1284" max="1284" width="10.28515625" style="262" customWidth="1"/>
    <col min="1285" max="1285" width="42.7109375" style="262" customWidth="1"/>
    <col min="1286" max="1286" width="37.5703125" style="262" customWidth="1"/>
    <col min="1287" max="1536" width="9.140625" style="262"/>
    <col min="1537" max="1537" width="3.85546875" style="262" customWidth="1"/>
    <col min="1538" max="1538" width="26.140625" style="262" customWidth="1"/>
    <col min="1539" max="1539" width="34.140625" style="262" customWidth="1"/>
    <col min="1540" max="1540" width="10.28515625" style="262" customWidth="1"/>
    <col min="1541" max="1541" width="42.7109375" style="262" customWidth="1"/>
    <col min="1542" max="1542" width="37.5703125" style="262" customWidth="1"/>
    <col min="1543" max="1792" width="9.140625" style="262"/>
    <col min="1793" max="1793" width="3.85546875" style="262" customWidth="1"/>
    <col min="1794" max="1794" width="26.140625" style="262" customWidth="1"/>
    <col min="1795" max="1795" width="34.140625" style="262" customWidth="1"/>
    <col min="1796" max="1796" width="10.28515625" style="262" customWidth="1"/>
    <col min="1797" max="1797" width="42.7109375" style="262" customWidth="1"/>
    <col min="1798" max="1798" width="37.5703125" style="262" customWidth="1"/>
    <col min="1799" max="2048" width="9.140625" style="262"/>
    <col min="2049" max="2049" width="3.85546875" style="262" customWidth="1"/>
    <col min="2050" max="2050" width="26.140625" style="262" customWidth="1"/>
    <col min="2051" max="2051" width="34.140625" style="262" customWidth="1"/>
    <col min="2052" max="2052" width="10.28515625" style="262" customWidth="1"/>
    <col min="2053" max="2053" width="42.7109375" style="262" customWidth="1"/>
    <col min="2054" max="2054" width="37.5703125" style="262" customWidth="1"/>
    <col min="2055" max="2304" width="9.140625" style="262"/>
    <col min="2305" max="2305" width="3.85546875" style="262" customWidth="1"/>
    <col min="2306" max="2306" width="26.140625" style="262" customWidth="1"/>
    <col min="2307" max="2307" width="34.140625" style="262" customWidth="1"/>
    <col min="2308" max="2308" width="10.28515625" style="262" customWidth="1"/>
    <col min="2309" max="2309" width="42.7109375" style="262" customWidth="1"/>
    <col min="2310" max="2310" width="37.5703125" style="262" customWidth="1"/>
    <col min="2311" max="2560" width="9.140625" style="262"/>
    <col min="2561" max="2561" width="3.85546875" style="262" customWidth="1"/>
    <col min="2562" max="2562" width="26.140625" style="262" customWidth="1"/>
    <col min="2563" max="2563" width="34.140625" style="262" customWidth="1"/>
    <col min="2564" max="2564" width="10.28515625" style="262" customWidth="1"/>
    <col min="2565" max="2565" width="42.7109375" style="262" customWidth="1"/>
    <col min="2566" max="2566" width="37.5703125" style="262" customWidth="1"/>
    <col min="2567" max="2816" width="9.140625" style="262"/>
    <col min="2817" max="2817" width="3.85546875" style="262" customWidth="1"/>
    <col min="2818" max="2818" width="26.140625" style="262" customWidth="1"/>
    <col min="2819" max="2819" width="34.140625" style="262" customWidth="1"/>
    <col min="2820" max="2820" width="10.28515625" style="262" customWidth="1"/>
    <col min="2821" max="2821" width="42.7109375" style="262" customWidth="1"/>
    <col min="2822" max="2822" width="37.5703125" style="262" customWidth="1"/>
    <col min="2823" max="3072" width="9.140625" style="262"/>
    <col min="3073" max="3073" width="3.85546875" style="262" customWidth="1"/>
    <col min="3074" max="3074" width="26.140625" style="262" customWidth="1"/>
    <col min="3075" max="3075" width="34.140625" style="262" customWidth="1"/>
    <col min="3076" max="3076" width="10.28515625" style="262" customWidth="1"/>
    <col min="3077" max="3077" width="42.7109375" style="262" customWidth="1"/>
    <col min="3078" max="3078" width="37.5703125" style="262" customWidth="1"/>
    <col min="3079" max="3328" width="9.140625" style="262"/>
    <col min="3329" max="3329" width="3.85546875" style="262" customWidth="1"/>
    <col min="3330" max="3330" width="26.140625" style="262" customWidth="1"/>
    <col min="3331" max="3331" width="34.140625" style="262" customWidth="1"/>
    <col min="3332" max="3332" width="10.28515625" style="262" customWidth="1"/>
    <col min="3333" max="3333" width="42.7109375" style="262" customWidth="1"/>
    <col min="3334" max="3334" width="37.5703125" style="262" customWidth="1"/>
    <col min="3335" max="3584" width="9.140625" style="262"/>
    <col min="3585" max="3585" width="3.85546875" style="262" customWidth="1"/>
    <col min="3586" max="3586" width="26.140625" style="262" customWidth="1"/>
    <col min="3587" max="3587" width="34.140625" style="262" customWidth="1"/>
    <col min="3588" max="3588" width="10.28515625" style="262" customWidth="1"/>
    <col min="3589" max="3589" width="42.7109375" style="262" customWidth="1"/>
    <col min="3590" max="3590" width="37.5703125" style="262" customWidth="1"/>
    <col min="3591" max="3840" width="9.140625" style="262"/>
    <col min="3841" max="3841" width="3.85546875" style="262" customWidth="1"/>
    <col min="3842" max="3842" width="26.140625" style="262" customWidth="1"/>
    <col min="3843" max="3843" width="34.140625" style="262" customWidth="1"/>
    <col min="3844" max="3844" width="10.28515625" style="262" customWidth="1"/>
    <col min="3845" max="3845" width="42.7109375" style="262" customWidth="1"/>
    <col min="3846" max="3846" width="37.5703125" style="262" customWidth="1"/>
    <col min="3847" max="4096" width="9.140625" style="262"/>
    <col min="4097" max="4097" width="3.85546875" style="262" customWidth="1"/>
    <col min="4098" max="4098" width="26.140625" style="262" customWidth="1"/>
    <col min="4099" max="4099" width="34.140625" style="262" customWidth="1"/>
    <col min="4100" max="4100" width="10.28515625" style="262" customWidth="1"/>
    <col min="4101" max="4101" width="42.7109375" style="262" customWidth="1"/>
    <col min="4102" max="4102" width="37.5703125" style="262" customWidth="1"/>
    <col min="4103" max="4352" width="9.140625" style="262"/>
    <col min="4353" max="4353" width="3.85546875" style="262" customWidth="1"/>
    <col min="4354" max="4354" width="26.140625" style="262" customWidth="1"/>
    <col min="4355" max="4355" width="34.140625" style="262" customWidth="1"/>
    <col min="4356" max="4356" width="10.28515625" style="262" customWidth="1"/>
    <col min="4357" max="4357" width="42.7109375" style="262" customWidth="1"/>
    <col min="4358" max="4358" width="37.5703125" style="262" customWidth="1"/>
    <col min="4359" max="4608" width="9.140625" style="262"/>
    <col min="4609" max="4609" width="3.85546875" style="262" customWidth="1"/>
    <col min="4610" max="4610" width="26.140625" style="262" customWidth="1"/>
    <col min="4611" max="4611" width="34.140625" style="262" customWidth="1"/>
    <col min="4612" max="4612" width="10.28515625" style="262" customWidth="1"/>
    <col min="4613" max="4613" width="42.7109375" style="262" customWidth="1"/>
    <col min="4614" max="4614" width="37.5703125" style="262" customWidth="1"/>
    <col min="4615" max="4864" width="9.140625" style="262"/>
    <col min="4865" max="4865" width="3.85546875" style="262" customWidth="1"/>
    <col min="4866" max="4866" width="26.140625" style="262" customWidth="1"/>
    <col min="4867" max="4867" width="34.140625" style="262" customWidth="1"/>
    <col min="4868" max="4868" width="10.28515625" style="262" customWidth="1"/>
    <col min="4869" max="4869" width="42.7109375" style="262" customWidth="1"/>
    <col min="4870" max="4870" width="37.5703125" style="262" customWidth="1"/>
    <col min="4871" max="5120" width="9.140625" style="262"/>
    <col min="5121" max="5121" width="3.85546875" style="262" customWidth="1"/>
    <col min="5122" max="5122" width="26.140625" style="262" customWidth="1"/>
    <col min="5123" max="5123" width="34.140625" style="262" customWidth="1"/>
    <col min="5124" max="5124" width="10.28515625" style="262" customWidth="1"/>
    <col min="5125" max="5125" width="42.7109375" style="262" customWidth="1"/>
    <col min="5126" max="5126" width="37.5703125" style="262" customWidth="1"/>
    <col min="5127" max="5376" width="9.140625" style="262"/>
    <col min="5377" max="5377" width="3.85546875" style="262" customWidth="1"/>
    <col min="5378" max="5378" width="26.140625" style="262" customWidth="1"/>
    <col min="5379" max="5379" width="34.140625" style="262" customWidth="1"/>
    <col min="5380" max="5380" width="10.28515625" style="262" customWidth="1"/>
    <col min="5381" max="5381" width="42.7109375" style="262" customWidth="1"/>
    <col min="5382" max="5382" width="37.5703125" style="262" customWidth="1"/>
    <col min="5383" max="5632" width="9.140625" style="262"/>
    <col min="5633" max="5633" width="3.85546875" style="262" customWidth="1"/>
    <col min="5634" max="5634" width="26.140625" style="262" customWidth="1"/>
    <col min="5635" max="5635" width="34.140625" style="262" customWidth="1"/>
    <col min="5636" max="5636" width="10.28515625" style="262" customWidth="1"/>
    <col min="5637" max="5637" width="42.7109375" style="262" customWidth="1"/>
    <col min="5638" max="5638" width="37.5703125" style="262" customWidth="1"/>
    <col min="5639" max="5888" width="9.140625" style="262"/>
    <col min="5889" max="5889" width="3.85546875" style="262" customWidth="1"/>
    <col min="5890" max="5890" width="26.140625" style="262" customWidth="1"/>
    <col min="5891" max="5891" width="34.140625" style="262" customWidth="1"/>
    <col min="5892" max="5892" width="10.28515625" style="262" customWidth="1"/>
    <col min="5893" max="5893" width="42.7109375" style="262" customWidth="1"/>
    <col min="5894" max="5894" width="37.5703125" style="262" customWidth="1"/>
    <col min="5895" max="6144" width="9.140625" style="262"/>
    <col min="6145" max="6145" width="3.85546875" style="262" customWidth="1"/>
    <col min="6146" max="6146" width="26.140625" style="262" customWidth="1"/>
    <col min="6147" max="6147" width="34.140625" style="262" customWidth="1"/>
    <col min="6148" max="6148" width="10.28515625" style="262" customWidth="1"/>
    <col min="6149" max="6149" width="42.7109375" style="262" customWidth="1"/>
    <col min="6150" max="6150" width="37.5703125" style="262" customWidth="1"/>
    <col min="6151" max="6400" width="9.140625" style="262"/>
    <col min="6401" max="6401" width="3.85546875" style="262" customWidth="1"/>
    <col min="6402" max="6402" width="26.140625" style="262" customWidth="1"/>
    <col min="6403" max="6403" width="34.140625" style="262" customWidth="1"/>
    <col min="6404" max="6404" width="10.28515625" style="262" customWidth="1"/>
    <col min="6405" max="6405" width="42.7109375" style="262" customWidth="1"/>
    <col min="6406" max="6406" width="37.5703125" style="262" customWidth="1"/>
    <col min="6407" max="6656" width="9.140625" style="262"/>
    <col min="6657" max="6657" width="3.85546875" style="262" customWidth="1"/>
    <col min="6658" max="6658" width="26.140625" style="262" customWidth="1"/>
    <col min="6659" max="6659" width="34.140625" style="262" customWidth="1"/>
    <col min="6660" max="6660" width="10.28515625" style="262" customWidth="1"/>
    <col min="6661" max="6661" width="42.7109375" style="262" customWidth="1"/>
    <col min="6662" max="6662" width="37.5703125" style="262" customWidth="1"/>
    <col min="6663" max="6912" width="9.140625" style="262"/>
    <col min="6913" max="6913" width="3.85546875" style="262" customWidth="1"/>
    <col min="6914" max="6914" width="26.140625" style="262" customWidth="1"/>
    <col min="6915" max="6915" width="34.140625" style="262" customWidth="1"/>
    <col min="6916" max="6916" width="10.28515625" style="262" customWidth="1"/>
    <col min="6917" max="6917" width="42.7109375" style="262" customWidth="1"/>
    <col min="6918" max="6918" width="37.5703125" style="262" customWidth="1"/>
    <col min="6919" max="7168" width="9.140625" style="262"/>
    <col min="7169" max="7169" width="3.85546875" style="262" customWidth="1"/>
    <col min="7170" max="7170" width="26.140625" style="262" customWidth="1"/>
    <col min="7171" max="7171" width="34.140625" style="262" customWidth="1"/>
    <col min="7172" max="7172" width="10.28515625" style="262" customWidth="1"/>
    <col min="7173" max="7173" width="42.7109375" style="262" customWidth="1"/>
    <col min="7174" max="7174" width="37.5703125" style="262" customWidth="1"/>
    <col min="7175" max="7424" width="9.140625" style="262"/>
    <col min="7425" max="7425" width="3.85546875" style="262" customWidth="1"/>
    <col min="7426" max="7426" width="26.140625" style="262" customWidth="1"/>
    <col min="7427" max="7427" width="34.140625" style="262" customWidth="1"/>
    <col min="7428" max="7428" width="10.28515625" style="262" customWidth="1"/>
    <col min="7429" max="7429" width="42.7109375" style="262" customWidth="1"/>
    <col min="7430" max="7430" width="37.5703125" style="262" customWidth="1"/>
    <col min="7431" max="7680" width="9.140625" style="262"/>
    <col min="7681" max="7681" width="3.85546875" style="262" customWidth="1"/>
    <col min="7682" max="7682" width="26.140625" style="262" customWidth="1"/>
    <col min="7683" max="7683" width="34.140625" style="262" customWidth="1"/>
    <col min="7684" max="7684" width="10.28515625" style="262" customWidth="1"/>
    <col min="7685" max="7685" width="42.7109375" style="262" customWidth="1"/>
    <col min="7686" max="7686" width="37.5703125" style="262" customWidth="1"/>
    <col min="7687" max="7936" width="9.140625" style="262"/>
    <col min="7937" max="7937" width="3.85546875" style="262" customWidth="1"/>
    <col min="7938" max="7938" width="26.140625" style="262" customWidth="1"/>
    <col min="7939" max="7939" width="34.140625" style="262" customWidth="1"/>
    <col min="7940" max="7940" width="10.28515625" style="262" customWidth="1"/>
    <col min="7941" max="7941" width="42.7109375" style="262" customWidth="1"/>
    <col min="7942" max="7942" width="37.5703125" style="262" customWidth="1"/>
    <col min="7943" max="8192" width="9.140625" style="262"/>
    <col min="8193" max="8193" width="3.85546875" style="262" customWidth="1"/>
    <col min="8194" max="8194" width="26.140625" style="262" customWidth="1"/>
    <col min="8195" max="8195" width="34.140625" style="262" customWidth="1"/>
    <col min="8196" max="8196" width="10.28515625" style="262" customWidth="1"/>
    <col min="8197" max="8197" width="42.7109375" style="262" customWidth="1"/>
    <col min="8198" max="8198" width="37.5703125" style="262" customWidth="1"/>
    <col min="8199" max="8448" width="9.140625" style="262"/>
    <col min="8449" max="8449" width="3.85546875" style="262" customWidth="1"/>
    <col min="8450" max="8450" width="26.140625" style="262" customWidth="1"/>
    <col min="8451" max="8451" width="34.140625" style="262" customWidth="1"/>
    <col min="8452" max="8452" width="10.28515625" style="262" customWidth="1"/>
    <col min="8453" max="8453" width="42.7109375" style="262" customWidth="1"/>
    <col min="8454" max="8454" width="37.5703125" style="262" customWidth="1"/>
    <col min="8455" max="8704" width="9.140625" style="262"/>
    <col min="8705" max="8705" width="3.85546875" style="262" customWidth="1"/>
    <col min="8706" max="8706" width="26.140625" style="262" customWidth="1"/>
    <col min="8707" max="8707" width="34.140625" style="262" customWidth="1"/>
    <col min="8708" max="8708" width="10.28515625" style="262" customWidth="1"/>
    <col min="8709" max="8709" width="42.7109375" style="262" customWidth="1"/>
    <col min="8710" max="8710" width="37.5703125" style="262" customWidth="1"/>
    <col min="8711" max="8960" width="9.140625" style="262"/>
    <col min="8961" max="8961" width="3.85546875" style="262" customWidth="1"/>
    <col min="8962" max="8962" width="26.140625" style="262" customWidth="1"/>
    <col min="8963" max="8963" width="34.140625" style="262" customWidth="1"/>
    <col min="8964" max="8964" width="10.28515625" style="262" customWidth="1"/>
    <col min="8965" max="8965" width="42.7109375" style="262" customWidth="1"/>
    <col min="8966" max="8966" width="37.5703125" style="262" customWidth="1"/>
    <col min="8967" max="9216" width="9.140625" style="262"/>
    <col min="9217" max="9217" width="3.85546875" style="262" customWidth="1"/>
    <col min="9218" max="9218" width="26.140625" style="262" customWidth="1"/>
    <col min="9219" max="9219" width="34.140625" style="262" customWidth="1"/>
    <col min="9220" max="9220" width="10.28515625" style="262" customWidth="1"/>
    <col min="9221" max="9221" width="42.7109375" style="262" customWidth="1"/>
    <col min="9222" max="9222" width="37.5703125" style="262" customWidth="1"/>
    <col min="9223" max="9472" width="9.140625" style="262"/>
    <col min="9473" max="9473" width="3.85546875" style="262" customWidth="1"/>
    <col min="9474" max="9474" width="26.140625" style="262" customWidth="1"/>
    <col min="9475" max="9475" width="34.140625" style="262" customWidth="1"/>
    <col min="9476" max="9476" width="10.28515625" style="262" customWidth="1"/>
    <col min="9477" max="9477" width="42.7109375" style="262" customWidth="1"/>
    <col min="9478" max="9478" width="37.5703125" style="262" customWidth="1"/>
    <col min="9479" max="9728" width="9.140625" style="262"/>
    <col min="9729" max="9729" width="3.85546875" style="262" customWidth="1"/>
    <col min="9730" max="9730" width="26.140625" style="262" customWidth="1"/>
    <col min="9731" max="9731" width="34.140625" style="262" customWidth="1"/>
    <col min="9732" max="9732" width="10.28515625" style="262" customWidth="1"/>
    <col min="9733" max="9733" width="42.7109375" style="262" customWidth="1"/>
    <col min="9734" max="9734" width="37.5703125" style="262" customWidth="1"/>
    <col min="9735" max="9984" width="9.140625" style="262"/>
    <col min="9985" max="9985" width="3.85546875" style="262" customWidth="1"/>
    <col min="9986" max="9986" width="26.140625" style="262" customWidth="1"/>
    <col min="9987" max="9987" width="34.140625" style="262" customWidth="1"/>
    <col min="9988" max="9988" width="10.28515625" style="262" customWidth="1"/>
    <col min="9989" max="9989" width="42.7109375" style="262" customWidth="1"/>
    <col min="9990" max="9990" width="37.5703125" style="262" customWidth="1"/>
    <col min="9991" max="10240" width="9.140625" style="262"/>
    <col min="10241" max="10241" width="3.85546875" style="262" customWidth="1"/>
    <col min="10242" max="10242" width="26.140625" style="262" customWidth="1"/>
    <col min="10243" max="10243" width="34.140625" style="262" customWidth="1"/>
    <col min="10244" max="10244" width="10.28515625" style="262" customWidth="1"/>
    <col min="10245" max="10245" width="42.7109375" style="262" customWidth="1"/>
    <col min="10246" max="10246" width="37.5703125" style="262" customWidth="1"/>
    <col min="10247" max="10496" width="9.140625" style="262"/>
    <col min="10497" max="10497" width="3.85546875" style="262" customWidth="1"/>
    <col min="10498" max="10498" width="26.140625" style="262" customWidth="1"/>
    <col min="10499" max="10499" width="34.140625" style="262" customWidth="1"/>
    <col min="10500" max="10500" width="10.28515625" style="262" customWidth="1"/>
    <col min="10501" max="10501" width="42.7109375" style="262" customWidth="1"/>
    <col min="10502" max="10502" width="37.5703125" style="262" customWidth="1"/>
    <col min="10503" max="10752" width="9.140625" style="262"/>
    <col min="10753" max="10753" width="3.85546875" style="262" customWidth="1"/>
    <col min="10754" max="10754" width="26.140625" style="262" customWidth="1"/>
    <col min="10755" max="10755" width="34.140625" style="262" customWidth="1"/>
    <col min="10756" max="10756" width="10.28515625" style="262" customWidth="1"/>
    <col min="10757" max="10757" width="42.7109375" style="262" customWidth="1"/>
    <col min="10758" max="10758" width="37.5703125" style="262" customWidth="1"/>
    <col min="10759" max="11008" width="9.140625" style="262"/>
    <col min="11009" max="11009" width="3.85546875" style="262" customWidth="1"/>
    <col min="11010" max="11010" width="26.140625" style="262" customWidth="1"/>
    <col min="11011" max="11011" width="34.140625" style="262" customWidth="1"/>
    <col min="11012" max="11012" width="10.28515625" style="262" customWidth="1"/>
    <col min="11013" max="11013" width="42.7109375" style="262" customWidth="1"/>
    <col min="11014" max="11014" width="37.5703125" style="262" customWidth="1"/>
    <col min="11015" max="11264" width="9.140625" style="262"/>
    <col min="11265" max="11265" width="3.85546875" style="262" customWidth="1"/>
    <col min="11266" max="11266" width="26.140625" style="262" customWidth="1"/>
    <col min="11267" max="11267" width="34.140625" style="262" customWidth="1"/>
    <col min="11268" max="11268" width="10.28515625" style="262" customWidth="1"/>
    <col min="11269" max="11269" width="42.7109375" style="262" customWidth="1"/>
    <col min="11270" max="11270" width="37.5703125" style="262" customWidth="1"/>
    <col min="11271" max="11520" width="9.140625" style="262"/>
    <col min="11521" max="11521" width="3.85546875" style="262" customWidth="1"/>
    <col min="11522" max="11522" width="26.140625" style="262" customWidth="1"/>
    <col min="11523" max="11523" width="34.140625" style="262" customWidth="1"/>
    <col min="11524" max="11524" width="10.28515625" style="262" customWidth="1"/>
    <col min="11525" max="11525" width="42.7109375" style="262" customWidth="1"/>
    <col min="11526" max="11526" width="37.5703125" style="262" customWidth="1"/>
    <col min="11527" max="11776" width="9.140625" style="262"/>
    <col min="11777" max="11777" width="3.85546875" style="262" customWidth="1"/>
    <col min="11778" max="11778" width="26.140625" style="262" customWidth="1"/>
    <col min="11779" max="11779" width="34.140625" style="262" customWidth="1"/>
    <col min="11780" max="11780" width="10.28515625" style="262" customWidth="1"/>
    <col min="11781" max="11781" width="42.7109375" style="262" customWidth="1"/>
    <col min="11782" max="11782" width="37.5703125" style="262" customWidth="1"/>
    <col min="11783" max="12032" width="9.140625" style="262"/>
    <col min="12033" max="12033" width="3.85546875" style="262" customWidth="1"/>
    <col min="12034" max="12034" width="26.140625" style="262" customWidth="1"/>
    <col min="12035" max="12035" width="34.140625" style="262" customWidth="1"/>
    <col min="12036" max="12036" width="10.28515625" style="262" customWidth="1"/>
    <col min="12037" max="12037" width="42.7109375" style="262" customWidth="1"/>
    <col min="12038" max="12038" width="37.5703125" style="262" customWidth="1"/>
    <col min="12039" max="12288" width="9.140625" style="262"/>
    <col min="12289" max="12289" width="3.85546875" style="262" customWidth="1"/>
    <col min="12290" max="12290" width="26.140625" style="262" customWidth="1"/>
    <col min="12291" max="12291" width="34.140625" style="262" customWidth="1"/>
    <col min="12292" max="12292" width="10.28515625" style="262" customWidth="1"/>
    <col min="12293" max="12293" width="42.7109375" style="262" customWidth="1"/>
    <col min="12294" max="12294" width="37.5703125" style="262" customWidth="1"/>
    <col min="12295" max="12544" width="9.140625" style="262"/>
    <col min="12545" max="12545" width="3.85546875" style="262" customWidth="1"/>
    <col min="12546" max="12546" width="26.140625" style="262" customWidth="1"/>
    <col min="12547" max="12547" width="34.140625" style="262" customWidth="1"/>
    <col min="12548" max="12548" width="10.28515625" style="262" customWidth="1"/>
    <col min="12549" max="12549" width="42.7109375" style="262" customWidth="1"/>
    <col min="12550" max="12550" width="37.5703125" style="262" customWidth="1"/>
    <col min="12551" max="12800" width="9.140625" style="262"/>
    <col min="12801" max="12801" width="3.85546875" style="262" customWidth="1"/>
    <col min="12802" max="12802" width="26.140625" style="262" customWidth="1"/>
    <col min="12803" max="12803" width="34.140625" style="262" customWidth="1"/>
    <col min="12804" max="12804" width="10.28515625" style="262" customWidth="1"/>
    <col min="12805" max="12805" width="42.7109375" style="262" customWidth="1"/>
    <col min="12806" max="12806" width="37.5703125" style="262" customWidth="1"/>
    <col min="12807" max="13056" width="9.140625" style="262"/>
    <col min="13057" max="13057" width="3.85546875" style="262" customWidth="1"/>
    <col min="13058" max="13058" width="26.140625" style="262" customWidth="1"/>
    <col min="13059" max="13059" width="34.140625" style="262" customWidth="1"/>
    <col min="13060" max="13060" width="10.28515625" style="262" customWidth="1"/>
    <col min="13061" max="13061" width="42.7109375" style="262" customWidth="1"/>
    <col min="13062" max="13062" width="37.5703125" style="262" customWidth="1"/>
    <col min="13063" max="13312" width="9.140625" style="262"/>
    <col min="13313" max="13313" width="3.85546875" style="262" customWidth="1"/>
    <col min="13314" max="13314" width="26.140625" style="262" customWidth="1"/>
    <col min="13315" max="13315" width="34.140625" style="262" customWidth="1"/>
    <col min="13316" max="13316" width="10.28515625" style="262" customWidth="1"/>
    <col min="13317" max="13317" width="42.7109375" style="262" customWidth="1"/>
    <col min="13318" max="13318" width="37.5703125" style="262" customWidth="1"/>
    <col min="13319" max="13568" width="9.140625" style="262"/>
    <col min="13569" max="13569" width="3.85546875" style="262" customWidth="1"/>
    <col min="13570" max="13570" width="26.140625" style="262" customWidth="1"/>
    <col min="13571" max="13571" width="34.140625" style="262" customWidth="1"/>
    <col min="13572" max="13572" width="10.28515625" style="262" customWidth="1"/>
    <col min="13573" max="13573" width="42.7109375" style="262" customWidth="1"/>
    <col min="13574" max="13574" width="37.5703125" style="262" customWidth="1"/>
    <col min="13575" max="13824" width="9.140625" style="262"/>
    <col min="13825" max="13825" width="3.85546875" style="262" customWidth="1"/>
    <col min="13826" max="13826" width="26.140625" style="262" customWidth="1"/>
    <col min="13827" max="13827" width="34.140625" style="262" customWidth="1"/>
    <col min="13828" max="13828" width="10.28515625" style="262" customWidth="1"/>
    <col min="13829" max="13829" width="42.7109375" style="262" customWidth="1"/>
    <col min="13830" max="13830" width="37.5703125" style="262" customWidth="1"/>
    <col min="13831" max="14080" width="9.140625" style="262"/>
    <col min="14081" max="14081" width="3.85546875" style="262" customWidth="1"/>
    <col min="14082" max="14082" width="26.140625" style="262" customWidth="1"/>
    <col min="14083" max="14083" width="34.140625" style="262" customWidth="1"/>
    <col min="14084" max="14084" width="10.28515625" style="262" customWidth="1"/>
    <col min="14085" max="14085" width="42.7109375" style="262" customWidth="1"/>
    <col min="14086" max="14086" width="37.5703125" style="262" customWidth="1"/>
    <col min="14087" max="14336" width="9.140625" style="262"/>
    <col min="14337" max="14337" width="3.85546875" style="262" customWidth="1"/>
    <col min="14338" max="14338" width="26.140625" style="262" customWidth="1"/>
    <col min="14339" max="14339" width="34.140625" style="262" customWidth="1"/>
    <col min="14340" max="14340" width="10.28515625" style="262" customWidth="1"/>
    <col min="14341" max="14341" width="42.7109375" style="262" customWidth="1"/>
    <col min="14342" max="14342" width="37.5703125" style="262" customWidth="1"/>
    <col min="14343" max="14592" width="9.140625" style="262"/>
    <col min="14593" max="14593" width="3.85546875" style="262" customWidth="1"/>
    <col min="14594" max="14594" width="26.140625" style="262" customWidth="1"/>
    <col min="14595" max="14595" width="34.140625" style="262" customWidth="1"/>
    <col min="14596" max="14596" width="10.28515625" style="262" customWidth="1"/>
    <col min="14597" max="14597" width="42.7109375" style="262" customWidth="1"/>
    <col min="14598" max="14598" width="37.5703125" style="262" customWidth="1"/>
    <col min="14599" max="14848" width="9.140625" style="262"/>
    <col min="14849" max="14849" width="3.85546875" style="262" customWidth="1"/>
    <col min="14850" max="14850" width="26.140625" style="262" customWidth="1"/>
    <col min="14851" max="14851" width="34.140625" style="262" customWidth="1"/>
    <col min="14852" max="14852" width="10.28515625" style="262" customWidth="1"/>
    <col min="14853" max="14853" width="42.7109375" style="262" customWidth="1"/>
    <col min="14854" max="14854" width="37.5703125" style="262" customWidth="1"/>
    <col min="14855" max="15104" width="9.140625" style="262"/>
    <col min="15105" max="15105" width="3.85546875" style="262" customWidth="1"/>
    <col min="15106" max="15106" width="26.140625" style="262" customWidth="1"/>
    <col min="15107" max="15107" width="34.140625" style="262" customWidth="1"/>
    <col min="15108" max="15108" width="10.28515625" style="262" customWidth="1"/>
    <col min="15109" max="15109" width="42.7109375" style="262" customWidth="1"/>
    <col min="15110" max="15110" width="37.5703125" style="262" customWidth="1"/>
    <col min="15111" max="15360" width="9.140625" style="262"/>
    <col min="15361" max="15361" width="3.85546875" style="262" customWidth="1"/>
    <col min="15362" max="15362" width="26.140625" style="262" customWidth="1"/>
    <col min="15363" max="15363" width="34.140625" style="262" customWidth="1"/>
    <col min="15364" max="15364" width="10.28515625" style="262" customWidth="1"/>
    <col min="15365" max="15365" width="42.7109375" style="262" customWidth="1"/>
    <col min="15366" max="15366" width="37.5703125" style="262" customWidth="1"/>
    <col min="15367" max="15616" width="9.140625" style="262"/>
    <col min="15617" max="15617" width="3.85546875" style="262" customWidth="1"/>
    <col min="15618" max="15618" width="26.140625" style="262" customWidth="1"/>
    <col min="15619" max="15619" width="34.140625" style="262" customWidth="1"/>
    <col min="15620" max="15620" width="10.28515625" style="262" customWidth="1"/>
    <col min="15621" max="15621" width="42.7109375" style="262" customWidth="1"/>
    <col min="15622" max="15622" width="37.5703125" style="262" customWidth="1"/>
    <col min="15623" max="15872" width="9.140625" style="262"/>
    <col min="15873" max="15873" width="3.85546875" style="262" customWidth="1"/>
    <col min="15874" max="15874" width="26.140625" style="262" customWidth="1"/>
    <col min="15875" max="15875" width="34.140625" style="262" customWidth="1"/>
    <col min="15876" max="15876" width="10.28515625" style="262" customWidth="1"/>
    <col min="15877" max="15877" width="42.7109375" style="262" customWidth="1"/>
    <col min="15878" max="15878" width="37.5703125" style="262" customWidth="1"/>
    <col min="15879" max="16128" width="9.140625" style="262"/>
    <col min="16129" max="16129" width="3.85546875" style="262" customWidth="1"/>
    <col min="16130" max="16130" width="26.140625" style="262" customWidth="1"/>
    <col min="16131" max="16131" width="34.140625" style="262" customWidth="1"/>
    <col min="16132" max="16132" width="10.28515625" style="262" customWidth="1"/>
    <col min="16133" max="16133" width="42.7109375" style="262" customWidth="1"/>
    <col min="16134" max="16134" width="37.5703125" style="262" customWidth="1"/>
    <col min="16135" max="16384" width="9.140625" style="262"/>
  </cols>
  <sheetData>
    <row r="1" spans="1:8" ht="12" customHeight="1">
      <c r="A1" s="263"/>
      <c r="B1" s="263"/>
      <c r="C1" s="263"/>
      <c r="D1" s="263"/>
      <c r="E1" s="263"/>
      <c r="F1" s="264" t="s">
        <v>292</v>
      </c>
      <c r="G1" s="263"/>
    </row>
    <row r="2" spans="1:8" ht="12" customHeight="1">
      <c r="A2" s="263"/>
      <c r="B2" s="263"/>
      <c r="C2" s="263"/>
      <c r="D2" s="263"/>
      <c r="E2" s="263"/>
      <c r="F2" s="265">
        <v>45483</v>
      </c>
      <c r="G2" s="266"/>
      <c r="H2" s="267"/>
    </row>
    <row r="3" spans="1:8">
      <c r="A3" s="694" t="s">
        <v>293</v>
      </c>
      <c r="B3" s="694"/>
      <c r="C3" s="694"/>
      <c r="D3" s="694"/>
      <c r="E3" s="694"/>
      <c r="F3" s="694"/>
      <c r="G3" s="268"/>
    </row>
    <row r="4" spans="1:8" ht="12" customHeight="1">
      <c r="A4" s="268"/>
      <c r="B4" s="268"/>
      <c r="C4" s="268"/>
      <c r="D4" s="268"/>
      <c r="E4" s="268"/>
      <c r="F4" s="268"/>
      <c r="G4" s="268"/>
    </row>
    <row r="5" spans="1:8">
      <c r="A5" s="269" t="s">
        <v>294</v>
      </c>
      <c r="B5" s="268"/>
      <c r="C5" s="270"/>
      <c r="D5" s="268" t="s">
        <v>295</v>
      </c>
      <c r="E5" s="268"/>
      <c r="F5" s="268" t="s">
        <v>296</v>
      </c>
      <c r="G5" s="268"/>
      <c r="H5" s="271"/>
    </row>
    <row r="6" spans="1:8" ht="12" customHeight="1">
      <c r="A6" s="268"/>
      <c r="B6" s="268"/>
      <c r="C6" s="268"/>
      <c r="D6" s="268"/>
      <c r="E6" s="268"/>
      <c r="F6" s="268"/>
      <c r="G6" s="268"/>
    </row>
    <row r="7" spans="1:8" s="261" customFormat="1" ht="28.5" customHeight="1">
      <c r="A7" s="272" t="s">
        <v>205</v>
      </c>
      <c r="B7" s="272" t="s">
        <v>297</v>
      </c>
      <c r="C7" s="272" t="s">
        <v>298</v>
      </c>
      <c r="D7" s="272" t="s">
        <v>299</v>
      </c>
      <c r="E7" s="272" t="s">
        <v>300</v>
      </c>
      <c r="F7" s="272" t="s">
        <v>301</v>
      </c>
      <c r="G7" s="270"/>
    </row>
    <row r="8" spans="1:8" ht="20.100000000000001" customHeight="1">
      <c r="A8" s="273"/>
      <c r="B8" s="273"/>
      <c r="C8" s="273"/>
      <c r="D8" s="273"/>
      <c r="E8" s="273"/>
      <c r="F8" s="273"/>
      <c r="G8" s="263"/>
    </row>
    <row r="9" spans="1:8" ht="20.100000000000001" customHeight="1">
      <c r="A9" s="274"/>
      <c r="B9" s="274"/>
      <c r="C9" s="274"/>
      <c r="D9" s="274"/>
      <c r="E9" s="274"/>
      <c r="F9" s="274"/>
      <c r="G9" s="263"/>
    </row>
    <row r="10" spans="1:8" ht="20.100000000000001" customHeight="1">
      <c r="A10" s="274"/>
      <c r="B10" s="274"/>
      <c r="C10" s="274"/>
      <c r="D10" s="274"/>
      <c r="E10" s="274"/>
      <c r="F10" s="274"/>
      <c r="G10" s="263"/>
    </row>
    <row r="11" spans="1:8" ht="20.100000000000001" customHeight="1">
      <c r="A11" s="274"/>
      <c r="B11" s="274"/>
      <c r="C11" s="274"/>
      <c r="D11" s="274"/>
      <c r="E11" s="274"/>
      <c r="F11" s="274"/>
      <c r="G11" s="263"/>
    </row>
    <row r="12" spans="1:8" ht="20.100000000000001" customHeight="1">
      <c r="A12" s="274"/>
      <c r="B12" s="274"/>
      <c r="C12" s="274"/>
      <c r="D12" s="274"/>
      <c r="E12" s="274"/>
      <c r="F12" s="274"/>
      <c r="G12" s="263"/>
    </row>
    <row r="13" spans="1:8" ht="20.100000000000001" customHeight="1">
      <c r="A13" s="274"/>
      <c r="B13" s="274"/>
      <c r="C13" s="274"/>
      <c r="D13" s="274"/>
      <c r="E13" s="274"/>
      <c r="F13" s="274"/>
      <c r="G13" s="263"/>
    </row>
    <row r="14" spans="1:8" ht="20.100000000000001" customHeight="1">
      <c r="A14" s="274"/>
      <c r="B14" s="274"/>
      <c r="C14" s="274"/>
      <c r="D14" s="274"/>
      <c r="E14" s="274"/>
      <c r="F14" s="274"/>
      <c r="G14" s="263"/>
    </row>
    <row r="15" spans="1:8" ht="20.100000000000001" customHeight="1">
      <c r="A15" s="274"/>
      <c r="B15" s="274"/>
      <c r="C15" s="274"/>
      <c r="D15" s="274"/>
      <c r="E15" s="274"/>
      <c r="F15" s="274"/>
      <c r="G15" s="263"/>
    </row>
    <row r="16" spans="1:8" ht="20.100000000000001" customHeight="1">
      <c r="A16" s="274"/>
      <c r="B16" s="274"/>
      <c r="C16" s="274"/>
      <c r="D16" s="274"/>
      <c r="E16" s="274"/>
      <c r="F16" s="274"/>
      <c r="G16" s="263"/>
    </row>
    <row r="17" spans="1:31" ht="20.100000000000001" customHeight="1">
      <c r="A17" s="274"/>
      <c r="B17" s="274"/>
      <c r="C17" s="274"/>
      <c r="D17" s="274"/>
      <c r="E17" s="274"/>
      <c r="F17" s="274"/>
      <c r="G17" s="263"/>
    </row>
    <row r="18" spans="1:31" ht="20.100000000000001" customHeight="1">
      <c r="A18" s="274"/>
      <c r="B18" s="274"/>
      <c r="C18" s="274"/>
      <c r="D18" s="274"/>
      <c r="E18" s="274"/>
      <c r="F18" s="274"/>
      <c r="G18" s="263"/>
    </row>
    <row r="19" spans="1:31" ht="20.100000000000001" customHeight="1">
      <c r="A19" s="274"/>
      <c r="B19" s="274"/>
      <c r="C19" s="274"/>
      <c r="D19" s="274"/>
      <c r="E19" s="274"/>
      <c r="F19" s="274"/>
      <c r="G19" s="263"/>
    </row>
    <row r="20" spans="1:31" ht="20.100000000000001" customHeight="1">
      <c r="A20" s="274"/>
      <c r="B20" s="274"/>
      <c r="C20" s="274"/>
      <c r="D20" s="274"/>
      <c r="E20" s="274"/>
      <c r="F20" s="274"/>
      <c r="G20" s="263"/>
    </row>
    <row r="21" spans="1:31" ht="20.100000000000001" customHeight="1">
      <c r="A21" s="274"/>
      <c r="B21" s="274"/>
      <c r="C21" s="274"/>
      <c r="D21" s="274"/>
      <c r="E21" s="274"/>
      <c r="F21" s="274"/>
      <c r="G21" s="263"/>
    </row>
    <row r="22" spans="1:31" ht="20.100000000000001" customHeight="1">
      <c r="A22" s="274"/>
      <c r="B22" s="274"/>
      <c r="C22" s="274"/>
      <c r="D22" s="274"/>
      <c r="E22" s="274"/>
      <c r="F22" s="274"/>
      <c r="G22" s="263"/>
    </row>
    <row r="23" spans="1:31" ht="20.100000000000001" customHeight="1">
      <c r="A23" s="274"/>
      <c r="B23" s="274"/>
      <c r="C23" s="274"/>
      <c r="D23" s="274"/>
      <c r="E23" s="274"/>
      <c r="F23" s="274"/>
      <c r="G23" s="263"/>
    </row>
    <row r="24" spans="1:31" ht="20.100000000000001" customHeight="1">
      <c r="A24" s="274"/>
      <c r="B24" s="274"/>
      <c r="C24" s="274"/>
      <c r="D24" s="274"/>
      <c r="E24" s="274"/>
      <c r="F24" s="274"/>
      <c r="G24" s="263"/>
    </row>
    <row r="25" spans="1:31" ht="20.100000000000001" customHeight="1">
      <c r="A25" s="274"/>
      <c r="B25" s="274"/>
      <c r="C25" s="274"/>
      <c r="D25" s="274"/>
      <c r="E25" s="274"/>
      <c r="F25" s="274"/>
      <c r="G25" s="263"/>
    </row>
    <row r="26" spans="1:31" ht="20.100000000000001" customHeight="1">
      <c r="A26" s="274"/>
      <c r="B26" s="274"/>
      <c r="C26" s="274"/>
      <c r="D26" s="274"/>
      <c r="E26" s="274"/>
      <c r="F26" s="274"/>
      <c r="G26" s="263"/>
    </row>
    <row r="27" spans="1:31" ht="20.100000000000001" customHeight="1">
      <c r="A27" s="274"/>
      <c r="B27" s="274"/>
      <c r="C27" s="274"/>
      <c r="D27" s="274"/>
      <c r="E27" s="274"/>
      <c r="F27" s="274"/>
      <c r="G27" s="263"/>
    </row>
    <row r="28" spans="1:31" ht="20.100000000000001" customHeight="1">
      <c r="A28" s="274"/>
      <c r="B28" s="274"/>
      <c r="C28" s="274"/>
      <c r="D28" s="274"/>
      <c r="E28" s="274"/>
      <c r="F28" s="274"/>
      <c r="G28" s="263"/>
    </row>
    <row r="29" spans="1:31" ht="12" customHeight="1">
      <c r="A29" s="263"/>
      <c r="B29" s="263"/>
      <c r="C29" s="263"/>
      <c r="D29" s="263"/>
      <c r="E29" s="263"/>
      <c r="F29" s="263"/>
      <c r="G29" s="263"/>
    </row>
    <row r="30" spans="1:31" ht="15" customHeight="1">
      <c r="A30" s="263"/>
      <c r="B30" s="66"/>
      <c r="C30" s="95"/>
      <c r="D30" s="95"/>
      <c r="E30" s="95"/>
      <c r="F30" s="66"/>
      <c r="G30" s="72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Z30" s="278"/>
      <c r="AA30" s="275"/>
      <c r="AB30" s="275"/>
      <c r="AC30" s="275"/>
      <c r="AD30" s="275"/>
      <c r="AE30" s="275"/>
    </row>
    <row r="31" spans="1:31" ht="15" customHeight="1">
      <c r="A31" s="263"/>
      <c r="B31" s="66"/>
      <c r="C31" s="95"/>
      <c r="D31" s="95"/>
      <c r="E31" s="95"/>
      <c r="F31" s="66" t="s">
        <v>228</v>
      </c>
      <c r="G31"/>
      <c r="H31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Z31" s="278"/>
      <c r="AA31" s="275"/>
      <c r="AB31" s="275"/>
      <c r="AC31" s="275"/>
      <c r="AD31" s="275"/>
      <c r="AE31" s="275"/>
    </row>
    <row r="32" spans="1:31" ht="15" customHeight="1">
      <c r="A32" s="263"/>
      <c r="B32" s="95" t="s">
        <v>171</v>
      </c>
      <c r="C32" s="66"/>
      <c r="D32" s="95"/>
      <c r="E32" s="95"/>
      <c r="F32" s="66"/>
      <c r="G32"/>
      <c r="H32"/>
      <c r="J32" s="275"/>
      <c r="K32" s="275"/>
      <c r="L32" s="275"/>
      <c r="M32" s="275"/>
      <c r="N32" s="275"/>
      <c r="P32" s="277"/>
      <c r="Q32" s="275"/>
      <c r="R32" s="275"/>
      <c r="S32" s="275"/>
      <c r="T32" s="275"/>
      <c r="U32" s="275"/>
      <c r="V32" s="275"/>
      <c r="W32" s="275"/>
      <c r="X32" s="275"/>
      <c r="Z32" s="278"/>
      <c r="AA32" s="275"/>
      <c r="AB32" s="275"/>
      <c r="AC32" s="275"/>
      <c r="AD32" s="275"/>
      <c r="AE32" s="275"/>
    </row>
    <row r="33" spans="1:31" ht="15" customHeight="1">
      <c r="A33" s="263"/>
      <c r="B33" s="95" t="s">
        <v>172</v>
      </c>
      <c r="C33" s="276" t="s">
        <v>229</v>
      </c>
      <c r="E33" s="95" t="s">
        <v>196</v>
      </c>
      <c r="F33" s="66" t="s">
        <v>178</v>
      </c>
      <c r="G33"/>
      <c r="H33" s="95"/>
      <c r="J33" s="275"/>
      <c r="K33" s="275"/>
      <c r="L33" s="275"/>
      <c r="M33" s="275"/>
      <c r="N33" s="275"/>
      <c r="P33" s="277"/>
      <c r="Q33" s="275"/>
      <c r="R33" s="275"/>
      <c r="S33" s="275"/>
      <c r="T33" s="275"/>
      <c r="U33" s="275"/>
      <c r="V33" s="275"/>
      <c r="W33" s="275"/>
      <c r="X33" s="275"/>
      <c r="Z33" s="278"/>
      <c r="AA33" s="275"/>
      <c r="AB33" s="275"/>
      <c r="AC33" s="275"/>
      <c r="AD33" s="275"/>
      <c r="AE33" s="275"/>
    </row>
    <row r="34" spans="1:31" ht="15" customHeight="1">
      <c r="A34" s="263"/>
      <c r="B34" s="95"/>
      <c r="C34" s="95"/>
      <c r="E34" s="66"/>
      <c r="F34"/>
      <c r="G34"/>
      <c r="H34" s="66"/>
      <c r="J34" s="275"/>
      <c r="K34" s="275"/>
      <c r="L34" s="275"/>
      <c r="M34" s="275"/>
      <c r="N34" s="275"/>
      <c r="P34" s="277"/>
      <c r="Q34" s="275"/>
      <c r="R34" s="275"/>
      <c r="S34" s="275"/>
      <c r="T34" s="275"/>
      <c r="U34" s="275"/>
      <c r="V34" s="275"/>
      <c r="W34" s="275"/>
      <c r="X34" s="275"/>
      <c r="Z34" s="278"/>
      <c r="AA34" s="275"/>
      <c r="AB34" s="275"/>
      <c r="AC34" s="275"/>
      <c r="AD34" s="275"/>
      <c r="AE34" s="275"/>
    </row>
    <row r="35" spans="1:31">
      <c r="A35" s="263"/>
      <c r="B35" s="95"/>
      <c r="C35" s="95"/>
      <c r="E35" s="66"/>
      <c r="F35"/>
      <c r="G35"/>
      <c r="H35" s="66"/>
      <c r="J35" s="275"/>
      <c r="K35" s="275"/>
      <c r="L35" s="275"/>
      <c r="M35" s="275"/>
      <c r="N35" s="275"/>
      <c r="P35" s="277"/>
      <c r="Q35" s="275"/>
      <c r="R35" s="275"/>
      <c r="S35" s="275"/>
      <c r="T35" s="275"/>
      <c r="U35" s="275"/>
      <c r="V35" s="275"/>
      <c r="W35" s="275"/>
      <c r="X35" s="275"/>
      <c r="Z35" s="278"/>
      <c r="AA35" s="275"/>
      <c r="AB35" s="275"/>
      <c r="AC35" s="275"/>
      <c r="AD35" s="275"/>
      <c r="AE35" s="275"/>
    </row>
    <row r="36" spans="1:31">
      <c r="A36" s="263"/>
      <c r="B36" s="95"/>
      <c r="C36" s="95"/>
      <c r="E36" s="66"/>
      <c r="F36"/>
      <c r="G36"/>
      <c r="H36" s="66"/>
      <c r="J36" s="275"/>
      <c r="K36" s="275"/>
      <c r="L36" s="275"/>
      <c r="M36" s="275"/>
      <c r="N36" s="275"/>
      <c r="P36" s="277"/>
      <c r="Q36" s="275"/>
      <c r="R36" s="275"/>
      <c r="S36" s="275"/>
      <c r="T36" s="275"/>
      <c r="U36" s="275"/>
      <c r="V36" s="275"/>
      <c r="W36" s="275"/>
      <c r="X36" s="275"/>
      <c r="Z36" s="278"/>
      <c r="AA36" s="275"/>
      <c r="AB36" s="275"/>
      <c r="AC36" s="275"/>
      <c r="AD36" s="275"/>
      <c r="AE36" s="275"/>
    </row>
    <row r="37" spans="1:31">
      <c r="A37" s="263"/>
      <c r="B37" s="95" t="str">
        <f>'KKTP (10)'!G47</f>
        <v>WIDADA, S.Pd., M.Pd.</v>
      </c>
      <c r="C37" s="95" t="str">
        <f>'KKTP (10)'!I47</f>
        <v>GUNAWAN, S.Pd., M.M.</v>
      </c>
      <c r="E37" s="95" t="str">
        <f>'KKTP (10)'!J47</f>
        <v>Drs. M. Hasannuddin</v>
      </c>
      <c r="F37" s="95" t="str">
        <f>'KKTP (10)'!N47</f>
        <v>Hermawan Rochmadi, S. Pd.</v>
      </c>
      <c r="G37" s="95"/>
      <c r="H37" s="95"/>
    </row>
    <row r="38" spans="1:31">
      <c r="A38" s="263"/>
      <c r="B38" s="95" t="str">
        <f>'KKTP (10)'!G48</f>
        <v>NIP. 19690212 200012 1 002</v>
      </c>
      <c r="C38" s="95" t="str">
        <f>'KKTP (10)'!I48</f>
        <v>NIP. 19711213 200501 1 004</v>
      </c>
      <c r="E38" s="95" t="str">
        <f>'KKTP (10)'!J48</f>
        <v>NIP. 19670621 199412 1 003</v>
      </c>
      <c r="F38" s="95" t="str">
        <f>'KKTP (10)'!N48</f>
        <v>NIP. 19920317 201903 1 009</v>
      </c>
      <c r="G38" s="95"/>
      <c r="H38" s="95"/>
    </row>
    <row r="39" spans="1:31">
      <c r="A39" s="263"/>
      <c r="B39" s="263"/>
      <c r="C39" s="263"/>
      <c r="D39" s="263"/>
      <c r="E39" s="263"/>
      <c r="F39" s="263"/>
      <c r="G39" s="263"/>
    </row>
    <row r="40" spans="1:31">
      <c r="A40" s="263"/>
      <c r="B40" s="263"/>
      <c r="C40" s="263"/>
      <c r="D40" s="263"/>
      <c r="E40" s="263"/>
      <c r="F40" s="263"/>
      <c r="G40" s="263"/>
    </row>
    <row r="41" spans="1:31">
      <c r="A41" s="263"/>
      <c r="B41" s="263"/>
      <c r="C41" s="263"/>
      <c r="D41" s="263"/>
      <c r="E41" s="263"/>
      <c r="F41" s="263"/>
      <c r="G41" s="263"/>
    </row>
  </sheetData>
  <mergeCells count="1">
    <mergeCell ref="A3:F3"/>
  </mergeCells>
  <pageMargins left="0.98425196850393704" right="1.33858267716535" top="0.59055118110236204" bottom="0.23622047244094499" header="0.31496062992126" footer="0.31496062992126"/>
  <pageSetup paperSize="5" scale="8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R50"/>
  <sheetViews>
    <sheetView topLeftCell="Q1" zoomScale="75" zoomScaleNormal="75" workbookViewId="0">
      <selection activeCell="L4" sqref="L4"/>
    </sheetView>
  </sheetViews>
  <sheetFormatPr defaultColWidth="9.140625" defaultRowHeight="16.5"/>
  <cols>
    <col min="1" max="1" width="3.7109375" style="242" customWidth="1"/>
    <col min="2" max="2" width="23.28515625" style="242" customWidth="1"/>
    <col min="3" max="3" width="9.140625" style="242" customWidth="1"/>
    <col min="4" max="4" width="4.28515625" style="242" customWidth="1"/>
    <col min="5" max="5" width="4.5703125" style="242" customWidth="1"/>
    <col min="6" max="7" width="4.42578125" style="242" customWidth="1"/>
    <col min="8" max="8" width="4.140625" style="242" customWidth="1"/>
    <col min="9" max="9" width="4.28515625" style="242" customWidth="1"/>
    <col min="10" max="10" width="4.5703125" style="242" customWidth="1"/>
    <col min="11" max="13" width="4.28515625" style="242" customWidth="1"/>
    <col min="14" max="14" width="4.5703125" style="242" customWidth="1"/>
    <col min="15" max="15" width="4.42578125" style="242" customWidth="1"/>
    <col min="16" max="16" width="4.140625" style="242" customWidth="1"/>
    <col min="17" max="17" width="4.42578125" style="242" customWidth="1"/>
    <col min="18" max="18" width="4.28515625" style="242" customWidth="1"/>
    <col min="19" max="19" width="4.5703125" style="242" customWidth="1"/>
    <col min="20" max="20" width="4.42578125" style="242" customWidth="1"/>
    <col min="21" max="22" width="4.5703125" style="242" customWidth="1"/>
    <col min="23" max="24" width="4.42578125" style="242" customWidth="1"/>
    <col min="25" max="25" width="3.85546875" style="242" customWidth="1"/>
    <col min="26" max="27" width="4.28515625" style="242" customWidth="1"/>
    <col min="28" max="29" width="4.42578125" style="242" customWidth="1"/>
    <col min="30" max="30" width="4.5703125" style="242" customWidth="1"/>
    <col min="31" max="31" width="4.28515625" style="242" customWidth="1"/>
    <col min="32" max="32" width="4" style="242" customWidth="1"/>
    <col min="33" max="33" width="4.140625" style="242" customWidth="1"/>
    <col min="34" max="36" width="4.28515625" style="242" customWidth="1"/>
    <col min="37" max="37" width="2.85546875" style="242" customWidth="1"/>
    <col min="38" max="38" width="3.140625" style="242" customWidth="1"/>
    <col min="39" max="39" width="2.85546875" style="242" customWidth="1"/>
    <col min="40" max="40" width="11.140625" style="242" customWidth="1"/>
    <col min="41" max="41" width="10.42578125" style="242" customWidth="1"/>
    <col min="42" max="16384" width="9.140625" style="242"/>
  </cols>
  <sheetData>
    <row r="1" spans="1:44">
      <c r="AL1" s="252"/>
      <c r="AM1" s="695" t="s">
        <v>302</v>
      </c>
      <c r="AN1" s="695"/>
      <c r="AO1" s="695"/>
      <c r="AP1" s="696"/>
      <c r="AQ1" s="696"/>
      <c r="AR1" s="696"/>
    </row>
    <row r="2" spans="1:44">
      <c r="A2" s="697" t="s">
        <v>303</v>
      </c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  <c r="Y2" s="697"/>
      <c r="Z2" s="697"/>
      <c r="AA2" s="697"/>
      <c r="AB2" s="697"/>
      <c r="AC2" s="697"/>
      <c r="AD2" s="697"/>
      <c r="AE2" s="697"/>
      <c r="AF2" s="697"/>
      <c r="AG2" s="697"/>
      <c r="AH2" s="697"/>
      <c r="AI2" s="697"/>
      <c r="AJ2" s="697"/>
      <c r="AK2" s="697"/>
      <c r="AL2" s="698"/>
      <c r="AM2" s="699">
        <v>45117</v>
      </c>
      <c r="AN2" s="699"/>
      <c r="AO2" s="699"/>
      <c r="AP2" s="700"/>
      <c r="AQ2" s="700"/>
      <c r="AR2" s="700"/>
    </row>
    <row r="3" spans="1:44" ht="8.25" customHeight="1">
      <c r="A3" s="243"/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</row>
    <row r="4" spans="1:44">
      <c r="A4" s="175" t="s">
        <v>304</v>
      </c>
      <c r="B4" s="176"/>
      <c r="C4" s="177"/>
      <c r="D4" s="177"/>
      <c r="E4" s="177"/>
      <c r="F4" s="175" t="s">
        <v>305</v>
      </c>
      <c r="G4" s="173"/>
      <c r="H4" s="175"/>
      <c r="I4" s="175"/>
      <c r="J4" s="175"/>
      <c r="K4" s="175"/>
      <c r="L4" s="175" t="s">
        <v>306</v>
      </c>
      <c r="M4" s="173"/>
      <c r="N4" s="173"/>
      <c r="O4" s="175"/>
      <c r="P4" s="175"/>
      <c r="Q4" s="175"/>
      <c r="R4" s="175"/>
      <c r="S4" s="175"/>
      <c r="T4" s="175"/>
      <c r="U4" s="173"/>
      <c r="V4" s="177"/>
      <c r="W4" s="177"/>
      <c r="X4" s="175" t="s">
        <v>307</v>
      </c>
      <c r="Y4" s="173"/>
      <c r="Z4" s="173"/>
      <c r="AA4" s="175"/>
      <c r="AB4" s="175"/>
      <c r="AC4" s="175"/>
      <c r="AD4" s="173"/>
      <c r="AE4" s="175"/>
      <c r="AF4" s="175" t="s">
        <v>308</v>
      </c>
      <c r="AG4" s="175"/>
      <c r="AH4" s="175"/>
      <c r="AI4" s="173"/>
      <c r="AJ4" s="175"/>
      <c r="AK4" s="175"/>
      <c r="AL4" s="175"/>
      <c r="AM4" s="175"/>
      <c r="AN4" s="175"/>
      <c r="AO4" s="208"/>
    </row>
    <row r="5" spans="1:44" ht="9" customHeight="1">
      <c r="A5" s="173"/>
      <c r="B5" s="175"/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</row>
    <row r="6" spans="1:44" ht="15" customHeight="1">
      <c r="A6" s="713" t="s">
        <v>205</v>
      </c>
      <c r="B6" s="716" t="s">
        <v>309</v>
      </c>
      <c r="C6" s="701" t="s">
        <v>310</v>
      </c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  <c r="Y6" s="702"/>
      <c r="Z6" s="702"/>
      <c r="AA6" s="702"/>
      <c r="AB6" s="702"/>
      <c r="AC6" s="702"/>
      <c r="AD6" s="702"/>
      <c r="AE6" s="702"/>
      <c r="AF6" s="702"/>
      <c r="AG6" s="702"/>
      <c r="AH6" s="702"/>
      <c r="AI6" s="702"/>
      <c r="AJ6" s="702"/>
      <c r="AK6" s="702"/>
      <c r="AL6" s="702"/>
      <c r="AM6" s="702"/>
      <c r="AN6" s="702"/>
      <c r="AO6" s="703"/>
    </row>
    <row r="7" spans="1:44" ht="25.5" customHeight="1">
      <c r="A7" s="714"/>
      <c r="B7" s="717"/>
      <c r="C7" s="178" t="s">
        <v>311</v>
      </c>
      <c r="D7" s="701">
        <v>1</v>
      </c>
      <c r="E7" s="704"/>
      <c r="F7" s="705"/>
      <c r="G7" s="701">
        <v>2</v>
      </c>
      <c r="H7" s="704"/>
      <c r="I7" s="705"/>
      <c r="J7" s="701">
        <v>3</v>
      </c>
      <c r="K7" s="704"/>
      <c r="L7" s="705"/>
      <c r="M7" s="701">
        <v>4</v>
      </c>
      <c r="N7" s="704"/>
      <c r="O7" s="705"/>
      <c r="P7" s="701">
        <v>5</v>
      </c>
      <c r="Q7" s="704"/>
      <c r="R7" s="705"/>
      <c r="S7" s="701">
        <v>6</v>
      </c>
      <c r="T7" s="704"/>
      <c r="U7" s="705"/>
      <c r="V7" s="701">
        <v>7</v>
      </c>
      <c r="W7" s="704"/>
      <c r="X7" s="705"/>
      <c r="Y7" s="701">
        <v>8</v>
      </c>
      <c r="Z7" s="704"/>
      <c r="AA7" s="705"/>
      <c r="AB7" s="701">
        <v>9</v>
      </c>
      <c r="AC7" s="704"/>
      <c r="AD7" s="705"/>
      <c r="AE7" s="701" t="s">
        <v>186</v>
      </c>
      <c r="AF7" s="702"/>
      <c r="AG7" s="703"/>
      <c r="AH7" s="701" t="s">
        <v>312</v>
      </c>
      <c r="AI7" s="706"/>
      <c r="AJ7" s="706"/>
      <c r="AK7" s="722" t="s">
        <v>313</v>
      </c>
      <c r="AL7" s="723"/>
      <c r="AM7" s="724"/>
      <c r="AN7" s="719" t="s">
        <v>314</v>
      </c>
      <c r="AO7" s="719" t="s">
        <v>315</v>
      </c>
    </row>
    <row r="8" spans="1:44" ht="15" customHeight="1">
      <c r="A8" s="714"/>
      <c r="B8" s="717"/>
      <c r="C8" s="178" t="s">
        <v>316</v>
      </c>
      <c r="D8" s="730"/>
      <c r="E8" s="731"/>
      <c r="F8" s="732"/>
      <c r="G8" s="730"/>
      <c r="H8" s="731"/>
      <c r="I8" s="732"/>
      <c r="J8" s="730"/>
      <c r="K8" s="731"/>
      <c r="L8" s="732"/>
      <c r="M8" s="730"/>
      <c r="N8" s="731"/>
      <c r="O8" s="732"/>
      <c r="P8" s="730"/>
      <c r="Q8" s="731"/>
      <c r="R8" s="732"/>
      <c r="S8" s="730"/>
      <c r="T8" s="731"/>
      <c r="U8" s="732"/>
      <c r="V8" s="730"/>
      <c r="W8" s="731"/>
      <c r="X8" s="732"/>
      <c r="Y8" s="730"/>
      <c r="Z8" s="731"/>
      <c r="AA8" s="732"/>
      <c r="AB8" s="730"/>
      <c r="AC8" s="731"/>
      <c r="AD8" s="732"/>
      <c r="AE8" s="730"/>
      <c r="AF8" s="731"/>
      <c r="AG8" s="732"/>
      <c r="AH8" s="730"/>
      <c r="AI8" s="731"/>
      <c r="AJ8" s="731"/>
      <c r="AK8" s="725"/>
      <c r="AL8" s="697"/>
      <c r="AM8" s="726"/>
      <c r="AN8" s="720"/>
      <c r="AO8" s="720"/>
    </row>
    <row r="9" spans="1:44">
      <c r="A9" s="715"/>
      <c r="B9" s="718"/>
      <c r="C9" s="178" t="s">
        <v>317</v>
      </c>
      <c r="D9" s="179" t="s">
        <v>318</v>
      </c>
      <c r="E9" s="180" t="s">
        <v>319</v>
      </c>
      <c r="F9" s="181" t="s">
        <v>314</v>
      </c>
      <c r="G9" s="179" t="s">
        <v>318</v>
      </c>
      <c r="H9" s="180" t="s">
        <v>319</v>
      </c>
      <c r="I9" s="181" t="s">
        <v>314</v>
      </c>
      <c r="J9" s="179" t="s">
        <v>318</v>
      </c>
      <c r="K9" s="180" t="s">
        <v>319</v>
      </c>
      <c r="L9" s="181" t="s">
        <v>314</v>
      </c>
      <c r="M9" s="179" t="s">
        <v>318</v>
      </c>
      <c r="N9" s="180" t="s">
        <v>319</v>
      </c>
      <c r="O9" s="181" t="s">
        <v>314</v>
      </c>
      <c r="P9" s="179" t="s">
        <v>318</v>
      </c>
      <c r="Q9" s="180" t="s">
        <v>319</v>
      </c>
      <c r="R9" s="181" t="s">
        <v>314</v>
      </c>
      <c r="S9" s="179" t="s">
        <v>318</v>
      </c>
      <c r="T9" s="180" t="s">
        <v>319</v>
      </c>
      <c r="U9" s="181" t="s">
        <v>314</v>
      </c>
      <c r="V9" s="179" t="s">
        <v>318</v>
      </c>
      <c r="W9" s="180" t="s">
        <v>319</v>
      </c>
      <c r="X9" s="181" t="s">
        <v>314</v>
      </c>
      <c r="Y9" s="179" t="s">
        <v>318</v>
      </c>
      <c r="Z9" s="180" t="s">
        <v>319</v>
      </c>
      <c r="AA9" s="181" t="s">
        <v>314</v>
      </c>
      <c r="AB9" s="179" t="s">
        <v>318</v>
      </c>
      <c r="AC9" s="180" t="s">
        <v>319</v>
      </c>
      <c r="AD9" s="181" t="s">
        <v>314</v>
      </c>
      <c r="AE9" s="179" t="s">
        <v>318</v>
      </c>
      <c r="AF9" s="180" t="s">
        <v>319</v>
      </c>
      <c r="AG9" s="181" t="s">
        <v>314</v>
      </c>
      <c r="AH9" s="179" t="s">
        <v>318</v>
      </c>
      <c r="AI9" s="180" t="s">
        <v>319</v>
      </c>
      <c r="AJ9" s="253" t="s">
        <v>314</v>
      </c>
      <c r="AK9" s="727"/>
      <c r="AL9" s="728"/>
      <c r="AM9" s="729"/>
      <c r="AN9" s="721"/>
      <c r="AO9" s="721"/>
    </row>
    <row r="10" spans="1:44">
      <c r="A10" s="182">
        <v>1</v>
      </c>
      <c r="B10" s="244"/>
      <c r="C10" s="245"/>
      <c r="D10" s="188"/>
      <c r="E10" s="186"/>
      <c r="F10" s="187"/>
      <c r="G10" s="188"/>
      <c r="H10" s="186"/>
      <c r="I10" s="187"/>
      <c r="J10" s="188"/>
      <c r="K10" s="186"/>
      <c r="L10" s="187"/>
      <c r="M10" s="188"/>
      <c r="N10" s="186"/>
      <c r="O10" s="187"/>
      <c r="P10" s="188"/>
      <c r="Q10" s="186"/>
      <c r="R10" s="187"/>
      <c r="S10" s="188"/>
      <c r="T10" s="186"/>
      <c r="U10" s="187"/>
      <c r="V10" s="188"/>
      <c r="W10" s="186"/>
      <c r="X10" s="187"/>
      <c r="Y10" s="188"/>
      <c r="Z10" s="186"/>
      <c r="AA10" s="187"/>
      <c r="AB10" s="188"/>
      <c r="AC10" s="186"/>
      <c r="AD10" s="187"/>
      <c r="AE10" s="188"/>
      <c r="AF10" s="186"/>
      <c r="AG10" s="187"/>
      <c r="AH10" s="188"/>
      <c r="AI10" s="186"/>
      <c r="AJ10" s="217"/>
      <c r="AK10" s="218"/>
      <c r="AL10" s="229"/>
      <c r="AM10" s="230"/>
      <c r="AN10" s="254"/>
      <c r="AO10" s="254"/>
    </row>
    <row r="11" spans="1:44">
      <c r="A11" s="189">
        <v>2</v>
      </c>
      <c r="B11" s="246"/>
      <c r="C11" s="196"/>
      <c r="D11" s="195"/>
      <c r="E11" s="193"/>
      <c r="F11" s="194"/>
      <c r="G11" s="195"/>
      <c r="H11" s="193"/>
      <c r="I11" s="194"/>
      <c r="J11" s="195"/>
      <c r="K11" s="193"/>
      <c r="L11" s="194"/>
      <c r="M11" s="195"/>
      <c r="N11" s="193"/>
      <c r="O11" s="194"/>
      <c r="P11" s="195"/>
      <c r="Q11" s="193"/>
      <c r="R11" s="194"/>
      <c r="S11" s="195"/>
      <c r="T11" s="193"/>
      <c r="U11" s="194"/>
      <c r="V11" s="195"/>
      <c r="W11" s="193"/>
      <c r="X11" s="194"/>
      <c r="Y11" s="195"/>
      <c r="Z11" s="193"/>
      <c r="AA11" s="194"/>
      <c r="AB11" s="195"/>
      <c r="AC11" s="193"/>
      <c r="AD11" s="194"/>
      <c r="AE11" s="195"/>
      <c r="AF11" s="193"/>
      <c r="AG11" s="194"/>
      <c r="AH11" s="195"/>
      <c r="AI11" s="193"/>
      <c r="AJ11" s="219"/>
      <c r="AK11" s="255"/>
      <c r="AL11" s="256"/>
      <c r="AM11" s="257"/>
      <c r="AN11" s="254"/>
      <c r="AO11" s="254"/>
    </row>
    <row r="12" spans="1:44">
      <c r="A12" s="189">
        <v>3</v>
      </c>
      <c r="B12" s="246"/>
      <c r="C12" s="196"/>
      <c r="D12" s="195"/>
      <c r="E12" s="193"/>
      <c r="F12" s="194"/>
      <c r="G12" s="195"/>
      <c r="H12" s="193"/>
      <c r="I12" s="194"/>
      <c r="J12" s="195"/>
      <c r="K12" s="193"/>
      <c r="L12" s="194"/>
      <c r="M12" s="195"/>
      <c r="N12" s="193"/>
      <c r="O12" s="194"/>
      <c r="P12" s="195"/>
      <c r="Q12" s="193"/>
      <c r="R12" s="194"/>
      <c r="S12" s="195"/>
      <c r="T12" s="193"/>
      <c r="U12" s="194"/>
      <c r="V12" s="195"/>
      <c r="W12" s="193"/>
      <c r="X12" s="194"/>
      <c r="Y12" s="195"/>
      <c r="Z12" s="193"/>
      <c r="AA12" s="194"/>
      <c r="AB12" s="195"/>
      <c r="AC12" s="193"/>
      <c r="AD12" s="194"/>
      <c r="AE12" s="195"/>
      <c r="AF12" s="193"/>
      <c r="AG12" s="194"/>
      <c r="AH12" s="195"/>
      <c r="AI12" s="193"/>
      <c r="AJ12" s="219"/>
      <c r="AK12" s="221"/>
      <c r="AL12" s="236"/>
      <c r="AM12" s="237"/>
      <c r="AN12" s="254"/>
      <c r="AO12" s="254"/>
    </row>
    <row r="13" spans="1:44">
      <c r="A13" s="189">
        <v>4</v>
      </c>
      <c r="B13" s="246"/>
      <c r="C13" s="196"/>
      <c r="D13" s="195"/>
      <c r="E13" s="193"/>
      <c r="F13" s="194"/>
      <c r="G13" s="195"/>
      <c r="H13" s="193"/>
      <c r="I13" s="194"/>
      <c r="J13" s="195"/>
      <c r="K13" s="193"/>
      <c r="L13" s="194"/>
      <c r="M13" s="195"/>
      <c r="N13" s="193"/>
      <c r="O13" s="194"/>
      <c r="P13" s="195"/>
      <c r="Q13" s="193"/>
      <c r="R13" s="194"/>
      <c r="S13" s="195"/>
      <c r="T13" s="193"/>
      <c r="U13" s="194"/>
      <c r="V13" s="195"/>
      <c r="W13" s="193"/>
      <c r="X13" s="194"/>
      <c r="Y13" s="195"/>
      <c r="Z13" s="193"/>
      <c r="AA13" s="194"/>
      <c r="AB13" s="195"/>
      <c r="AC13" s="193"/>
      <c r="AD13" s="194"/>
      <c r="AE13" s="195"/>
      <c r="AF13" s="193"/>
      <c r="AG13" s="194"/>
      <c r="AH13" s="195"/>
      <c r="AI13" s="193"/>
      <c r="AJ13" s="219"/>
      <c r="AK13" s="220"/>
      <c r="AL13" s="233"/>
      <c r="AM13" s="234"/>
      <c r="AN13" s="254"/>
      <c r="AO13" s="254"/>
    </row>
    <row r="14" spans="1:44">
      <c r="A14" s="189">
        <v>5</v>
      </c>
      <c r="B14" s="246"/>
      <c r="C14" s="196"/>
      <c r="D14" s="195"/>
      <c r="E14" s="193"/>
      <c r="F14" s="194"/>
      <c r="G14" s="195"/>
      <c r="H14" s="193"/>
      <c r="I14" s="194"/>
      <c r="J14" s="195"/>
      <c r="K14" s="193"/>
      <c r="L14" s="194"/>
      <c r="M14" s="195"/>
      <c r="N14" s="193"/>
      <c r="O14" s="194"/>
      <c r="P14" s="195"/>
      <c r="Q14" s="193"/>
      <c r="R14" s="194"/>
      <c r="S14" s="195"/>
      <c r="T14" s="193"/>
      <c r="U14" s="194"/>
      <c r="V14" s="195"/>
      <c r="W14" s="193"/>
      <c r="X14" s="194"/>
      <c r="Y14" s="195"/>
      <c r="Z14" s="193"/>
      <c r="AA14" s="194"/>
      <c r="AB14" s="195"/>
      <c r="AC14" s="193"/>
      <c r="AD14" s="194"/>
      <c r="AE14" s="195"/>
      <c r="AF14" s="193"/>
      <c r="AG14" s="194"/>
      <c r="AH14" s="195"/>
      <c r="AI14" s="193"/>
      <c r="AJ14" s="219"/>
      <c r="AK14" s="221"/>
      <c r="AL14" s="236"/>
      <c r="AM14" s="237"/>
      <c r="AN14" s="254"/>
      <c r="AO14" s="254"/>
    </row>
    <row r="15" spans="1:44">
      <c r="A15" s="189">
        <v>6</v>
      </c>
      <c r="B15" s="246"/>
      <c r="C15" s="196"/>
      <c r="D15" s="195"/>
      <c r="E15" s="193"/>
      <c r="F15" s="194"/>
      <c r="G15" s="195"/>
      <c r="H15" s="193"/>
      <c r="I15" s="194"/>
      <c r="J15" s="195"/>
      <c r="K15" s="193"/>
      <c r="L15" s="194"/>
      <c r="M15" s="195"/>
      <c r="N15" s="193"/>
      <c r="O15" s="194"/>
      <c r="P15" s="195"/>
      <c r="Q15" s="193"/>
      <c r="R15" s="194"/>
      <c r="S15" s="195"/>
      <c r="T15" s="193"/>
      <c r="U15" s="194"/>
      <c r="V15" s="195"/>
      <c r="W15" s="193"/>
      <c r="X15" s="194"/>
      <c r="Y15" s="195"/>
      <c r="Z15" s="193"/>
      <c r="AA15" s="194"/>
      <c r="AB15" s="195"/>
      <c r="AC15" s="193"/>
      <c r="AD15" s="194"/>
      <c r="AE15" s="195"/>
      <c r="AF15" s="193"/>
      <c r="AG15" s="194"/>
      <c r="AH15" s="195"/>
      <c r="AI15" s="193"/>
      <c r="AJ15" s="219"/>
      <c r="AK15" s="220"/>
      <c r="AL15" s="233"/>
      <c r="AM15" s="234"/>
      <c r="AN15" s="254"/>
      <c r="AO15" s="254"/>
    </row>
    <row r="16" spans="1:44">
      <c r="A16" s="189">
        <v>7</v>
      </c>
      <c r="B16" s="246"/>
      <c r="C16" s="196"/>
      <c r="D16" s="195"/>
      <c r="E16" s="193"/>
      <c r="F16" s="194"/>
      <c r="G16" s="195"/>
      <c r="H16" s="193"/>
      <c r="I16" s="194"/>
      <c r="J16" s="195"/>
      <c r="K16" s="193"/>
      <c r="L16" s="194"/>
      <c r="M16" s="195"/>
      <c r="N16" s="193"/>
      <c r="O16" s="194"/>
      <c r="P16" s="195"/>
      <c r="Q16" s="193"/>
      <c r="R16" s="194"/>
      <c r="S16" s="195"/>
      <c r="T16" s="193"/>
      <c r="U16" s="194"/>
      <c r="V16" s="195"/>
      <c r="W16" s="193"/>
      <c r="X16" s="194"/>
      <c r="Y16" s="195"/>
      <c r="Z16" s="193"/>
      <c r="AA16" s="194"/>
      <c r="AB16" s="195"/>
      <c r="AC16" s="193"/>
      <c r="AD16" s="194"/>
      <c r="AE16" s="195"/>
      <c r="AF16" s="193"/>
      <c r="AG16" s="194"/>
      <c r="AH16" s="195"/>
      <c r="AI16" s="193"/>
      <c r="AJ16" s="219"/>
      <c r="AK16" s="221"/>
      <c r="AL16" s="236"/>
      <c r="AM16" s="237"/>
      <c r="AN16" s="254"/>
      <c r="AO16" s="254"/>
    </row>
    <row r="17" spans="1:41">
      <c r="A17" s="189">
        <v>8</v>
      </c>
      <c r="B17" s="246"/>
      <c r="C17" s="196"/>
      <c r="D17" s="195"/>
      <c r="E17" s="193"/>
      <c r="F17" s="194"/>
      <c r="G17" s="195"/>
      <c r="H17" s="193"/>
      <c r="I17" s="194"/>
      <c r="J17" s="195"/>
      <c r="K17" s="193"/>
      <c r="L17" s="194"/>
      <c r="M17" s="195"/>
      <c r="N17" s="193"/>
      <c r="O17" s="194"/>
      <c r="P17" s="195"/>
      <c r="Q17" s="193"/>
      <c r="R17" s="194"/>
      <c r="S17" s="195"/>
      <c r="T17" s="193"/>
      <c r="U17" s="194"/>
      <c r="V17" s="195"/>
      <c r="W17" s="193"/>
      <c r="X17" s="194"/>
      <c r="Y17" s="195"/>
      <c r="Z17" s="193"/>
      <c r="AA17" s="194"/>
      <c r="AB17" s="195"/>
      <c r="AC17" s="193"/>
      <c r="AD17" s="194"/>
      <c r="AE17" s="195"/>
      <c r="AF17" s="193"/>
      <c r="AG17" s="194"/>
      <c r="AH17" s="195"/>
      <c r="AI17" s="193"/>
      <c r="AJ17" s="219"/>
      <c r="AK17" s="220"/>
      <c r="AL17" s="233"/>
      <c r="AM17" s="234"/>
      <c r="AN17" s="254"/>
      <c r="AO17" s="254"/>
    </row>
    <row r="18" spans="1:41">
      <c r="A18" s="189">
        <v>9</v>
      </c>
      <c r="B18" s="246"/>
      <c r="C18" s="196"/>
      <c r="D18" s="195"/>
      <c r="E18" s="193"/>
      <c r="F18" s="194"/>
      <c r="G18" s="195"/>
      <c r="H18" s="193"/>
      <c r="I18" s="194"/>
      <c r="J18" s="195"/>
      <c r="K18" s="193"/>
      <c r="L18" s="194"/>
      <c r="M18" s="195"/>
      <c r="N18" s="193"/>
      <c r="O18" s="194"/>
      <c r="P18" s="195"/>
      <c r="Q18" s="193"/>
      <c r="R18" s="194"/>
      <c r="S18" s="195"/>
      <c r="T18" s="193"/>
      <c r="U18" s="194"/>
      <c r="V18" s="195"/>
      <c r="W18" s="193"/>
      <c r="X18" s="194"/>
      <c r="Y18" s="195"/>
      <c r="Z18" s="193"/>
      <c r="AA18" s="194"/>
      <c r="AB18" s="195"/>
      <c r="AC18" s="193"/>
      <c r="AD18" s="194"/>
      <c r="AE18" s="195"/>
      <c r="AF18" s="193"/>
      <c r="AG18" s="194"/>
      <c r="AH18" s="195"/>
      <c r="AI18" s="193"/>
      <c r="AJ18" s="219"/>
      <c r="AK18" s="221"/>
      <c r="AL18" s="236"/>
      <c r="AM18" s="237"/>
      <c r="AN18" s="254"/>
      <c r="AO18" s="254"/>
    </row>
    <row r="19" spans="1:41">
      <c r="A19" s="189">
        <v>10</v>
      </c>
      <c r="B19" s="246"/>
      <c r="C19" s="196"/>
      <c r="D19" s="195"/>
      <c r="E19" s="193"/>
      <c r="F19" s="194"/>
      <c r="G19" s="195"/>
      <c r="H19" s="193"/>
      <c r="I19" s="194"/>
      <c r="J19" s="195"/>
      <c r="K19" s="193"/>
      <c r="L19" s="194"/>
      <c r="M19" s="195"/>
      <c r="N19" s="193"/>
      <c r="O19" s="194"/>
      <c r="P19" s="195"/>
      <c r="Q19" s="193"/>
      <c r="R19" s="194"/>
      <c r="S19" s="195"/>
      <c r="T19" s="193"/>
      <c r="U19" s="194"/>
      <c r="V19" s="195"/>
      <c r="W19" s="193"/>
      <c r="X19" s="194"/>
      <c r="Y19" s="195"/>
      <c r="Z19" s="193"/>
      <c r="AA19" s="194"/>
      <c r="AB19" s="195"/>
      <c r="AC19" s="193"/>
      <c r="AD19" s="194"/>
      <c r="AE19" s="195"/>
      <c r="AF19" s="193"/>
      <c r="AG19" s="194"/>
      <c r="AH19" s="195"/>
      <c r="AI19" s="193"/>
      <c r="AJ19" s="219"/>
      <c r="AK19" s="220"/>
      <c r="AL19" s="233"/>
      <c r="AM19" s="234"/>
      <c r="AN19" s="254"/>
      <c r="AO19" s="254"/>
    </row>
    <row r="20" spans="1:41">
      <c r="A20" s="189">
        <v>11</v>
      </c>
      <c r="B20" s="246"/>
      <c r="C20" s="196"/>
      <c r="D20" s="195"/>
      <c r="E20" s="193"/>
      <c r="F20" s="194"/>
      <c r="G20" s="195"/>
      <c r="H20" s="193"/>
      <c r="I20" s="194"/>
      <c r="J20" s="195"/>
      <c r="K20" s="193"/>
      <c r="L20" s="194"/>
      <c r="M20" s="195"/>
      <c r="N20" s="193"/>
      <c r="O20" s="194"/>
      <c r="P20" s="195"/>
      <c r="Q20" s="193"/>
      <c r="R20" s="194"/>
      <c r="S20" s="195"/>
      <c r="T20" s="193"/>
      <c r="U20" s="194"/>
      <c r="V20" s="195"/>
      <c r="W20" s="193"/>
      <c r="X20" s="194"/>
      <c r="Y20" s="195"/>
      <c r="Z20" s="193"/>
      <c r="AA20" s="194"/>
      <c r="AB20" s="195"/>
      <c r="AC20" s="193"/>
      <c r="AD20" s="194"/>
      <c r="AE20" s="195"/>
      <c r="AF20" s="193"/>
      <c r="AG20" s="194"/>
      <c r="AH20" s="195"/>
      <c r="AI20" s="193"/>
      <c r="AJ20" s="219"/>
      <c r="AK20" s="221"/>
      <c r="AL20" s="236"/>
      <c r="AM20" s="237"/>
      <c r="AN20" s="254"/>
      <c r="AO20" s="254"/>
    </row>
    <row r="21" spans="1:41">
      <c r="A21" s="189">
        <v>12</v>
      </c>
      <c r="B21" s="246"/>
      <c r="C21" s="196"/>
      <c r="D21" s="195"/>
      <c r="E21" s="193"/>
      <c r="F21" s="194"/>
      <c r="G21" s="195"/>
      <c r="H21" s="193"/>
      <c r="I21" s="194"/>
      <c r="J21" s="195"/>
      <c r="K21" s="193"/>
      <c r="L21" s="194"/>
      <c r="M21" s="195"/>
      <c r="N21" s="193"/>
      <c r="O21" s="194"/>
      <c r="P21" s="195"/>
      <c r="Q21" s="193"/>
      <c r="R21" s="194"/>
      <c r="S21" s="195"/>
      <c r="T21" s="193"/>
      <c r="U21" s="194"/>
      <c r="V21" s="195"/>
      <c r="W21" s="193"/>
      <c r="X21" s="194"/>
      <c r="Y21" s="195"/>
      <c r="Z21" s="193"/>
      <c r="AA21" s="194"/>
      <c r="AB21" s="195"/>
      <c r="AC21" s="193"/>
      <c r="AD21" s="194"/>
      <c r="AE21" s="195"/>
      <c r="AF21" s="193"/>
      <c r="AG21" s="194"/>
      <c r="AH21" s="195"/>
      <c r="AI21" s="193"/>
      <c r="AJ21" s="219"/>
      <c r="AK21" s="220"/>
      <c r="AL21" s="233"/>
      <c r="AM21" s="234"/>
      <c r="AN21" s="254"/>
      <c r="AO21" s="254"/>
    </row>
    <row r="22" spans="1:41">
      <c r="A22" s="189">
        <v>13</v>
      </c>
      <c r="B22" s="246"/>
      <c r="C22" s="196"/>
      <c r="D22" s="195"/>
      <c r="E22" s="193"/>
      <c r="F22" s="194"/>
      <c r="G22" s="195"/>
      <c r="H22" s="193"/>
      <c r="I22" s="194"/>
      <c r="J22" s="195"/>
      <c r="K22" s="193"/>
      <c r="L22" s="194"/>
      <c r="M22" s="195"/>
      <c r="N22" s="193"/>
      <c r="O22" s="194"/>
      <c r="P22" s="195"/>
      <c r="Q22" s="193"/>
      <c r="R22" s="194"/>
      <c r="S22" s="195"/>
      <c r="T22" s="193"/>
      <c r="U22" s="194"/>
      <c r="V22" s="195"/>
      <c r="W22" s="193"/>
      <c r="X22" s="194"/>
      <c r="Y22" s="195"/>
      <c r="Z22" s="193"/>
      <c r="AA22" s="194"/>
      <c r="AB22" s="195"/>
      <c r="AC22" s="193"/>
      <c r="AD22" s="194"/>
      <c r="AE22" s="195"/>
      <c r="AF22" s="193"/>
      <c r="AG22" s="194"/>
      <c r="AH22" s="195"/>
      <c r="AI22" s="193"/>
      <c r="AJ22" s="219"/>
      <c r="AK22" s="221"/>
      <c r="AL22" s="236"/>
      <c r="AM22" s="237"/>
      <c r="AN22" s="254"/>
      <c r="AO22" s="254"/>
    </row>
    <row r="23" spans="1:41">
      <c r="A23" s="189">
        <v>14</v>
      </c>
      <c r="B23" s="247"/>
      <c r="C23" s="199"/>
      <c r="D23" s="195"/>
      <c r="E23" s="193"/>
      <c r="F23" s="194"/>
      <c r="G23" s="195"/>
      <c r="H23" s="193"/>
      <c r="I23" s="194"/>
      <c r="J23" s="195"/>
      <c r="K23" s="193"/>
      <c r="L23" s="194"/>
      <c r="M23" s="195"/>
      <c r="N23" s="193"/>
      <c r="O23" s="194"/>
      <c r="P23" s="195"/>
      <c r="Q23" s="193"/>
      <c r="R23" s="194"/>
      <c r="S23" s="195"/>
      <c r="T23" s="193"/>
      <c r="U23" s="194"/>
      <c r="V23" s="195"/>
      <c r="W23" s="193"/>
      <c r="X23" s="194"/>
      <c r="Y23" s="195"/>
      <c r="Z23" s="193"/>
      <c r="AA23" s="194"/>
      <c r="AB23" s="195"/>
      <c r="AC23" s="193"/>
      <c r="AD23" s="194"/>
      <c r="AE23" s="195"/>
      <c r="AF23" s="193"/>
      <c r="AG23" s="194"/>
      <c r="AH23" s="195"/>
      <c r="AI23" s="193"/>
      <c r="AJ23" s="219"/>
      <c r="AK23" s="220"/>
      <c r="AL23" s="233"/>
      <c r="AM23" s="234"/>
      <c r="AN23" s="254"/>
      <c r="AO23" s="254"/>
    </row>
    <row r="24" spans="1:41">
      <c r="A24" s="189">
        <v>15</v>
      </c>
      <c r="B24" s="248"/>
      <c r="C24" s="197"/>
      <c r="D24" s="195"/>
      <c r="E24" s="193"/>
      <c r="F24" s="194"/>
      <c r="G24" s="195"/>
      <c r="H24" s="193"/>
      <c r="I24" s="194"/>
      <c r="J24" s="195"/>
      <c r="K24" s="193"/>
      <c r="L24" s="194"/>
      <c r="M24" s="195"/>
      <c r="N24" s="193"/>
      <c r="O24" s="194"/>
      <c r="P24" s="195"/>
      <c r="Q24" s="193"/>
      <c r="R24" s="194"/>
      <c r="S24" s="195"/>
      <c r="T24" s="193"/>
      <c r="U24" s="194"/>
      <c r="V24" s="195"/>
      <c r="W24" s="193"/>
      <c r="X24" s="194"/>
      <c r="Y24" s="195"/>
      <c r="Z24" s="193"/>
      <c r="AA24" s="194"/>
      <c r="AB24" s="195"/>
      <c r="AC24" s="193"/>
      <c r="AD24" s="194"/>
      <c r="AE24" s="195"/>
      <c r="AF24" s="193"/>
      <c r="AG24" s="194"/>
      <c r="AH24" s="195"/>
      <c r="AI24" s="193"/>
      <c r="AJ24" s="219"/>
      <c r="AK24" s="221"/>
      <c r="AL24" s="236"/>
      <c r="AM24" s="237"/>
      <c r="AN24" s="254"/>
      <c r="AO24" s="254"/>
    </row>
    <row r="25" spans="1:41">
      <c r="A25" s="189">
        <v>16</v>
      </c>
      <c r="B25" s="246"/>
      <c r="C25" s="196"/>
      <c r="D25" s="195"/>
      <c r="E25" s="193"/>
      <c r="F25" s="194"/>
      <c r="G25" s="195"/>
      <c r="H25" s="193"/>
      <c r="I25" s="194"/>
      <c r="J25" s="195"/>
      <c r="K25" s="193"/>
      <c r="L25" s="194"/>
      <c r="M25" s="195"/>
      <c r="N25" s="193"/>
      <c r="O25" s="194"/>
      <c r="P25" s="195"/>
      <c r="Q25" s="193"/>
      <c r="R25" s="194"/>
      <c r="S25" s="195"/>
      <c r="T25" s="193"/>
      <c r="U25" s="194"/>
      <c r="V25" s="195"/>
      <c r="W25" s="193"/>
      <c r="X25" s="194"/>
      <c r="Y25" s="195"/>
      <c r="Z25" s="193"/>
      <c r="AA25" s="194"/>
      <c r="AB25" s="195"/>
      <c r="AC25" s="193"/>
      <c r="AD25" s="194"/>
      <c r="AE25" s="195"/>
      <c r="AF25" s="193"/>
      <c r="AG25" s="194"/>
      <c r="AH25" s="195"/>
      <c r="AI25" s="193"/>
      <c r="AJ25" s="219"/>
      <c r="AK25" s="220"/>
      <c r="AL25" s="233"/>
      <c r="AM25" s="234"/>
      <c r="AN25" s="254"/>
      <c r="AO25" s="254"/>
    </row>
    <row r="26" spans="1:41">
      <c r="A26" s="189">
        <v>17</v>
      </c>
      <c r="B26" s="246"/>
      <c r="C26" s="196"/>
      <c r="D26" s="195"/>
      <c r="E26" s="193"/>
      <c r="F26" s="194"/>
      <c r="G26" s="195"/>
      <c r="H26" s="193"/>
      <c r="I26" s="194"/>
      <c r="J26" s="195"/>
      <c r="K26" s="193"/>
      <c r="L26" s="194"/>
      <c r="M26" s="195"/>
      <c r="N26" s="193"/>
      <c r="O26" s="194"/>
      <c r="P26" s="195"/>
      <c r="Q26" s="193"/>
      <c r="R26" s="194"/>
      <c r="S26" s="195"/>
      <c r="T26" s="193"/>
      <c r="U26" s="194"/>
      <c r="V26" s="195"/>
      <c r="W26" s="193"/>
      <c r="X26" s="194"/>
      <c r="Y26" s="195"/>
      <c r="Z26" s="193"/>
      <c r="AA26" s="194"/>
      <c r="AB26" s="195"/>
      <c r="AC26" s="193"/>
      <c r="AD26" s="194"/>
      <c r="AE26" s="195"/>
      <c r="AF26" s="193"/>
      <c r="AG26" s="194"/>
      <c r="AH26" s="195"/>
      <c r="AI26" s="193"/>
      <c r="AJ26" s="219"/>
      <c r="AK26" s="221"/>
      <c r="AL26" s="236"/>
      <c r="AM26" s="237"/>
      <c r="AN26" s="254"/>
      <c r="AO26" s="254"/>
    </row>
    <row r="27" spans="1:41">
      <c r="A27" s="189">
        <v>18</v>
      </c>
      <c r="B27" s="246"/>
      <c r="C27" s="196"/>
      <c r="D27" s="195"/>
      <c r="E27" s="193"/>
      <c r="F27" s="194"/>
      <c r="G27" s="195"/>
      <c r="H27" s="193"/>
      <c r="I27" s="194"/>
      <c r="J27" s="195"/>
      <c r="K27" s="193"/>
      <c r="L27" s="194"/>
      <c r="M27" s="195"/>
      <c r="N27" s="193"/>
      <c r="O27" s="194"/>
      <c r="P27" s="195"/>
      <c r="Q27" s="193"/>
      <c r="R27" s="194"/>
      <c r="S27" s="195"/>
      <c r="T27" s="193"/>
      <c r="U27" s="194"/>
      <c r="V27" s="195"/>
      <c r="W27" s="193"/>
      <c r="X27" s="194"/>
      <c r="Y27" s="195"/>
      <c r="Z27" s="193"/>
      <c r="AA27" s="194"/>
      <c r="AB27" s="195"/>
      <c r="AC27" s="193"/>
      <c r="AD27" s="194"/>
      <c r="AE27" s="195"/>
      <c r="AF27" s="193"/>
      <c r="AG27" s="194"/>
      <c r="AH27" s="195"/>
      <c r="AI27" s="193"/>
      <c r="AJ27" s="219"/>
      <c r="AK27" s="220"/>
      <c r="AL27" s="233"/>
      <c r="AM27" s="234"/>
      <c r="AN27" s="254"/>
      <c r="AO27" s="254"/>
    </row>
    <row r="28" spans="1:41">
      <c r="A28" s="189">
        <v>19</v>
      </c>
      <c r="B28" s="246"/>
      <c r="C28" s="196"/>
      <c r="D28" s="195"/>
      <c r="E28" s="193"/>
      <c r="F28" s="194"/>
      <c r="G28" s="195"/>
      <c r="H28" s="193"/>
      <c r="I28" s="194"/>
      <c r="J28" s="195"/>
      <c r="K28" s="193"/>
      <c r="L28" s="194"/>
      <c r="M28" s="195"/>
      <c r="N28" s="193"/>
      <c r="O28" s="194"/>
      <c r="P28" s="195"/>
      <c r="Q28" s="193"/>
      <c r="R28" s="194"/>
      <c r="S28" s="195"/>
      <c r="T28" s="193"/>
      <c r="U28" s="194"/>
      <c r="V28" s="195"/>
      <c r="W28" s="193"/>
      <c r="X28" s="194"/>
      <c r="Y28" s="195"/>
      <c r="Z28" s="193"/>
      <c r="AA28" s="194"/>
      <c r="AB28" s="195"/>
      <c r="AC28" s="193"/>
      <c r="AD28" s="194"/>
      <c r="AE28" s="195"/>
      <c r="AF28" s="193"/>
      <c r="AG28" s="194"/>
      <c r="AH28" s="195"/>
      <c r="AI28" s="193"/>
      <c r="AJ28" s="219"/>
      <c r="AK28" s="221"/>
      <c r="AL28" s="236"/>
      <c r="AM28" s="237"/>
      <c r="AN28" s="254"/>
      <c r="AO28" s="254"/>
    </row>
    <row r="29" spans="1:41">
      <c r="A29" s="189">
        <v>20</v>
      </c>
      <c r="B29" s="246"/>
      <c r="C29" s="196"/>
      <c r="D29" s="195"/>
      <c r="E29" s="193"/>
      <c r="F29" s="194"/>
      <c r="G29" s="195"/>
      <c r="H29" s="193"/>
      <c r="I29" s="194"/>
      <c r="J29" s="195"/>
      <c r="K29" s="193"/>
      <c r="L29" s="194"/>
      <c r="M29" s="195"/>
      <c r="N29" s="193"/>
      <c r="O29" s="194"/>
      <c r="P29" s="195"/>
      <c r="Q29" s="193"/>
      <c r="R29" s="194"/>
      <c r="S29" s="195"/>
      <c r="T29" s="193"/>
      <c r="U29" s="194"/>
      <c r="V29" s="195"/>
      <c r="W29" s="193"/>
      <c r="X29" s="194"/>
      <c r="Y29" s="195"/>
      <c r="Z29" s="193"/>
      <c r="AA29" s="194"/>
      <c r="AB29" s="195"/>
      <c r="AC29" s="193"/>
      <c r="AD29" s="194"/>
      <c r="AE29" s="195"/>
      <c r="AF29" s="193"/>
      <c r="AG29" s="194"/>
      <c r="AH29" s="195"/>
      <c r="AI29" s="193"/>
      <c r="AJ29" s="219"/>
      <c r="AK29" s="220"/>
      <c r="AL29" s="233"/>
      <c r="AM29" s="234"/>
      <c r="AN29" s="254"/>
      <c r="AO29" s="254"/>
    </row>
    <row r="30" spans="1:41">
      <c r="A30" s="189">
        <v>21</v>
      </c>
      <c r="B30" s="246"/>
      <c r="C30" s="196"/>
      <c r="D30" s="195"/>
      <c r="E30" s="193"/>
      <c r="F30" s="194"/>
      <c r="G30" s="195"/>
      <c r="H30" s="193"/>
      <c r="I30" s="194"/>
      <c r="J30" s="195"/>
      <c r="K30" s="193"/>
      <c r="L30" s="194"/>
      <c r="M30" s="195"/>
      <c r="N30" s="193"/>
      <c r="O30" s="194"/>
      <c r="P30" s="195"/>
      <c r="Q30" s="193"/>
      <c r="R30" s="194"/>
      <c r="S30" s="195"/>
      <c r="T30" s="193"/>
      <c r="U30" s="194"/>
      <c r="V30" s="195"/>
      <c r="W30" s="193"/>
      <c r="X30" s="194"/>
      <c r="Y30" s="195"/>
      <c r="Z30" s="193"/>
      <c r="AA30" s="194"/>
      <c r="AB30" s="195"/>
      <c r="AC30" s="193"/>
      <c r="AD30" s="194"/>
      <c r="AE30" s="195"/>
      <c r="AF30" s="193"/>
      <c r="AG30" s="194"/>
      <c r="AH30" s="195"/>
      <c r="AI30" s="193"/>
      <c r="AJ30" s="219"/>
      <c r="AK30" s="221"/>
      <c r="AL30" s="236"/>
      <c r="AM30" s="237"/>
      <c r="AN30" s="254"/>
      <c r="AO30" s="254"/>
    </row>
    <row r="31" spans="1:41">
      <c r="A31" s="189">
        <v>22</v>
      </c>
      <c r="B31" s="246"/>
      <c r="C31" s="196"/>
      <c r="D31" s="195"/>
      <c r="E31" s="193"/>
      <c r="F31" s="194"/>
      <c r="G31" s="195"/>
      <c r="H31" s="193"/>
      <c r="I31" s="194"/>
      <c r="J31" s="195"/>
      <c r="K31" s="193"/>
      <c r="L31" s="194"/>
      <c r="M31" s="195"/>
      <c r="N31" s="193"/>
      <c r="O31" s="194"/>
      <c r="P31" s="195"/>
      <c r="Q31" s="193"/>
      <c r="R31" s="194"/>
      <c r="S31" s="195"/>
      <c r="T31" s="193"/>
      <c r="U31" s="194"/>
      <c r="V31" s="195"/>
      <c r="W31" s="193"/>
      <c r="X31" s="194"/>
      <c r="Y31" s="195"/>
      <c r="Z31" s="193"/>
      <c r="AA31" s="194"/>
      <c r="AB31" s="195"/>
      <c r="AC31" s="193"/>
      <c r="AD31" s="194"/>
      <c r="AE31" s="195"/>
      <c r="AF31" s="193"/>
      <c r="AG31" s="194"/>
      <c r="AH31" s="195"/>
      <c r="AI31" s="193"/>
      <c r="AJ31" s="219"/>
      <c r="AK31" s="220"/>
      <c r="AL31" s="233"/>
      <c r="AM31" s="234"/>
      <c r="AN31" s="254"/>
      <c r="AO31" s="254"/>
    </row>
    <row r="32" spans="1:41">
      <c r="A32" s="189">
        <v>23</v>
      </c>
      <c r="B32" s="246"/>
      <c r="C32" s="196"/>
      <c r="D32" s="195"/>
      <c r="E32" s="193"/>
      <c r="F32" s="194"/>
      <c r="G32" s="195"/>
      <c r="H32" s="193"/>
      <c r="I32" s="194"/>
      <c r="J32" s="195"/>
      <c r="K32" s="193"/>
      <c r="L32" s="194"/>
      <c r="M32" s="195"/>
      <c r="N32" s="193"/>
      <c r="O32" s="194"/>
      <c r="P32" s="195"/>
      <c r="Q32" s="193"/>
      <c r="R32" s="194"/>
      <c r="S32" s="195"/>
      <c r="T32" s="193"/>
      <c r="U32" s="194"/>
      <c r="V32" s="195"/>
      <c r="W32" s="193"/>
      <c r="X32" s="194"/>
      <c r="Y32" s="195"/>
      <c r="Z32" s="193"/>
      <c r="AA32" s="194"/>
      <c r="AB32" s="195"/>
      <c r="AC32" s="193"/>
      <c r="AD32" s="194"/>
      <c r="AE32" s="195"/>
      <c r="AF32" s="193"/>
      <c r="AG32" s="194"/>
      <c r="AH32" s="195"/>
      <c r="AI32" s="193"/>
      <c r="AJ32" s="219"/>
      <c r="AK32" s="221"/>
      <c r="AL32" s="236"/>
      <c r="AM32" s="237"/>
      <c r="AN32" s="254"/>
      <c r="AO32" s="254"/>
    </row>
    <row r="33" spans="1:44">
      <c r="A33" s="189">
        <v>24</v>
      </c>
      <c r="B33" s="246"/>
      <c r="C33" s="196"/>
      <c r="D33" s="195"/>
      <c r="E33" s="193"/>
      <c r="F33" s="194"/>
      <c r="G33" s="195"/>
      <c r="H33" s="193"/>
      <c r="I33" s="194"/>
      <c r="J33" s="195"/>
      <c r="K33" s="193"/>
      <c r="L33" s="194"/>
      <c r="M33" s="195"/>
      <c r="N33" s="193"/>
      <c r="O33" s="194"/>
      <c r="P33" s="195"/>
      <c r="Q33" s="193"/>
      <c r="R33" s="194"/>
      <c r="S33" s="195"/>
      <c r="T33" s="193"/>
      <c r="U33" s="194"/>
      <c r="V33" s="195"/>
      <c r="W33" s="193"/>
      <c r="X33" s="194"/>
      <c r="Y33" s="195"/>
      <c r="Z33" s="193"/>
      <c r="AA33" s="194"/>
      <c r="AB33" s="195"/>
      <c r="AC33" s="193"/>
      <c r="AD33" s="194"/>
      <c r="AE33" s="195"/>
      <c r="AF33" s="193"/>
      <c r="AG33" s="194"/>
      <c r="AH33" s="195"/>
      <c r="AI33" s="193"/>
      <c r="AJ33" s="219"/>
      <c r="AK33" s="220"/>
      <c r="AL33" s="233"/>
      <c r="AM33" s="234"/>
      <c r="AN33" s="254"/>
      <c r="AO33" s="254"/>
    </row>
    <row r="34" spans="1:44">
      <c r="A34" s="189">
        <v>25</v>
      </c>
      <c r="B34" s="246"/>
      <c r="C34" s="196"/>
      <c r="D34" s="195"/>
      <c r="E34" s="193"/>
      <c r="F34" s="194"/>
      <c r="G34" s="195"/>
      <c r="H34" s="193"/>
      <c r="I34" s="194"/>
      <c r="J34" s="195"/>
      <c r="K34" s="193"/>
      <c r="L34" s="194"/>
      <c r="M34" s="195"/>
      <c r="N34" s="193"/>
      <c r="O34" s="194"/>
      <c r="P34" s="195"/>
      <c r="Q34" s="193"/>
      <c r="R34" s="194"/>
      <c r="S34" s="195"/>
      <c r="T34" s="193"/>
      <c r="U34" s="194"/>
      <c r="V34" s="195"/>
      <c r="W34" s="193"/>
      <c r="X34" s="194"/>
      <c r="Y34" s="195"/>
      <c r="Z34" s="193"/>
      <c r="AA34" s="194"/>
      <c r="AB34" s="195"/>
      <c r="AC34" s="193"/>
      <c r="AD34" s="194"/>
      <c r="AE34" s="195"/>
      <c r="AF34" s="193"/>
      <c r="AG34" s="194"/>
      <c r="AH34" s="195"/>
      <c r="AI34" s="193"/>
      <c r="AJ34" s="219"/>
      <c r="AK34" s="221"/>
      <c r="AL34" s="236"/>
      <c r="AM34" s="237"/>
      <c r="AN34" s="254"/>
      <c r="AO34" s="254"/>
    </row>
    <row r="35" spans="1:44">
      <c r="A35" s="189">
        <v>26</v>
      </c>
      <c r="B35" s="246"/>
      <c r="C35" s="196"/>
      <c r="D35" s="195"/>
      <c r="E35" s="193"/>
      <c r="F35" s="194"/>
      <c r="G35" s="195"/>
      <c r="H35" s="193"/>
      <c r="I35" s="194"/>
      <c r="J35" s="195"/>
      <c r="K35" s="193"/>
      <c r="L35" s="194"/>
      <c r="M35" s="195"/>
      <c r="N35" s="193"/>
      <c r="O35" s="194"/>
      <c r="P35" s="195"/>
      <c r="Q35" s="193"/>
      <c r="R35" s="194"/>
      <c r="S35" s="195"/>
      <c r="T35" s="193"/>
      <c r="U35" s="194"/>
      <c r="V35" s="195"/>
      <c r="W35" s="193"/>
      <c r="X35" s="194"/>
      <c r="Y35" s="195"/>
      <c r="Z35" s="193"/>
      <c r="AA35" s="194"/>
      <c r="AB35" s="195"/>
      <c r="AC35" s="193"/>
      <c r="AD35" s="194"/>
      <c r="AE35" s="195"/>
      <c r="AF35" s="193"/>
      <c r="AG35" s="194"/>
      <c r="AH35" s="195"/>
      <c r="AI35" s="193"/>
      <c r="AJ35" s="219"/>
      <c r="AK35" s="220"/>
      <c r="AL35" s="233"/>
      <c r="AM35" s="234"/>
      <c r="AN35" s="254"/>
      <c r="AO35" s="254"/>
    </row>
    <row r="36" spans="1:44">
      <c r="A36" s="189">
        <v>27</v>
      </c>
      <c r="B36" s="246"/>
      <c r="C36" s="196"/>
      <c r="D36" s="195"/>
      <c r="E36" s="193"/>
      <c r="F36" s="194"/>
      <c r="G36" s="195"/>
      <c r="H36" s="193"/>
      <c r="I36" s="194"/>
      <c r="J36" s="195"/>
      <c r="K36" s="193"/>
      <c r="L36" s="194"/>
      <c r="M36" s="195"/>
      <c r="N36" s="193"/>
      <c r="O36" s="194"/>
      <c r="P36" s="195"/>
      <c r="Q36" s="193"/>
      <c r="R36" s="194"/>
      <c r="S36" s="195"/>
      <c r="T36" s="193"/>
      <c r="U36" s="194"/>
      <c r="V36" s="195"/>
      <c r="W36" s="193"/>
      <c r="X36" s="194"/>
      <c r="Y36" s="195"/>
      <c r="Z36" s="193"/>
      <c r="AA36" s="194"/>
      <c r="AB36" s="195"/>
      <c r="AC36" s="193"/>
      <c r="AD36" s="194"/>
      <c r="AE36" s="195"/>
      <c r="AF36" s="193"/>
      <c r="AG36" s="194"/>
      <c r="AH36" s="195"/>
      <c r="AI36" s="193"/>
      <c r="AJ36" s="219"/>
      <c r="AK36" s="221"/>
      <c r="AL36" s="236"/>
      <c r="AM36" s="237"/>
      <c r="AN36" s="254"/>
      <c r="AO36" s="254"/>
    </row>
    <row r="37" spans="1:44">
      <c r="A37" s="189">
        <v>28</v>
      </c>
      <c r="B37" s="246"/>
      <c r="C37" s="196"/>
      <c r="D37" s="195"/>
      <c r="E37" s="193"/>
      <c r="F37" s="200"/>
      <c r="G37" s="195"/>
      <c r="H37" s="193"/>
      <c r="I37" s="200"/>
      <c r="J37" s="195"/>
      <c r="K37" s="193"/>
      <c r="L37" s="200"/>
      <c r="M37" s="195"/>
      <c r="N37" s="193"/>
      <c r="O37" s="200"/>
      <c r="P37" s="195"/>
      <c r="Q37" s="193"/>
      <c r="R37" s="200"/>
      <c r="S37" s="195"/>
      <c r="T37" s="193"/>
      <c r="U37" s="200"/>
      <c r="V37" s="195"/>
      <c r="W37" s="193"/>
      <c r="X37" s="200"/>
      <c r="Y37" s="195"/>
      <c r="Z37" s="193"/>
      <c r="AA37" s="200"/>
      <c r="AB37" s="195"/>
      <c r="AC37" s="193"/>
      <c r="AD37" s="200"/>
      <c r="AE37" s="195"/>
      <c r="AF37" s="193"/>
      <c r="AG37" s="200"/>
      <c r="AH37" s="195"/>
      <c r="AI37" s="193"/>
      <c r="AJ37" s="222"/>
      <c r="AK37" s="220"/>
      <c r="AL37" s="233"/>
      <c r="AM37" s="234"/>
      <c r="AN37" s="254"/>
      <c r="AO37" s="254"/>
    </row>
    <row r="38" spans="1:44">
      <c r="A38" s="189">
        <v>29</v>
      </c>
      <c r="B38" s="246"/>
      <c r="C38" s="196"/>
      <c r="D38" s="195"/>
      <c r="E38" s="193"/>
      <c r="F38" s="194"/>
      <c r="G38" s="195"/>
      <c r="H38" s="193"/>
      <c r="I38" s="194"/>
      <c r="J38" s="195"/>
      <c r="K38" s="193"/>
      <c r="L38" s="194"/>
      <c r="M38" s="195"/>
      <c r="N38" s="193"/>
      <c r="O38" s="194"/>
      <c r="P38" s="195"/>
      <c r="Q38" s="193"/>
      <c r="R38" s="194"/>
      <c r="S38" s="195"/>
      <c r="T38" s="193"/>
      <c r="U38" s="194"/>
      <c r="V38" s="195"/>
      <c r="W38" s="193"/>
      <c r="X38" s="194"/>
      <c r="Y38" s="195"/>
      <c r="Z38" s="193"/>
      <c r="AA38" s="194"/>
      <c r="AB38" s="195"/>
      <c r="AC38" s="193"/>
      <c r="AD38" s="194"/>
      <c r="AE38" s="195"/>
      <c r="AF38" s="193"/>
      <c r="AG38" s="194"/>
      <c r="AH38" s="195"/>
      <c r="AI38" s="193"/>
      <c r="AJ38" s="219"/>
      <c r="AK38" s="221"/>
      <c r="AL38" s="236"/>
      <c r="AM38" s="237"/>
      <c r="AN38" s="254"/>
      <c r="AO38" s="254"/>
    </row>
    <row r="39" spans="1:44">
      <c r="A39" s="189">
        <v>30</v>
      </c>
      <c r="B39" s="246"/>
      <c r="C39" s="196"/>
      <c r="D39" s="195"/>
      <c r="E39" s="193"/>
      <c r="F39" s="194"/>
      <c r="G39" s="195"/>
      <c r="H39" s="193"/>
      <c r="I39" s="194"/>
      <c r="J39" s="195"/>
      <c r="K39" s="193"/>
      <c r="L39" s="194"/>
      <c r="M39" s="195"/>
      <c r="N39" s="193"/>
      <c r="O39" s="194"/>
      <c r="P39" s="195"/>
      <c r="Q39" s="193"/>
      <c r="R39" s="194"/>
      <c r="S39" s="195"/>
      <c r="T39" s="193"/>
      <c r="U39" s="194"/>
      <c r="V39" s="195"/>
      <c r="W39" s="193"/>
      <c r="X39" s="194"/>
      <c r="Y39" s="195"/>
      <c r="Z39" s="193"/>
      <c r="AA39" s="194"/>
      <c r="AB39" s="195"/>
      <c r="AC39" s="193"/>
      <c r="AD39" s="194"/>
      <c r="AE39" s="195"/>
      <c r="AF39" s="193"/>
      <c r="AG39" s="194"/>
      <c r="AH39" s="195"/>
      <c r="AI39" s="193"/>
      <c r="AJ39" s="219"/>
      <c r="AK39" s="220"/>
      <c r="AL39" s="233"/>
      <c r="AM39" s="234"/>
      <c r="AN39" s="254"/>
      <c r="AO39" s="254"/>
    </row>
    <row r="40" spans="1:44">
      <c r="A40" s="189">
        <v>31</v>
      </c>
      <c r="B40" s="246"/>
      <c r="C40" s="196"/>
      <c r="D40" s="195"/>
      <c r="E40" s="193"/>
      <c r="F40" s="194"/>
      <c r="G40" s="195"/>
      <c r="H40" s="193"/>
      <c r="I40" s="194"/>
      <c r="J40" s="195"/>
      <c r="K40" s="193"/>
      <c r="L40" s="194"/>
      <c r="M40" s="195"/>
      <c r="N40" s="193"/>
      <c r="O40" s="194"/>
      <c r="P40" s="195"/>
      <c r="Q40" s="193"/>
      <c r="R40" s="194"/>
      <c r="S40" s="195"/>
      <c r="T40" s="193"/>
      <c r="U40" s="194"/>
      <c r="V40" s="195"/>
      <c r="W40" s="193"/>
      <c r="X40" s="194"/>
      <c r="Y40" s="195"/>
      <c r="Z40" s="193"/>
      <c r="AA40" s="194"/>
      <c r="AB40" s="195"/>
      <c r="AC40" s="193"/>
      <c r="AD40" s="194"/>
      <c r="AE40" s="195"/>
      <c r="AF40" s="193"/>
      <c r="AG40" s="194"/>
      <c r="AH40" s="195"/>
      <c r="AI40" s="193"/>
      <c r="AJ40" s="219"/>
      <c r="AK40" s="221"/>
      <c r="AL40" s="236"/>
      <c r="AM40" s="237"/>
      <c r="AN40" s="254"/>
      <c r="AO40" s="254"/>
    </row>
    <row r="41" spans="1:44">
      <c r="A41" s="201">
        <v>32</v>
      </c>
      <c r="B41" s="249"/>
      <c r="C41" s="203"/>
      <c r="D41" s="207"/>
      <c r="E41" s="205"/>
      <c r="F41" s="206"/>
      <c r="G41" s="207"/>
      <c r="H41" s="205"/>
      <c r="I41" s="206"/>
      <c r="J41" s="207"/>
      <c r="K41" s="205"/>
      <c r="L41" s="206"/>
      <c r="M41" s="207"/>
      <c r="N41" s="205"/>
      <c r="O41" s="206"/>
      <c r="P41" s="207"/>
      <c r="Q41" s="205"/>
      <c r="R41" s="206"/>
      <c r="S41" s="207"/>
      <c r="T41" s="205"/>
      <c r="U41" s="206"/>
      <c r="V41" s="207"/>
      <c r="W41" s="205"/>
      <c r="X41" s="206"/>
      <c r="Y41" s="207"/>
      <c r="Z41" s="205"/>
      <c r="AA41" s="206"/>
      <c r="AB41" s="207"/>
      <c r="AC41" s="205"/>
      <c r="AD41" s="206"/>
      <c r="AE41" s="207"/>
      <c r="AF41" s="205"/>
      <c r="AG41" s="206"/>
      <c r="AH41" s="207"/>
      <c r="AI41" s="205"/>
      <c r="AJ41" s="223"/>
      <c r="AK41" s="224"/>
      <c r="AL41" s="238"/>
      <c r="AM41" s="239"/>
      <c r="AN41" s="226"/>
      <c r="AO41" s="226"/>
    </row>
    <row r="42" spans="1:44" ht="9" customHeight="1">
      <c r="E42" s="250"/>
      <c r="F42" s="250"/>
      <c r="G42" s="250"/>
      <c r="H42" s="250"/>
      <c r="AI42" s="258"/>
      <c r="AJ42" s="258"/>
      <c r="AK42" s="258"/>
    </row>
    <row r="43" spans="1:44">
      <c r="B43" s="175" t="s">
        <v>179</v>
      </c>
      <c r="C43" s="175"/>
      <c r="D43" s="175"/>
      <c r="E43" s="175"/>
      <c r="F43" s="175"/>
      <c r="G43" s="175"/>
      <c r="H43" s="175"/>
      <c r="I43" s="173"/>
      <c r="J43" s="173"/>
      <c r="K43" s="173"/>
      <c r="L43" s="173"/>
      <c r="M43" s="173"/>
      <c r="N43" s="176" t="s">
        <v>320</v>
      </c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6"/>
      <c r="AJ43" s="176" t="s">
        <v>321</v>
      </c>
      <c r="AK43" s="176"/>
      <c r="AL43" s="173"/>
      <c r="AM43" s="173"/>
      <c r="AN43" s="173"/>
      <c r="AO43" s="173"/>
      <c r="AP43" s="173"/>
    </row>
    <row r="44" spans="1:44">
      <c r="B44" s="208" t="s">
        <v>322</v>
      </c>
      <c r="C44" s="175"/>
      <c r="D44" s="175"/>
      <c r="E44" s="707" t="s">
        <v>323</v>
      </c>
      <c r="F44" s="707"/>
      <c r="G44" s="175"/>
      <c r="H44" s="175"/>
      <c r="I44" s="173"/>
      <c r="J44" s="173"/>
      <c r="K44" s="173"/>
      <c r="L44" s="173"/>
      <c r="M44" s="173"/>
      <c r="N44" s="173" t="s">
        <v>324</v>
      </c>
      <c r="O44" s="173" t="s">
        <v>325</v>
      </c>
      <c r="P44" s="173"/>
      <c r="Q44" s="173"/>
      <c r="R44" s="173"/>
      <c r="S44" s="173" t="s">
        <v>326</v>
      </c>
      <c r="T44" s="173" t="s">
        <v>327</v>
      </c>
      <c r="U44" s="173"/>
      <c r="V44" s="173"/>
      <c r="W44" s="173"/>
      <c r="X44" s="173"/>
      <c r="Y44" s="214"/>
      <c r="Z44" s="708" t="s">
        <v>328</v>
      </c>
      <c r="AA44" s="708"/>
      <c r="AB44" s="708"/>
      <c r="AC44" s="708"/>
      <c r="AD44" s="709"/>
      <c r="AE44" s="173"/>
      <c r="AF44" s="173"/>
      <c r="AG44" s="173"/>
      <c r="AH44" s="173"/>
      <c r="AI44" s="175"/>
      <c r="AJ44" s="175" t="s">
        <v>276</v>
      </c>
      <c r="AK44" s="175"/>
      <c r="AL44" s="173"/>
      <c r="AM44" s="173"/>
      <c r="AN44" s="173"/>
      <c r="AO44" s="173"/>
      <c r="AP44" s="173"/>
    </row>
    <row r="45" spans="1:44">
      <c r="B45" s="176"/>
      <c r="C45" s="176"/>
      <c r="D45" s="176"/>
      <c r="E45" s="710" t="s">
        <v>318</v>
      </c>
      <c r="F45" s="710"/>
      <c r="G45" s="176" t="s">
        <v>13</v>
      </c>
      <c r="H45" s="176" t="s">
        <v>329</v>
      </c>
      <c r="I45" s="173"/>
      <c r="J45" s="173"/>
      <c r="K45" s="173"/>
      <c r="L45" s="173"/>
      <c r="M45" s="173"/>
      <c r="N45" s="173" t="s">
        <v>330</v>
      </c>
      <c r="O45" s="173" t="s">
        <v>331</v>
      </c>
      <c r="P45" s="173"/>
      <c r="Q45" s="173"/>
      <c r="R45" s="173"/>
      <c r="S45" s="173" t="s">
        <v>332</v>
      </c>
      <c r="T45" s="173" t="s">
        <v>333</v>
      </c>
      <c r="U45" s="173"/>
      <c r="V45" s="173"/>
      <c r="W45" s="173"/>
      <c r="X45" s="173"/>
      <c r="Y45" s="215" t="s">
        <v>334</v>
      </c>
      <c r="Z45" s="173"/>
      <c r="AA45" s="173"/>
      <c r="AB45" s="173"/>
      <c r="AC45" s="173"/>
      <c r="AD45" s="225"/>
      <c r="AE45" s="173"/>
      <c r="AF45" s="173"/>
      <c r="AG45" s="173"/>
      <c r="AH45" s="173"/>
      <c r="AI45" s="176"/>
      <c r="AJ45" s="173"/>
      <c r="AK45" s="176"/>
      <c r="AL45" s="176"/>
      <c r="AM45" s="173"/>
      <c r="AN45" s="173"/>
      <c r="AO45" s="173"/>
      <c r="AP45" s="173"/>
    </row>
    <row r="46" spans="1:44">
      <c r="B46" s="176"/>
      <c r="C46" s="176"/>
      <c r="D46" s="176"/>
      <c r="E46" s="710" t="s">
        <v>319</v>
      </c>
      <c r="F46" s="710"/>
      <c r="G46" s="176" t="s">
        <v>13</v>
      </c>
      <c r="H46" s="176" t="s">
        <v>335</v>
      </c>
      <c r="I46" s="173"/>
      <c r="J46" s="173"/>
      <c r="K46" s="173"/>
      <c r="L46" s="173"/>
      <c r="M46" s="173"/>
      <c r="N46" s="173" t="s">
        <v>336</v>
      </c>
      <c r="O46" s="173" t="s">
        <v>337</v>
      </c>
      <c r="P46" s="173"/>
      <c r="Q46" s="173"/>
      <c r="R46" s="173"/>
      <c r="S46" s="173" t="s">
        <v>338</v>
      </c>
      <c r="T46" s="173" t="s">
        <v>339</v>
      </c>
      <c r="U46" s="173"/>
      <c r="V46" s="173"/>
      <c r="W46" s="173"/>
      <c r="X46" s="173"/>
      <c r="Y46" s="216"/>
      <c r="Z46" s="711">
        <v>100</v>
      </c>
      <c r="AA46" s="711"/>
      <c r="AB46" s="711"/>
      <c r="AC46" s="711"/>
      <c r="AD46" s="712"/>
      <c r="AE46" s="173"/>
      <c r="AF46" s="173"/>
      <c r="AG46" s="173"/>
      <c r="AH46" s="173"/>
      <c r="AI46" s="176"/>
      <c r="AJ46" s="173"/>
      <c r="AK46" s="176"/>
      <c r="AL46" s="176"/>
      <c r="AM46" s="173"/>
      <c r="AN46" s="173"/>
      <c r="AO46" s="173"/>
      <c r="AP46" s="173"/>
    </row>
    <row r="47" spans="1:44">
      <c r="B47" s="209" t="str">
        <f>'Prhtngn Mingg Ef(3)'!B87</f>
        <v>Drs. M. Hasannuddin</v>
      </c>
      <c r="C47" s="209"/>
      <c r="D47" s="209"/>
      <c r="E47" s="208" t="s">
        <v>340</v>
      </c>
      <c r="F47" s="173"/>
      <c r="G47" s="208"/>
      <c r="H47" s="208"/>
      <c r="I47" s="173"/>
      <c r="J47" s="173"/>
      <c r="K47" s="173"/>
      <c r="L47" s="173"/>
      <c r="M47" s="173"/>
      <c r="N47" s="173" t="s">
        <v>195</v>
      </c>
      <c r="O47" s="173" t="s">
        <v>341</v>
      </c>
      <c r="P47" s="173"/>
      <c r="Q47" s="173"/>
      <c r="R47" s="173"/>
      <c r="S47" s="173" t="s">
        <v>342</v>
      </c>
      <c r="T47" s="173" t="s">
        <v>343</v>
      </c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5"/>
      <c r="AJ47" s="259" t="str">
        <f>'Prhtngn Mingg Ef(3)'!G87</f>
        <v>Hermawan Rochmadi, S. Pd.</v>
      </c>
      <c r="AK47" s="175"/>
      <c r="AL47" s="175"/>
      <c r="AM47" s="173"/>
      <c r="AN47" s="173"/>
      <c r="AO47" s="173"/>
      <c r="AP47" s="173"/>
      <c r="AR47" s="260"/>
    </row>
    <row r="48" spans="1:44">
      <c r="B48" s="175" t="str">
        <f>'Prhtngn Mingg Ef(3)'!B88</f>
        <v>NIP. 19670621 199412 1 003</v>
      </c>
      <c r="C48" s="175"/>
      <c r="D48" s="175"/>
      <c r="E48" s="208"/>
      <c r="F48" s="173"/>
      <c r="G48" s="208"/>
      <c r="H48" s="208"/>
      <c r="I48" s="173"/>
      <c r="J48" s="173"/>
      <c r="K48" s="173"/>
      <c r="L48" s="173"/>
      <c r="M48" s="173"/>
      <c r="N48" s="173" t="s">
        <v>344</v>
      </c>
      <c r="O48" s="173" t="s">
        <v>345</v>
      </c>
      <c r="P48" s="173"/>
      <c r="Q48" s="173"/>
      <c r="R48" s="173"/>
      <c r="S48" s="173" t="s">
        <v>342</v>
      </c>
      <c r="T48" s="173" t="s">
        <v>346</v>
      </c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5"/>
      <c r="AJ48" s="173" t="str">
        <f>'Prhtngn Mingg Ef(3)'!G88</f>
        <v>NIP. 19920317 201903 1 009</v>
      </c>
      <c r="AK48" s="175"/>
      <c r="AL48" s="175"/>
      <c r="AM48" s="173"/>
      <c r="AN48" s="173"/>
      <c r="AO48" s="173"/>
      <c r="AP48" s="173"/>
    </row>
    <row r="49" spans="2:42">
      <c r="B49" s="208"/>
      <c r="C49" s="208"/>
      <c r="D49" s="208"/>
      <c r="E49" s="208"/>
      <c r="F49" s="208"/>
      <c r="G49" s="208"/>
      <c r="H49" s="208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5"/>
      <c r="AJ49" s="175"/>
      <c r="AK49" s="175"/>
      <c r="AL49" s="175"/>
      <c r="AM49" s="173"/>
      <c r="AN49" s="173"/>
      <c r="AO49" s="173"/>
      <c r="AP49" s="173"/>
    </row>
    <row r="50" spans="2:42">
      <c r="B50" s="251"/>
      <c r="C50" s="251"/>
      <c r="D50" s="251"/>
      <c r="E50" s="251"/>
      <c r="F50" s="251"/>
      <c r="G50" s="251"/>
      <c r="H50" s="251"/>
      <c r="AI50" s="250"/>
      <c r="AJ50" s="250"/>
      <c r="AK50" s="250"/>
      <c r="AL50" s="250"/>
    </row>
  </sheetData>
  <mergeCells count="38">
    <mergeCell ref="A6:A9"/>
    <mergeCell ref="B6:B9"/>
    <mergeCell ref="AN7:AN9"/>
    <mergeCell ref="AO7:AO9"/>
    <mergeCell ref="AK7:AM9"/>
    <mergeCell ref="AH8:AJ8"/>
    <mergeCell ref="S8:U8"/>
    <mergeCell ref="V8:X8"/>
    <mergeCell ref="Y8:AA8"/>
    <mergeCell ref="AB8:AD8"/>
    <mergeCell ref="AE8:AG8"/>
    <mergeCell ref="D8:F8"/>
    <mergeCell ref="G8:I8"/>
    <mergeCell ref="J8:L8"/>
    <mergeCell ref="M8:O8"/>
    <mergeCell ref="P8:R8"/>
    <mergeCell ref="E44:F44"/>
    <mergeCell ref="Z44:AD44"/>
    <mergeCell ref="E45:F45"/>
    <mergeCell ref="E46:F46"/>
    <mergeCell ref="Z46:AD46"/>
    <mergeCell ref="C6:AO6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  <mergeCell ref="AH7:AJ7"/>
    <mergeCell ref="AM1:AO1"/>
    <mergeCell ref="AP1:AR1"/>
    <mergeCell ref="A2:AL2"/>
    <mergeCell ref="AM2:AO2"/>
    <mergeCell ref="AP2:AR2"/>
  </mergeCells>
  <pageMargins left="0.78740157480314998" right="1.37795275590551" top="0.31496062992126" bottom="0.196850393700787" header="0.31496062992126" footer="0.31496062992126"/>
  <pageSetup paperSize="5" scale="7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55"/>
  <sheetViews>
    <sheetView topLeftCell="A27" zoomScale="75" zoomScaleNormal="75" workbookViewId="0">
      <selection activeCell="B49" sqref="B49"/>
    </sheetView>
  </sheetViews>
  <sheetFormatPr defaultColWidth="9.140625" defaultRowHeight="15"/>
  <cols>
    <col min="1" max="1" width="4.28515625" style="173" customWidth="1"/>
    <col min="2" max="2" width="22.7109375" style="173" customWidth="1"/>
    <col min="3" max="3" width="7.140625" style="173" customWidth="1"/>
    <col min="4" max="4" width="3.5703125" style="173" customWidth="1"/>
    <col min="5" max="7" width="3.140625" style="173" customWidth="1"/>
    <col min="8" max="9" width="3.7109375" style="173" customWidth="1"/>
    <col min="10" max="11" width="3.28515625" style="173" customWidth="1"/>
    <col min="12" max="12" width="3.7109375" style="173" customWidth="1"/>
    <col min="13" max="13" width="3.42578125" style="173" customWidth="1"/>
    <col min="14" max="14" width="3.28515625" style="173" customWidth="1"/>
    <col min="15" max="15" width="3.140625" style="173" customWidth="1"/>
    <col min="16" max="16" width="3.42578125" style="173" customWidth="1"/>
    <col min="17" max="17" width="3.28515625" style="173" customWidth="1"/>
    <col min="18" max="18" width="3.140625" style="173" customWidth="1"/>
    <col min="19" max="19" width="3.7109375" style="173" customWidth="1"/>
    <col min="20" max="21" width="3.42578125" style="173" customWidth="1"/>
    <col min="22" max="22" width="3.140625" style="173" customWidth="1"/>
    <col min="23" max="23" width="3.7109375" style="173" customWidth="1"/>
    <col min="24" max="24" width="3.5703125" style="173" customWidth="1"/>
    <col min="25" max="26" width="3.42578125" style="173" customWidth="1"/>
    <col min="27" max="27" width="4.85546875" style="173" customWidth="1"/>
    <col min="28" max="28" width="3.5703125" style="173" customWidth="1"/>
    <col min="29" max="29" width="3.28515625" style="173" customWidth="1"/>
    <col min="30" max="30" width="3.5703125" style="173" customWidth="1"/>
    <col min="31" max="32" width="3.7109375" style="173" customWidth="1"/>
    <col min="33" max="33" width="3.5703125" style="173" customWidth="1"/>
    <col min="34" max="35" width="3.42578125" style="173" customWidth="1"/>
    <col min="36" max="36" width="4.85546875" style="173" customWidth="1"/>
    <col min="37" max="37" width="3.42578125" style="173" customWidth="1"/>
    <col min="38" max="38" width="3.28515625" style="173" customWidth="1"/>
    <col min="39" max="39" width="3.5703125" style="173" customWidth="1"/>
    <col min="40" max="40" width="2" style="173" customWidth="1"/>
    <col min="41" max="41" width="2.28515625" style="173" customWidth="1"/>
    <col min="42" max="42" width="4.5703125" style="173" customWidth="1"/>
    <col min="43" max="43" width="13.42578125" style="173" customWidth="1"/>
    <col min="44" max="16384" width="9.140625" style="173"/>
  </cols>
  <sheetData>
    <row r="1" spans="1:47">
      <c r="AP1" s="227"/>
      <c r="AQ1" s="733" t="s">
        <v>347</v>
      </c>
      <c r="AR1" s="734"/>
      <c r="AT1" s="735"/>
      <c r="AU1" s="735"/>
    </row>
    <row r="2" spans="1:47" ht="15.75">
      <c r="A2" s="697" t="s">
        <v>348</v>
      </c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  <c r="Y2" s="697"/>
      <c r="Z2" s="697"/>
      <c r="AA2" s="697"/>
      <c r="AB2" s="697"/>
      <c r="AC2" s="697"/>
      <c r="AD2" s="697"/>
      <c r="AE2" s="697"/>
      <c r="AF2" s="697"/>
      <c r="AG2" s="697"/>
      <c r="AH2" s="697"/>
      <c r="AI2" s="697"/>
      <c r="AJ2" s="697"/>
      <c r="AK2" s="697"/>
      <c r="AL2" s="697"/>
      <c r="AM2" s="697"/>
      <c r="AN2" s="697"/>
      <c r="AO2" s="697"/>
      <c r="AP2" s="228"/>
      <c r="AQ2" s="736">
        <v>41783</v>
      </c>
      <c r="AR2" s="736"/>
      <c r="AT2" s="737"/>
      <c r="AU2" s="737"/>
    </row>
    <row r="3" spans="1:47" ht="8.25" customHeight="1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</row>
    <row r="4" spans="1:47" ht="15.75">
      <c r="A4" s="175" t="s">
        <v>304</v>
      </c>
      <c r="B4" s="175"/>
      <c r="C4" s="176"/>
      <c r="D4" s="177"/>
      <c r="E4" s="177"/>
      <c r="F4" s="175" t="s">
        <v>305</v>
      </c>
      <c r="H4" s="175"/>
      <c r="I4" s="175"/>
      <c r="J4" s="175"/>
      <c r="K4" s="175"/>
      <c r="L4" s="175" t="s">
        <v>306</v>
      </c>
      <c r="O4" s="175"/>
      <c r="P4" s="175"/>
      <c r="Q4" s="175"/>
      <c r="R4" s="175"/>
      <c r="S4" s="175"/>
      <c r="T4" s="175"/>
      <c r="U4" s="175"/>
      <c r="V4" s="175"/>
      <c r="W4" s="175" t="s">
        <v>349</v>
      </c>
      <c r="X4" s="177"/>
      <c r="Y4" s="177"/>
      <c r="Z4" s="175"/>
      <c r="AA4" s="175" t="s">
        <v>350</v>
      </c>
      <c r="AD4" s="175"/>
      <c r="AE4" s="175"/>
      <c r="AF4" s="175"/>
      <c r="AH4" s="175"/>
      <c r="AI4" s="175"/>
      <c r="AJ4" s="175"/>
      <c r="AK4" s="175"/>
      <c r="AM4" s="175"/>
      <c r="AN4" s="175"/>
      <c r="AO4" s="175"/>
      <c r="AP4" s="175"/>
      <c r="AQ4" s="208"/>
    </row>
    <row r="5" spans="1:47" ht="9" customHeight="1">
      <c r="A5" s="175"/>
      <c r="B5" s="175"/>
      <c r="C5" s="175"/>
      <c r="D5" s="176"/>
      <c r="E5" s="176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</row>
    <row r="6" spans="1:47" ht="14.1" customHeight="1">
      <c r="A6" s="713" t="s">
        <v>205</v>
      </c>
      <c r="B6" s="716" t="s">
        <v>309</v>
      </c>
      <c r="C6" s="742" t="s">
        <v>310</v>
      </c>
      <c r="D6" s="743"/>
      <c r="E6" s="743"/>
      <c r="F6" s="743"/>
      <c r="G6" s="743"/>
      <c r="H6" s="743"/>
      <c r="I6" s="743"/>
      <c r="J6" s="743"/>
      <c r="K6" s="743"/>
      <c r="L6" s="743"/>
      <c r="M6" s="743"/>
      <c r="N6" s="743"/>
      <c r="O6" s="743"/>
      <c r="P6" s="743"/>
      <c r="Q6" s="743"/>
      <c r="R6" s="743"/>
      <c r="S6" s="743"/>
      <c r="T6" s="743"/>
      <c r="U6" s="743"/>
      <c r="V6" s="743"/>
      <c r="W6" s="743"/>
      <c r="X6" s="743"/>
      <c r="Y6" s="743"/>
      <c r="Z6" s="743"/>
      <c r="AA6" s="743"/>
      <c r="AB6" s="743"/>
      <c r="AC6" s="743"/>
      <c r="AD6" s="743"/>
      <c r="AE6" s="743"/>
      <c r="AF6" s="743"/>
      <c r="AG6" s="743"/>
      <c r="AH6" s="743"/>
      <c r="AI6" s="743"/>
      <c r="AJ6" s="743"/>
      <c r="AK6" s="743"/>
      <c r="AL6" s="743"/>
      <c r="AM6" s="743"/>
      <c r="AN6" s="743"/>
      <c r="AO6" s="743"/>
      <c r="AP6" s="743"/>
      <c r="AQ6" s="743"/>
      <c r="AR6" s="744"/>
    </row>
    <row r="7" spans="1:47" ht="14.1" customHeight="1">
      <c r="A7" s="714"/>
      <c r="B7" s="717"/>
      <c r="C7" s="178" t="s">
        <v>351</v>
      </c>
      <c r="D7" s="738" t="s">
        <v>352</v>
      </c>
      <c r="E7" s="739"/>
      <c r="F7" s="740"/>
      <c r="G7" s="738" t="s">
        <v>353</v>
      </c>
      <c r="H7" s="739"/>
      <c r="I7" s="740"/>
      <c r="J7" s="738" t="s">
        <v>354</v>
      </c>
      <c r="K7" s="739"/>
      <c r="L7" s="740"/>
      <c r="M7" s="738" t="s">
        <v>355</v>
      </c>
      <c r="N7" s="739"/>
      <c r="O7" s="740"/>
      <c r="P7" s="738" t="s">
        <v>356</v>
      </c>
      <c r="Q7" s="739"/>
      <c r="R7" s="740"/>
      <c r="S7" s="738" t="s">
        <v>357</v>
      </c>
      <c r="T7" s="739"/>
      <c r="U7" s="740"/>
      <c r="V7" s="738" t="s">
        <v>358</v>
      </c>
      <c r="W7" s="739"/>
      <c r="X7" s="740"/>
      <c r="Y7" s="738" t="s">
        <v>359</v>
      </c>
      <c r="Z7" s="739"/>
      <c r="AA7" s="740"/>
      <c r="AB7" s="738" t="s">
        <v>360</v>
      </c>
      <c r="AC7" s="739"/>
      <c r="AD7" s="740"/>
      <c r="AE7" s="738" t="s">
        <v>361</v>
      </c>
      <c r="AF7" s="739"/>
      <c r="AG7" s="740"/>
      <c r="AH7" s="738" t="s">
        <v>362</v>
      </c>
      <c r="AI7" s="739"/>
      <c r="AJ7" s="740"/>
      <c r="AK7" s="738" t="s">
        <v>363</v>
      </c>
      <c r="AL7" s="739"/>
      <c r="AM7" s="740"/>
      <c r="AN7" s="722" t="s">
        <v>313</v>
      </c>
      <c r="AO7" s="723"/>
      <c r="AP7" s="724"/>
      <c r="AQ7" s="719" t="s">
        <v>364</v>
      </c>
      <c r="AR7" s="719" t="s">
        <v>315</v>
      </c>
    </row>
    <row r="8" spans="1:47" ht="14.1" customHeight="1">
      <c r="A8" s="714"/>
      <c r="B8" s="717"/>
      <c r="C8" s="178" t="s">
        <v>316</v>
      </c>
      <c r="D8" s="730"/>
      <c r="E8" s="731"/>
      <c r="F8" s="732"/>
      <c r="G8" s="730"/>
      <c r="H8" s="731"/>
      <c r="I8" s="732"/>
      <c r="J8" s="730"/>
      <c r="K8" s="731"/>
      <c r="L8" s="732"/>
      <c r="M8" s="730"/>
      <c r="N8" s="731"/>
      <c r="O8" s="732"/>
      <c r="P8" s="730"/>
      <c r="Q8" s="731"/>
      <c r="R8" s="732"/>
      <c r="S8" s="730"/>
      <c r="T8" s="731"/>
      <c r="U8" s="732"/>
      <c r="V8" s="730"/>
      <c r="W8" s="731"/>
      <c r="X8" s="732"/>
      <c r="Y8" s="730"/>
      <c r="Z8" s="731"/>
      <c r="AA8" s="732"/>
      <c r="AB8" s="730"/>
      <c r="AC8" s="731"/>
      <c r="AD8" s="732"/>
      <c r="AE8" s="730"/>
      <c r="AF8" s="731"/>
      <c r="AG8" s="732"/>
      <c r="AH8" s="730"/>
      <c r="AI8" s="731"/>
      <c r="AJ8" s="732"/>
      <c r="AK8" s="730"/>
      <c r="AL8" s="731"/>
      <c r="AM8" s="732"/>
      <c r="AN8" s="725"/>
      <c r="AO8" s="697"/>
      <c r="AP8" s="726"/>
      <c r="AQ8" s="720"/>
      <c r="AR8" s="720"/>
    </row>
    <row r="9" spans="1:47" ht="14.1" customHeight="1">
      <c r="A9" s="715"/>
      <c r="B9" s="718"/>
      <c r="C9" s="178" t="s">
        <v>317</v>
      </c>
      <c r="D9" s="179" t="s">
        <v>365</v>
      </c>
      <c r="E9" s="180" t="s">
        <v>366</v>
      </c>
      <c r="F9" s="181" t="s">
        <v>367</v>
      </c>
      <c r="G9" s="179" t="s">
        <v>365</v>
      </c>
      <c r="H9" s="180" t="s">
        <v>366</v>
      </c>
      <c r="I9" s="181" t="s">
        <v>367</v>
      </c>
      <c r="J9" s="179" t="s">
        <v>365</v>
      </c>
      <c r="K9" s="180" t="s">
        <v>366</v>
      </c>
      <c r="L9" s="181" t="s">
        <v>367</v>
      </c>
      <c r="M9" s="179" t="s">
        <v>365</v>
      </c>
      <c r="N9" s="180" t="s">
        <v>366</v>
      </c>
      <c r="O9" s="181" t="s">
        <v>367</v>
      </c>
      <c r="P9" s="179" t="s">
        <v>365</v>
      </c>
      <c r="Q9" s="180" t="s">
        <v>366</v>
      </c>
      <c r="R9" s="181" t="s">
        <v>367</v>
      </c>
      <c r="S9" s="179" t="s">
        <v>365</v>
      </c>
      <c r="T9" s="180" t="s">
        <v>366</v>
      </c>
      <c r="U9" s="181" t="s">
        <v>367</v>
      </c>
      <c r="V9" s="179" t="s">
        <v>365</v>
      </c>
      <c r="W9" s="180" t="s">
        <v>366</v>
      </c>
      <c r="X9" s="181" t="s">
        <v>367</v>
      </c>
      <c r="Y9" s="179" t="s">
        <v>365</v>
      </c>
      <c r="Z9" s="180" t="s">
        <v>366</v>
      </c>
      <c r="AA9" s="181" t="s">
        <v>367</v>
      </c>
      <c r="AB9" s="179" t="s">
        <v>365</v>
      </c>
      <c r="AC9" s="180" t="s">
        <v>366</v>
      </c>
      <c r="AD9" s="181" t="s">
        <v>367</v>
      </c>
      <c r="AE9" s="179" t="s">
        <v>365</v>
      </c>
      <c r="AF9" s="180" t="s">
        <v>366</v>
      </c>
      <c r="AG9" s="181" t="s">
        <v>367</v>
      </c>
      <c r="AH9" s="179" t="s">
        <v>365</v>
      </c>
      <c r="AI9" s="180" t="s">
        <v>366</v>
      </c>
      <c r="AJ9" s="181" t="s">
        <v>367</v>
      </c>
      <c r="AK9" s="179" t="s">
        <v>365</v>
      </c>
      <c r="AL9" s="180" t="s">
        <v>366</v>
      </c>
      <c r="AM9" s="181" t="s">
        <v>367</v>
      </c>
      <c r="AN9" s="725"/>
      <c r="AO9" s="697"/>
      <c r="AP9" s="726"/>
      <c r="AQ9" s="721"/>
      <c r="AR9" s="720"/>
    </row>
    <row r="10" spans="1:47" ht="14.1" customHeight="1">
      <c r="A10" s="182">
        <v>1</v>
      </c>
      <c r="B10" s="183"/>
      <c r="C10" s="184"/>
      <c r="D10" s="185"/>
      <c r="E10" s="186"/>
      <c r="F10" s="187"/>
      <c r="G10" s="188"/>
      <c r="H10" s="186"/>
      <c r="I10" s="187"/>
      <c r="J10" s="188"/>
      <c r="K10" s="186"/>
      <c r="L10" s="187"/>
      <c r="M10" s="188"/>
      <c r="N10" s="186"/>
      <c r="O10" s="187"/>
      <c r="P10" s="188"/>
      <c r="Q10" s="186"/>
      <c r="R10" s="187"/>
      <c r="S10" s="188"/>
      <c r="T10" s="186"/>
      <c r="U10" s="187"/>
      <c r="V10" s="188"/>
      <c r="W10" s="186"/>
      <c r="X10" s="187"/>
      <c r="Y10" s="188"/>
      <c r="Z10" s="186"/>
      <c r="AA10" s="187"/>
      <c r="AB10" s="188"/>
      <c r="AC10" s="186"/>
      <c r="AD10" s="187"/>
      <c r="AE10" s="188"/>
      <c r="AF10" s="186"/>
      <c r="AG10" s="187"/>
      <c r="AH10" s="188"/>
      <c r="AI10" s="186"/>
      <c r="AJ10" s="187"/>
      <c r="AK10" s="188"/>
      <c r="AL10" s="186"/>
      <c r="AM10" s="217"/>
      <c r="AN10" s="218"/>
      <c r="AO10" s="229"/>
      <c r="AP10" s="230"/>
      <c r="AQ10" s="231"/>
      <c r="AR10" s="232"/>
    </row>
    <row r="11" spans="1:47" ht="14.1" customHeight="1">
      <c r="A11" s="189">
        <v>2</v>
      </c>
      <c r="B11" s="190"/>
      <c r="C11" s="191"/>
      <c r="D11" s="192"/>
      <c r="E11" s="193"/>
      <c r="F11" s="194"/>
      <c r="G11" s="195"/>
      <c r="H11" s="193"/>
      <c r="I11" s="194"/>
      <c r="J11" s="195"/>
      <c r="K11" s="193"/>
      <c r="L11" s="194"/>
      <c r="M11" s="195"/>
      <c r="N11" s="193"/>
      <c r="O11" s="194"/>
      <c r="P11" s="195"/>
      <c r="Q11" s="193"/>
      <c r="R11" s="194"/>
      <c r="S11" s="195"/>
      <c r="T11" s="193"/>
      <c r="U11" s="194"/>
      <c r="V11" s="195"/>
      <c r="W11" s="193"/>
      <c r="X11" s="194"/>
      <c r="Y11" s="195"/>
      <c r="Z11" s="193"/>
      <c r="AA11" s="194"/>
      <c r="AB11" s="195"/>
      <c r="AC11" s="193"/>
      <c r="AD11" s="194"/>
      <c r="AE11" s="195"/>
      <c r="AF11" s="193"/>
      <c r="AG11" s="194"/>
      <c r="AH11" s="195"/>
      <c r="AI11" s="193"/>
      <c r="AJ11" s="194"/>
      <c r="AK11" s="195"/>
      <c r="AL11" s="193"/>
      <c r="AM11" s="219"/>
      <c r="AN11" s="220"/>
      <c r="AO11" s="233"/>
      <c r="AP11" s="234"/>
      <c r="AQ11" s="231"/>
      <c r="AR11" s="235"/>
    </row>
    <row r="12" spans="1:47" ht="14.1" customHeight="1">
      <c r="A12" s="189">
        <v>3</v>
      </c>
      <c r="B12" s="190"/>
      <c r="C12" s="196"/>
      <c r="D12" s="192"/>
      <c r="E12" s="193"/>
      <c r="F12" s="194"/>
      <c r="G12" s="195"/>
      <c r="H12" s="193"/>
      <c r="I12" s="194"/>
      <c r="J12" s="195"/>
      <c r="K12" s="193"/>
      <c r="L12" s="194"/>
      <c r="M12" s="195"/>
      <c r="N12" s="193"/>
      <c r="O12" s="194"/>
      <c r="P12" s="195"/>
      <c r="Q12" s="193"/>
      <c r="R12" s="194"/>
      <c r="S12" s="195"/>
      <c r="T12" s="193"/>
      <c r="U12" s="194"/>
      <c r="V12" s="195"/>
      <c r="W12" s="193"/>
      <c r="X12" s="194"/>
      <c r="Y12" s="195"/>
      <c r="Z12" s="193"/>
      <c r="AA12" s="194"/>
      <c r="AB12" s="195"/>
      <c r="AC12" s="193"/>
      <c r="AD12" s="194"/>
      <c r="AE12" s="195"/>
      <c r="AF12" s="193"/>
      <c r="AG12" s="194"/>
      <c r="AH12" s="195"/>
      <c r="AI12" s="193"/>
      <c r="AJ12" s="194"/>
      <c r="AK12" s="195"/>
      <c r="AL12" s="193"/>
      <c r="AM12" s="219"/>
      <c r="AN12" s="221"/>
      <c r="AO12" s="236"/>
      <c r="AP12" s="237"/>
      <c r="AQ12" s="231"/>
      <c r="AR12" s="235"/>
    </row>
    <row r="13" spans="1:47" ht="14.1" customHeight="1">
      <c r="A13" s="189">
        <v>4</v>
      </c>
      <c r="B13" s="190"/>
      <c r="C13" s="196"/>
      <c r="D13" s="192"/>
      <c r="E13" s="193"/>
      <c r="F13" s="194"/>
      <c r="G13" s="195"/>
      <c r="H13" s="193"/>
      <c r="I13" s="194"/>
      <c r="J13" s="195"/>
      <c r="K13" s="193"/>
      <c r="L13" s="194"/>
      <c r="M13" s="195"/>
      <c r="N13" s="193"/>
      <c r="O13" s="194"/>
      <c r="P13" s="195"/>
      <c r="Q13" s="193"/>
      <c r="R13" s="194"/>
      <c r="S13" s="195"/>
      <c r="T13" s="193"/>
      <c r="U13" s="194"/>
      <c r="V13" s="195"/>
      <c r="W13" s="193"/>
      <c r="X13" s="194"/>
      <c r="Y13" s="195"/>
      <c r="Z13" s="193"/>
      <c r="AA13" s="194"/>
      <c r="AB13" s="195"/>
      <c r="AC13" s="193"/>
      <c r="AD13" s="194"/>
      <c r="AE13" s="195"/>
      <c r="AF13" s="193"/>
      <c r="AG13" s="194"/>
      <c r="AH13" s="195"/>
      <c r="AI13" s="193"/>
      <c r="AJ13" s="194"/>
      <c r="AK13" s="195"/>
      <c r="AL13" s="193"/>
      <c r="AM13" s="219"/>
      <c r="AN13" s="220"/>
      <c r="AO13" s="233"/>
      <c r="AP13" s="234"/>
      <c r="AQ13" s="231"/>
      <c r="AR13" s="235"/>
    </row>
    <row r="14" spans="1:47" ht="14.1" customHeight="1">
      <c r="A14" s="189">
        <v>5</v>
      </c>
      <c r="B14" s="190"/>
      <c r="C14" s="196"/>
      <c r="D14" s="192"/>
      <c r="E14" s="193"/>
      <c r="F14" s="194"/>
      <c r="G14" s="195"/>
      <c r="H14" s="193"/>
      <c r="I14" s="194"/>
      <c r="J14" s="195"/>
      <c r="K14" s="193"/>
      <c r="L14" s="194"/>
      <c r="M14" s="195"/>
      <c r="N14" s="193"/>
      <c r="O14" s="194"/>
      <c r="P14" s="195"/>
      <c r="Q14" s="193"/>
      <c r="R14" s="194"/>
      <c r="S14" s="195"/>
      <c r="T14" s="193"/>
      <c r="U14" s="194"/>
      <c r="V14" s="195"/>
      <c r="W14" s="193"/>
      <c r="X14" s="194"/>
      <c r="Y14" s="195"/>
      <c r="Z14" s="193"/>
      <c r="AA14" s="194"/>
      <c r="AB14" s="195"/>
      <c r="AC14" s="193"/>
      <c r="AD14" s="194"/>
      <c r="AE14" s="195"/>
      <c r="AF14" s="193"/>
      <c r="AG14" s="194"/>
      <c r="AH14" s="195"/>
      <c r="AI14" s="193"/>
      <c r="AJ14" s="194"/>
      <c r="AK14" s="195"/>
      <c r="AL14" s="193"/>
      <c r="AM14" s="219"/>
      <c r="AN14" s="221"/>
      <c r="AO14" s="236"/>
      <c r="AP14" s="237"/>
      <c r="AQ14" s="231"/>
      <c r="AR14" s="235"/>
    </row>
    <row r="15" spans="1:47" ht="14.1" customHeight="1">
      <c r="A15" s="189">
        <v>6</v>
      </c>
      <c r="B15" s="190"/>
      <c r="C15" s="197"/>
      <c r="D15" s="192"/>
      <c r="E15" s="193"/>
      <c r="F15" s="194"/>
      <c r="G15" s="195"/>
      <c r="H15" s="193"/>
      <c r="I15" s="194"/>
      <c r="J15" s="195"/>
      <c r="K15" s="193"/>
      <c r="L15" s="194"/>
      <c r="M15" s="195"/>
      <c r="N15" s="193"/>
      <c r="O15" s="194"/>
      <c r="P15" s="195"/>
      <c r="Q15" s="193"/>
      <c r="R15" s="194"/>
      <c r="S15" s="195"/>
      <c r="T15" s="193"/>
      <c r="U15" s="194"/>
      <c r="V15" s="195"/>
      <c r="W15" s="193"/>
      <c r="X15" s="194"/>
      <c r="Y15" s="195"/>
      <c r="Z15" s="193"/>
      <c r="AA15" s="194"/>
      <c r="AB15" s="195"/>
      <c r="AC15" s="193"/>
      <c r="AD15" s="194"/>
      <c r="AE15" s="195"/>
      <c r="AF15" s="193"/>
      <c r="AG15" s="194"/>
      <c r="AH15" s="195"/>
      <c r="AI15" s="193"/>
      <c r="AJ15" s="194"/>
      <c r="AK15" s="195"/>
      <c r="AL15" s="193"/>
      <c r="AM15" s="219"/>
      <c r="AN15" s="220"/>
      <c r="AO15" s="233"/>
      <c r="AP15" s="234"/>
      <c r="AQ15" s="231"/>
      <c r="AR15" s="235"/>
    </row>
    <row r="16" spans="1:47" ht="14.1" customHeight="1">
      <c r="A16" s="189">
        <v>7</v>
      </c>
      <c r="B16" s="190"/>
      <c r="C16" s="197"/>
      <c r="D16" s="192"/>
      <c r="E16" s="193"/>
      <c r="F16" s="194"/>
      <c r="G16" s="195"/>
      <c r="H16" s="193"/>
      <c r="I16" s="194"/>
      <c r="J16" s="195"/>
      <c r="K16" s="193"/>
      <c r="L16" s="194"/>
      <c r="M16" s="195"/>
      <c r="N16" s="193"/>
      <c r="O16" s="194"/>
      <c r="P16" s="195"/>
      <c r="Q16" s="193"/>
      <c r="R16" s="194"/>
      <c r="S16" s="195"/>
      <c r="T16" s="193"/>
      <c r="U16" s="194"/>
      <c r="V16" s="195"/>
      <c r="W16" s="193"/>
      <c r="X16" s="194"/>
      <c r="Y16" s="195"/>
      <c r="Z16" s="193"/>
      <c r="AA16" s="194"/>
      <c r="AB16" s="195"/>
      <c r="AC16" s="193"/>
      <c r="AD16" s="194"/>
      <c r="AE16" s="195"/>
      <c r="AF16" s="193"/>
      <c r="AG16" s="194"/>
      <c r="AH16" s="195"/>
      <c r="AI16" s="193"/>
      <c r="AJ16" s="194"/>
      <c r="AK16" s="195"/>
      <c r="AL16" s="193"/>
      <c r="AM16" s="219"/>
      <c r="AN16" s="221"/>
      <c r="AO16" s="236"/>
      <c r="AP16" s="237"/>
      <c r="AQ16" s="231"/>
      <c r="AR16" s="235"/>
    </row>
    <row r="17" spans="1:44" ht="14.1" customHeight="1">
      <c r="A17" s="189">
        <v>8</v>
      </c>
      <c r="B17" s="190"/>
      <c r="C17" s="198"/>
      <c r="D17" s="192"/>
      <c r="E17" s="193"/>
      <c r="F17" s="194"/>
      <c r="G17" s="195"/>
      <c r="H17" s="193"/>
      <c r="I17" s="194"/>
      <c r="J17" s="195"/>
      <c r="K17" s="193"/>
      <c r="L17" s="194"/>
      <c r="M17" s="195"/>
      <c r="N17" s="193"/>
      <c r="O17" s="194"/>
      <c r="P17" s="195"/>
      <c r="Q17" s="193"/>
      <c r="R17" s="194"/>
      <c r="S17" s="195"/>
      <c r="T17" s="193"/>
      <c r="U17" s="194"/>
      <c r="V17" s="195"/>
      <c r="W17" s="193"/>
      <c r="X17" s="194"/>
      <c r="Y17" s="195"/>
      <c r="Z17" s="193"/>
      <c r="AA17" s="194"/>
      <c r="AB17" s="195"/>
      <c r="AC17" s="193"/>
      <c r="AD17" s="194"/>
      <c r="AE17" s="195"/>
      <c r="AF17" s="193"/>
      <c r="AG17" s="194"/>
      <c r="AH17" s="195"/>
      <c r="AI17" s="193"/>
      <c r="AJ17" s="194"/>
      <c r="AK17" s="195"/>
      <c r="AL17" s="193"/>
      <c r="AM17" s="219"/>
      <c r="AN17" s="220"/>
      <c r="AO17" s="233"/>
      <c r="AP17" s="234"/>
      <c r="AQ17" s="231"/>
      <c r="AR17" s="235"/>
    </row>
    <row r="18" spans="1:44" ht="14.1" customHeight="1">
      <c r="A18" s="189">
        <v>9</v>
      </c>
      <c r="B18" s="190"/>
      <c r="C18" s="198"/>
      <c r="D18" s="192"/>
      <c r="E18" s="193"/>
      <c r="F18" s="194"/>
      <c r="G18" s="195"/>
      <c r="H18" s="193"/>
      <c r="I18" s="194"/>
      <c r="J18" s="195"/>
      <c r="K18" s="193"/>
      <c r="L18" s="194"/>
      <c r="M18" s="195"/>
      <c r="N18" s="193"/>
      <c r="O18" s="194"/>
      <c r="P18" s="195"/>
      <c r="Q18" s="193"/>
      <c r="R18" s="194"/>
      <c r="S18" s="195"/>
      <c r="T18" s="193"/>
      <c r="U18" s="194"/>
      <c r="V18" s="195"/>
      <c r="W18" s="193"/>
      <c r="X18" s="194"/>
      <c r="Y18" s="195"/>
      <c r="Z18" s="193"/>
      <c r="AA18" s="194"/>
      <c r="AB18" s="195"/>
      <c r="AC18" s="193"/>
      <c r="AD18" s="194"/>
      <c r="AE18" s="195"/>
      <c r="AF18" s="193"/>
      <c r="AG18" s="194"/>
      <c r="AH18" s="195"/>
      <c r="AI18" s="193"/>
      <c r="AJ18" s="194"/>
      <c r="AK18" s="195"/>
      <c r="AL18" s="193"/>
      <c r="AM18" s="219"/>
      <c r="AN18" s="221"/>
      <c r="AO18" s="236"/>
      <c r="AP18" s="237"/>
      <c r="AQ18" s="231"/>
      <c r="AR18" s="235"/>
    </row>
    <row r="19" spans="1:44" ht="14.1" customHeight="1">
      <c r="A19" s="189">
        <v>10</v>
      </c>
      <c r="B19" s="190"/>
      <c r="C19" s="196"/>
      <c r="D19" s="192"/>
      <c r="E19" s="193"/>
      <c r="F19" s="194"/>
      <c r="G19" s="195"/>
      <c r="H19" s="193"/>
      <c r="I19" s="194"/>
      <c r="J19" s="195"/>
      <c r="K19" s="193"/>
      <c r="L19" s="194"/>
      <c r="M19" s="195"/>
      <c r="N19" s="193"/>
      <c r="O19" s="194"/>
      <c r="P19" s="195"/>
      <c r="Q19" s="193"/>
      <c r="R19" s="194"/>
      <c r="S19" s="195"/>
      <c r="T19" s="193"/>
      <c r="U19" s="194"/>
      <c r="V19" s="195"/>
      <c r="W19" s="193"/>
      <c r="X19" s="194"/>
      <c r="Y19" s="195"/>
      <c r="Z19" s="193"/>
      <c r="AA19" s="194"/>
      <c r="AB19" s="195"/>
      <c r="AC19" s="193"/>
      <c r="AD19" s="194"/>
      <c r="AE19" s="195"/>
      <c r="AF19" s="193"/>
      <c r="AG19" s="194"/>
      <c r="AH19" s="195"/>
      <c r="AI19" s="193"/>
      <c r="AJ19" s="194"/>
      <c r="AK19" s="195"/>
      <c r="AL19" s="193"/>
      <c r="AM19" s="219"/>
      <c r="AN19" s="220"/>
      <c r="AO19" s="233"/>
      <c r="AP19" s="234"/>
      <c r="AQ19" s="231"/>
      <c r="AR19" s="235"/>
    </row>
    <row r="20" spans="1:44" ht="14.1" customHeight="1">
      <c r="A20" s="189">
        <v>11</v>
      </c>
      <c r="B20" s="190"/>
      <c r="C20" s="199"/>
      <c r="D20" s="192"/>
      <c r="E20" s="193"/>
      <c r="F20" s="194"/>
      <c r="G20" s="195"/>
      <c r="H20" s="193"/>
      <c r="I20" s="194"/>
      <c r="J20" s="195"/>
      <c r="K20" s="193"/>
      <c r="L20" s="194"/>
      <c r="M20" s="195"/>
      <c r="N20" s="193"/>
      <c r="O20" s="194"/>
      <c r="P20" s="195"/>
      <c r="Q20" s="193"/>
      <c r="R20" s="194"/>
      <c r="S20" s="195"/>
      <c r="T20" s="193"/>
      <c r="U20" s="194"/>
      <c r="V20" s="195"/>
      <c r="W20" s="193"/>
      <c r="X20" s="194"/>
      <c r="Y20" s="195"/>
      <c r="Z20" s="193"/>
      <c r="AA20" s="194"/>
      <c r="AB20" s="195"/>
      <c r="AC20" s="193"/>
      <c r="AD20" s="194"/>
      <c r="AE20" s="195"/>
      <c r="AF20" s="193"/>
      <c r="AG20" s="194"/>
      <c r="AH20" s="195"/>
      <c r="AI20" s="193"/>
      <c r="AJ20" s="194"/>
      <c r="AK20" s="195"/>
      <c r="AL20" s="193"/>
      <c r="AM20" s="219"/>
      <c r="AN20" s="221"/>
      <c r="AO20" s="236"/>
      <c r="AP20" s="237"/>
      <c r="AQ20" s="231"/>
      <c r="AR20" s="235"/>
    </row>
    <row r="21" spans="1:44" ht="14.1" customHeight="1">
      <c r="A21" s="189">
        <v>12</v>
      </c>
      <c r="B21" s="190"/>
      <c r="C21" s="196"/>
      <c r="D21" s="192"/>
      <c r="E21" s="193"/>
      <c r="F21" s="194"/>
      <c r="G21" s="195"/>
      <c r="H21" s="193"/>
      <c r="I21" s="194"/>
      <c r="J21" s="195"/>
      <c r="K21" s="193"/>
      <c r="L21" s="194"/>
      <c r="M21" s="195"/>
      <c r="N21" s="193"/>
      <c r="O21" s="194"/>
      <c r="P21" s="195"/>
      <c r="Q21" s="193"/>
      <c r="R21" s="194"/>
      <c r="S21" s="195"/>
      <c r="T21" s="193"/>
      <c r="U21" s="194"/>
      <c r="V21" s="195"/>
      <c r="W21" s="193"/>
      <c r="X21" s="194"/>
      <c r="Y21" s="195"/>
      <c r="Z21" s="193"/>
      <c r="AA21" s="194"/>
      <c r="AB21" s="195"/>
      <c r="AC21" s="193"/>
      <c r="AD21" s="194"/>
      <c r="AE21" s="195"/>
      <c r="AF21" s="193"/>
      <c r="AG21" s="194"/>
      <c r="AH21" s="195"/>
      <c r="AI21" s="193"/>
      <c r="AJ21" s="194"/>
      <c r="AK21" s="195"/>
      <c r="AL21" s="193"/>
      <c r="AM21" s="219"/>
      <c r="AN21" s="220"/>
      <c r="AO21" s="233"/>
      <c r="AP21" s="234"/>
      <c r="AQ21" s="231"/>
      <c r="AR21" s="235"/>
    </row>
    <row r="22" spans="1:44" ht="14.1" customHeight="1">
      <c r="A22" s="189">
        <v>13</v>
      </c>
      <c r="B22" s="190"/>
      <c r="C22" s="196"/>
      <c r="D22" s="192"/>
      <c r="E22" s="193"/>
      <c r="F22" s="194"/>
      <c r="G22" s="195"/>
      <c r="H22" s="193"/>
      <c r="I22" s="194"/>
      <c r="J22" s="195"/>
      <c r="K22" s="193"/>
      <c r="L22" s="194"/>
      <c r="M22" s="195"/>
      <c r="N22" s="193"/>
      <c r="O22" s="194"/>
      <c r="P22" s="195"/>
      <c r="Q22" s="193"/>
      <c r="R22" s="194"/>
      <c r="S22" s="195"/>
      <c r="T22" s="193"/>
      <c r="U22" s="194"/>
      <c r="V22" s="195"/>
      <c r="W22" s="193"/>
      <c r="X22" s="194"/>
      <c r="Y22" s="195"/>
      <c r="Z22" s="193"/>
      <c r="AA22" s="194"/>
      <c r="AB22" s="195"/>
      <c r="AC22" s="193"/>
      <c r="AD22" s="194"/>
      <c r="AE22" s="195"/>
      <c r="AF22" s="193"/>
      <c r="AG22" s="194"/>
      <c r="AH22" s="195"/>
      <c r="AI22" s="193"/>
      <c r="AJ22" s="194"/>
      <c r="AK22" s="195"/>
      <c r="AL22" s="193"/>
      <c r="AM22" s="219"/>
      <c r="AN22" s="221"/>
      <c r="AO22" s="236"/>
      <c r="AP22" s="237"/>
      <c r="AQ22" s="231"/>
      <c r="AR22" s="235"/>
    </row>
    <row r="23" spans="1:44" ht="14.1" customHeight="1">
      <c r="A23" s="189">
        <v>14</v>
      </c>
      <c r="B23" s="190"/>
      <c r="C23" s="196"/>
      <c r="D23" s="192"/>
      <c r="E23" s="193"/>
      <c r="F23" s="194"/>
      <c r="G23" s="195"/>
      <c r="H23" s="193"/>
      <c r="I23" s="194"/>
      <c r="J23" s="195"/>
      <c r="K23" s="193"/>
      <c r="L23" s="194"/>
      <c r="M23" s="195"/>
      <c r="N23" s="193"/>
      <c r="O23" s="194"/>
      <c r="P23" s="195"/>
      <c r="Q23" s="193"/>
      <c r="R23" s="194"/>
      <c r="S23" s="195"/>
      <c r="T23" s="193"/>
      <c r="U23" s="194"/>
      <c r="V23" s="195"/>
      <c r="W23" s="193"/>
      <c r="X23" s="194"/>
      <c r="Y23" s="195"/>
      <c r="Z23" s="193"/>
      <c r="AA23" s="194"/>
      <c r="AB23" s="195"/>
      <c r="AC23" s="193"/>
      <c r="AD23" s="194"/>
      <c r="AE23" s="195"/>
      <c r="AF23" s="193"/>
      <c r="AG23" s="194"/>
      <c r="AH23" s="195"/>
      <c r="AI23" s="193"/>
      <c r="AJ23" s="194"/>
      <c r="AK23" s="195"/>
      <c r="AL23" s="193"/>
      <c r="AM23" s="219"/>
      <c r="AN23" s="220"/>
      <c r="AO23" s="233"/>
      <c r="AP23" s="234"/>
      <c r="AQ23" s="231"/>
      <c r="AR23" s="235"/>
    </row>
    <row r="24" spans="1:44" ht="14.1" customHeight="1">
      <c r="A24" s="189">
        <v>15</v>
      </c>
      <c r="B24" s="190"/>
      <c r="C24" s="196"/>
      <c r="D24" s="192"/>
      <c r="E24" s="193"/>
      <c r="F24" s="194"/>
      <c r="G24" s="195"/>
      <c r="H24" s="193"/>
      <c r="I24" s="194"/>
      <c r="J24" s="195"/>
      <c r="K24" s="193"/>
      <c r="L24" s="194"/>
      <c r="M24" s="195"/>
      <c r="N24" s="193"/>
      <c r="O24" s="194"/>
      <c r="P24" s="195"/>
      <c r="Q24" s="193"/>
      <c r="R24" s="194"/>
      <c r="S24" s="195"/>
      <c r="T24" s="193"/>
      <c r="U24" s="194"/>
      <c r="V24" s="195"/>
      <c r="W24" s="193"/>
      <c r="X24" s="194"/>
      <c r="Y24" s="195"/>
      <c r="Z24" s="193"/>
      <c r="AA24" s="194"/>
      <c r="AB24" s="195"/>
      <c r="AC24" s="193"/>
      <c r="AD24" s="194"/>
      <c r="AE24" s="195"/>
      <c r="AF24" s="193"/>
      <c r="AG24" s="194"/>
      <c r="AH24" s="195"/>
      <c r="AI24" s="193"/>
      <c r="AJ24" s="194"/>
      <c r="AK24" s="195"/>
      <c r="AL24" s="193"/>
      <c r="AM24" s="219"/>
      <c r="AN24" s="221"/>
      <c r="AO24" s="236"/>
      <c r="AP24" s="237"/>
      <c r="AQ24" s="231"/>
      <c r="AR24" s="235"/>
    </row>
    <row r="25" spans="1:44" ht="14.1" customHeight="1">
      <c r="A25" s="189">
        <v>16</v>
      </c>
      <c r="B25" s="190"/>
      <c r="C25" s="198"/>
      <c r="D25" s="192"/>
      <c r="E25" s="193"/>
      <c r="F25" s="194"/>
      <c r="G25" s="195"/>
      <c r="H25" s="193"/>
      <c r="I25" s="194"/>
      <c r="J25" s="195"/>
      <c r="K25" s="193"/>
      <c r="L25" s="194"/>
      <c r="M25" s="195"/>
      <c r="N25" s="193"/>
      <c r="O25" s="194"/>
      <c r="P25" s="195"/>
      <c r="Q25" s="193"/>
      <c r="R25" s="194"/>
      <c r="S25" s="195"/>
      <c r="T25" s="193"/>
      <c r="U25" s="194"/>
      <c r="V25" s="195"/>
      <c r="W25" s="193"/>
      <c r="X25" s="194"/>
      <c r="Y25" s="195"/>
      <c r="Z25" s="193"/>
      <c r="AA25" s="194"/>
      <c r="AB25" s="195"/>
      <c r="AC25" s="193"/>
      <c r="AD25" s="194"/>
      <c r="AE25" s="195"/>
      <c r="AF25" s="193"/>
      <c r="AG25" s="194"/>
      <c r="AH25" s="195"/>
      <c r="AI25" s="193"/>
      <c r="AJ25" s="194"/>
      <c r="AK25" s="195"/>
      <c r="AL25" s="193"/>
      <c r="AM25" s="219"/>
      <c r="AN25" s="220"/>
      <c r="AO25" s="233"/>
      <c r="AP25" s="234"/>
      <c r="AQ25" s="231"/>
      <c r="AR25" s="235"/>
    </row>
    <row r="26" spans="1:44" ht="14.1" customHeight="1">
      <c r="A26" s="189">
        <v>17</v>
      </c>
      <c r="B26" s="190"/>
      <c r="C26" s="196"/>
      <c r="D26" s="192"/>
      <c r="E26" s="193"/>
      <c r="F26" s="194"/>
      <c r="G26" s="195"/>
      <c r="H26" s="193"/>
      <c r="I26" s="194"/>
      <c r="J26" s="195"/>
      <c r="K26" s="193"/>
      <c r="L26" s="194"/>
      <c r="M26" s="195"/>
      <c r="N26" s="193"/>
      <c r="O26" s="194"/>
      <c r="P26" s="195"/>
      <c r="Q26" s="193"/>
      <c r="R26" s="194"/>
      <c r="S26" s="195"/>
      <c r="T26" s="193"/>
      <c r="U26" s="194"/>
      <c r="V26" s="195"/>
      <c r="W26" s="193"/>
      <c r="X26" s="194"/>
      <c r="Y26" s="195"/>
      <c r="Z26" s="193"/>
      <c r="AA26" s="194"/>
      <c r="AB26" s="195"/>
      <c r="AC26" s="193"/>
      <c r="AD26" s="194"/>
      <c r="AE26" s="195"/>
      <c r="AF26" s="193"/>
      <c r="AG26" s="194"/>
      <c r="AH26" s="195"/>
      <c r="AI26" s="193"/>
      <c r="AJ26" s="194"/>
      <c r="AK26" s="195"/>
      <c r="AL26" s="193"/>
      <c r="AM26" s="219"/>
      <c r="AN26" s="221"/>
      <c r="AO26" s="236"/>
      <c r="AP26" s="237"/>
      <c r="AQ26" s="231"/>
      <c r="AR26" s="235"/>
    </row>
    <row r="27" spans="1:44" ht="14.1" customHeight="1">
      <c r="A27" s="189">
        <v>18</v>
      </c>
      <c r="B27" s="190"/>
      <c r="C27" s="196"/>
      <c r="D27" s="192"/>
      <c r="E27" s="193"/>
      <c r="F27" s="194"/>
      <c r="G27" s="195"/>
      <c r="H27" s="193"/>
      <c r="I27" s="194"/>
      <c r="J27" s="195"/>
      <c r="K27" s="193"/>
      <c r="L27" s="194"/>
      <c r="M27" s="195"/>
      <c r="N27" s="193"/>
      <c r="O27" s="194"/>
      <c r="P27" s="195"/>
      <c r="Q27" s="193"/>
      <c r="R27" s="194"/>
      <c r="S27" s="195"/>
      <c r="T27" s="193"/>
      <c r="U27" s="194"/>
      <c r="V27" s="195"/>
      <c r="W27" s="193"/>
      <c r="X27" s="194"/>
      <c r="Y27" s="195"/>
      <c r="Z27" s="193"/>
      <c r="AA27" s="194"/>
      <c r="AB27" s="195"/>
      <c r="AC27" s="193"/>
      <c r="AD27" s="194"/>
      <c r="AE27" s="195"/>
      <c r="AF27" s="193"/>
      <c r="AG27" s="194"/>
      <c r="AH27" s="195"/>
      <c r="AI27" s="193"/>
      <c r="AJ27" s="194"/>
      <c r="AK27" s="195"/>
      <c r="AL27" s="193"/>
      <c r="AM27" s="219"/>
      <c r="AN27" s="220"/>
      <c r="AO27" s="233"/>
      <c r="AP27" s="234"/>
      <c r="AQ27" s="231"/>
      <c r="AR27" s="235"/>
    </row>
    <row r="28" spans="1:44" ht="14.1" customHeight="1">
      <c r="A28" s="189">
        <v>19</v>
      </c>
      <c r="B28" s="190"/>
      <c r="C28" s="196"/>
      <c r="D28" s="192"/>
      <c r="E28" s="193"/>
      <c r="F28" s="194"/>
      <c r="G28" s="195"/>
      <c r="H28" s="193"/>
      <c r="I28" s="194"/>
      <c r="J28" s="195"/>
      <c r="K28" s="193"/>
      <c r="L28" s="194"/>
      <c r="M28" s="195"/>
      <c r="N28" s="193"/>
      <c r="O28" s="194"/>
      <c r="P28" s="195"/>
      <c r="Q28" s="193"/>
      <c r="R28" s="194"/>
      <c r="S28" s="195"/>
      <c r="T28" s="193"/>
      <c r="U28" s="194"/>
      <c r="V28" s="195"/>
      <c r="W28" s="193"/>
      <c r="X28" s="194"/>
      <c r="Y28" s="195"/>
      <c r="Z28" s="193"/>
      <c r="AA28" s="194"/>
      <c r="AB28" s="195"/>
      <c r="AC28" s="193"/>
      <c r="AD28" s="194"/>
      <c r="AE28" s="195"/>
      <c r="AF28" s="193"/>
      <c r="AG28" s="194"/>
      <c r="AH28" s="195"/>
      <c r="AI28" s="193"/>
      <c r="AJ28" s="194"/>
      <c r="AK28" s="195"/>
      <c r="AL28" s="193"/>
      <c r="AM28" s="219"/>
      <c r="AN28" s="221"/>
      <c r="AO28" s="236"/>
      <c r="AP28" s="237"/>
      <c r="AQ28" s="231"/>
      <c r="AR28" s="235"/>
    </row>
    <row r="29" spans="1:44" ht="14.1" customHeight="1">
      <c r="A29" s="189">
        <v>20</v>
      </c>
      <c r="B29" s="190"/>
      <c r="C29" s="196"/>
      <c r="D29" s="192"/>
      <c r="E29" s="193"/>
      <c r="F29" s="194"/>
      <c r="G29" s="195"/>
      <c r="H29" s="193"/>
      <c r="I29" s="194"/>
      <c r="J29" s="195"/>
      <c r="K29" s="193"/>
      <c r="L29" s="194"/>
      <c r="M29" s="195"/>
      <c r="N29" s="193"/>
      <c r="O29" s="194"/>
      <c r="P29" s="195"/>
      <c r="Q29" s="193"/>
      <c r="R29" s="194"/>
      <c r="S29" s="195"/>
      <c r="T29" s="193"/>
      <c r="U29" s="194"/>
      <c r="V29" s="195"/>
      <c r="W29" s="193"/>
      <c r="X29" s="194"/>
      <c r="Y29" s="195"/>
      <c r="Z29" s="193"/>
      <c r="AA29" s="194"/>
      <c r="AB29" s="195"/>
      <c r="AC29" s="193"/>
      <c r="AD29" s="194"/>
      <c r="AE29" s="195"/>
      <c r="AF29" s="193"/>
      <c r="AG29" s="194"/>
      <c r="AH29" s="195"/>
      <c r="AI29" s="193"/>
      <c r="AJ29" s="194"/>
      <c r="AK29" s="195"/>
      <c r="AL29" s="193"/>
      <c r="AM29" s="219"/>
      <c r="AN29" s="220"/>
      <c r="AO29" s="233"/>
      <c r="AP29" s="234"/>
      <c r="AQ29" s="231"/>
      <c r="AR29" s="235"/>
    </row>
    <row r="30" spans="1:44" ht="14.1" customHeight="1">
      <c r="A30" s="189">
        <v>21</v>
      </c>
      <c r="B30" s="190"/>
      <c r="C30" s="196"/>
      <c r="D30" s="192"/>
      <c r="E30" s="193"/>
      <c r="F30" s="194"/>
      <c r="G30" s="195"/>
      <c r="H30" s="193"/>
      <c r="I30" s="194"/>
      <c r="J30" s="195"/>
      <c r="K30" s="193"/>
      <c r="L30" s="194"/>
      <c r="M30" s="195"/>
      <c r="N30" s="193"/>
      <c r="O30" s="194"/>
      <c r="P30" s="195"/>
      <c r="Q30" s="193"/>
      <c r="R30" s="194"/>
      <c r="S30" s="195"/>
      <c r="T30" s="193"/>
      <c r="U30" s="194"/>
      <c r="V30" s="195"/>
      <c r="W30" s="193"/>
      <c r="X30" s="194"/>
      <c r="Y30" s="195"/>
      <c r="Z30" s="193"/>
      <c r="AA30" s="194"/>
      <c r="AB30" s="195"/>
      <c r="AC30" s="193"/>
      <c r="AD30" s="194"/>
      <c r="AE30" s="195"/>
      <c r="AF30" s="193"/>
      <c r="AG30" s="194"/>
      <c r="AH30" s="195"/>
      <c r="AI30" s="193"/>
      <c r="AJ30" s="194"/>
      <c r="AK30" s="195"/>
      <c r="AL30" s="193"/>
      <c r="AM30" s="219"/>
      <c r="AN30" s="221"/>
      <c r="AO30" s="236"/>
      <c r="AP30" s="237"/>
      <c r="AQ30" s="231"/>
      <c r="AR30" s="235"/>
    </row>
    <row r="31" spans="1:44" ht="14.1" customHeight="1">
      <c r="A31" s="189">
        <v>22</v>
      </c>
      <c r="B31" s="190"/>
      <c r="C31" s="196"/>
      <c r="D31" s="192"/>
      <c r="E31" s="193"/>
      <c r="F31" s="194"/>
      <c r="G31" s="195"/>
      <c r="H31" s="193"/>
      <c r="I31" s="194"/>
      <c r="J31" s="195"/>
      <c r="K31" s="193"/>
      <c r="L31" s="194"/>
      <c r="M31" s="195"/>
      <c r="N31" s="193"/>
      <c r="O31" s="194"/>
      <c r="P31" s="195"/>
      <c r="Q31" s="193"/>
      <c r="R31" s="194"/>
      <c r="S31" s="195"/>
      <c r="T31" s="193"/>
      <c r="U31" s="194"/>
      <c r="V31" s="195"/>
      <c r="W31" s="193"/>
      <c r="X31" s="194"/>
      <c r="Y31" s="195"/>
      <c r="Z31" s="193"/>
      <c r="AA31" s="194"/>
      <c r="AB31" s="195"/>
      <c r="AC31" s="193"/>
      <c r="AD31" s="194"/>
      <c r="AE31" s="195"/>
      <c r="AF31" s="193"/>
      <c r="AG31" s="194"/>
      <c r="AH31" s="195"/>
      <c r="AI31" s="193"/>
      <c r="AJ31" s="194"/>
      <c r="AK31" s="195"/>
      <c r="AL31" s="193"/>
      <c r="AM31" s="219"/>
      <c r="AN31" s="220"/>
      <c r="AO31" s="233"/>
      <c r="AP31" s="234"/>
      <c r="AQ31" s="231"/>
      <c r="AR31" s="235"/>
    </row>
    <row r="32" spans="1:44" ht="14.1" customHeight="1">
      <c r="A32" s="189">
        <v>23</v>
      </c>
      <c r="B32" s="190"/>
      <c r="C32" s="198"/>
      <c r="D32" s="192"/>
      <c r="E32" s="193"/>
      <c r="F32" s="194"/>
      <c r="G32" s="195"/>
      <c r="H32" s="193"/>
      <c r="I32" s="194"/>
      <c r="J32" s="195"/>
      <c r="K32" s="193"/>
      <c r="L32" s="194"/>
      <c r="M32" s="195"/>
      <c r="N32" s="193"/>
      <c r="O32" s="194"/>
      <c r="P32" s="195"/>
      <c r="Q32" s="193"/>
      <c r="R32" s="194"/>
      <c r="S32" s="195"/>
      <c r="T32" s="193"/>
      <c r="U32" s="194"/>
      <c r="V32" s="195"/>
      <c r="W32" s="193"/>
      <c r="X32" s="194"/>
      <c r="Y32" s="195"/>
      <c r="Z32" s="193"/>
      <c r="AA32" s="194"/>
      <c r="AB32" s="195"/>
      <c r="AC32" s="193"/>
      <c r="AD32" s="194"/>
      <c r="AE32" s="195"/>
      <c r="AF32" s="193"/>
      <c r="AG32" s="194"/>
      <c r="AH32" s="195"/>
      <c r="AI32" s="193"/>
      <c r="AJ32" s="194"/>
      <c r="AK32" s="195"/>
      <c r="AL32" s="193"/>
      <c r="AM32" s="219"/>
      <c r="AN32" s="221"/>
      <c r="AO32" s="236"/>
      <c r="AP32" s="237"/>
      <c r="AQ32" s="231"/>
      <c r="AR32" s="235"/>
    </row>
    <row r="33" spans="1:46" ht="14.1" customHeight="1">
      <c r="A33" s="189">
        <v>24</v>
      </c>
      <c r="B33" s="190"/>
      <c r="C33" s="198"/>
      <c r="D33" s="192"/>
      <c r="E33" s="193"/>
      <c r="F33" s="194"/>
      <c r="G33" s="195"/>
      <c r="H33" s="193"/>
      <c r="I33" s="194"/>
      <c r="J33" s="195"/>
      <c r="K33" s="193"/>
      <c r="L33" s="194"/>
      <c r="M33" s="195"/>
      <c r="N33" s="193"/>
      <c r="O33" s="194"/>
      <c r="P33" s="195"/>
      <c r="Q33" s="193"/>
      <c r="R33" s="194"/>
      <c r="S33" s="195"/>
      <c r="T33" s="193"/>
      <c r="U33" s="194"/>
      <c r="V33" s="195"/>
      <c r="W33" s="193"/>
      <c r="X33" s="194"/>
      <c r="Y33" s="195"/>
      <c r="Z33" s="193"/>
      <c r="AA33" s="194"/>
      <c r="AB33" s="195"/>
      <c r="AC33" s="193"/>
      <c r="AD33" s="194"/>
      <c r="AE33" s="195"/>
      <c r="AF33" s="193"/>
      <c r="AG33" s="194"/>
      <c r="AH33" s="195"/>
      <c r="AI33" s="193"/>
      <c r="AJ33" s="194"/>
      <c r="AK33" s="195"/>
      <c r="AL33" s="193"/>
      <c r="AM33" s="219"/>
      <c r="AN33" s="220"/>
      <c r="AO33" s="233"/>
      <c r="AP33" s="234"/>
      <c r="AQ33" s="231"/>
      <c r="AR33" s="235"/>
    </row>
    <row r="34" spans="1:46" ht="14.1" customHeight="1">
      <c r="A34" s="189">
        <v>25</v>
      </c>
      <c r="B34" s="190"/>
      <c r="C34" s="197"/>
      <c r="D34" s="192"/>
      <c r="E34" s="193"/>
      <c r="F34" s="194"/>
      <c r="G34" s="195"/>
      <c r="H34" s="193"/>
      <c r="I34" s="194"/>
      <c r="J34" s="195"/>
      <c r="K34" s="193"/>
      <c r="L34" s="194"/>
      <c r="M34" s="195"/>
      <c r="N34" s="193"/>
      <c r="O34" s="194"/>
      <c r="P34" s="195"/>
      <c r="Q34" s="193"/>
      <c r="R34" s="194"/>
      <c r="S34" s="195"/>
      <c r="T34" s="193"/>
      <c r="U34" s="194"/>
      <c r="V34" s="195"/>
      <c r="W34" s="193"/>
      <c r="X34" s="194"/>
      <c r="Y34" s="195"/>
      <c r="Z34" s="193"/>
      <c r="AA34" s="194"/>
      <c r="AB34" s="195"/>
      <c r="AC34" s="193"/>
      <c r="AD34" s="194"/>
      <c r="AE34" s="195"/>
      <c r="AF34" s="193"/>
      <c r="AG34" s="194"/>
      <c r="AH34" s="195"/>
      <c r="AI34" s="193"/>
      <c r="AJ34" s="194"/>
      <c r="AK34" s="195"/>
      <c r="AL34" s="193"/>
      <c r="AM34" s="219"/>
      <c r="AN34" s="221"/>
      <c r="AO34" s="236"/>
      <c r="AP34" s="237"/>
      <c r="AQ34" s="231"/>
      <c r="AR34" s="235"/>
    </row>
    <row r="35" spans="1:46" ht="14.1" customHeight="1">
      <c r="A35" s="189">
        <v>26</v>
      </c>
      <c r="B35" s="190"/>
      <c r="C35" s="196"/>
      <c r="D35" s="192"/>
      <c r="E35" s="193"/>
      <c r="F35" s="194"/>
      <c r="G35" s="195"/>
      <c r="H35" s="193"/>
      <c r="I35" s="194"/>
      <c r="J35" s="195"/>
      <c r="K35" s="193"/>
      <c r="L35" s="194"/>
      <c r="M35" s="195"/>
      <c r="N35" s="193"/>
      <c r="O35" s="194"/>
      <c r="P35" s="195"/>
      <c r="Q35" s="193"/>
      <c r="R35" s="194"/>
      <c r="S35" s="195"/>
      <c r="T35" s="193"/>
      <c r="U35" s="194"/>
      <c r="V35" s="195"/>
      <c r="W35" s="193"/>
      <c r="X35" s="194"/>
      <c r="Y35" s="195"/>
      <c r="Z35" s="193"/>
      <c r="AA35" s="194"/>
      <c r="AB35" s="195"/>
      <c r="AC35" s="193"/>
      <c r="AD35" s="194"/>
      <c r="AE35" s="195"/>
      <c r="AF35" s="193"/>
      <c r="AG35" s="194"/>
      <c r="AH35" s="195"/>
      <c r="AI35" s="193"/>
      <c r="AJ35" s="194"/>
      <c r="AK35" s="195"/>
      <c r="AL35" s="193"/>
      <c r="AM35" s="219"/>
      <c r="AN35" s="220"/>
      <c r="AO35" s="233"/>
      <c r="AP35" s="234"/>
      <c r="AQ35" s="231"/>
      <c r="AR35" s="235"/>
    </row>
    <row r="36" spans="1:46" ht="14.1" customHeight="1">
      <c r="A36" s="189">
        <v>27</v>
      </c>
      <c r="B36" s="190"/>
      <c r="C36" s="196"/>
      <c r="D36" s="192"/>
      <c r="E36" s="193"/>
      <c r="F36" s="194"/>
      <c r="G36" s="195"/>
      <c r="H36" s="193"/>
      <c r="I36" s="194"/>
      <c r="J36" s="195"/>
      <c r="K36" s="193"/>
      <c r="L36" s="194"/>
      <c r="M36" s="195"/>
      <c r="N36" s="193"/>
      <c r="O36" s="194"/>
      <c r="P36" s="195"/>
      <c r="Q36" s="193"/>
      <c r="R36" s="194"/>
      <c r="S36" s="195"/>
      <c r="T36" s="193"/>
      <c r="U36" s="194"/>
      <c r="V36" s="195"/>
      <c r="W36" s="193"/>
      <c r="X36" s="194"/>
      <c r="Y36" s="195"/>
      <c r="Z36" s="193"/>
      <c r="AA36" s="194"/>
      <c r="AB36" s="195"/>
      <c r="AC36" s="193"/>
      <c r="AD36" s="194"/>
      <c r="AE36" s="195"/>
      <c r="AF36" s="193"/>
      <c r="AG36" s="194"/>
      <c r="AH36" s="195"/>
      <c r="AI36" s="193"/>
      <c r="AJ36" s="194"/>
      <c r="AK36" s="195"/>
      <c r="AL36" s="193"/>
      <c r="AM36" s="219"/>
      <c r="AN36" s="221"/>
      <c r="AO36" s="236"/>
      <c r="AP36" s="237"/>
      <c r="AQ36" s="231"/>
      <c r="AR36" s="235"/>
    </row>
    <row r="37" spans="1:46" ht="14.1" customHeight="1">
      <c r="A37" s="189">
        <v>28</v>
      </c>
      <c r="B37" s="190"/>
      <c r="C37" s="196"/>
      <c r="D37" s="192"/>
      <c r="E37" s="193"/>
      <c r="F37" s="200"/>
      <c r="G37" s="195"/>
      <c r="H37" s="193"/>
      <c r="I37" s="200"/>
      <c r="J37" s="195"/>
      <c r="K37" s="193"/>
      <c r="L37" s="200"/>
      <c r="M37" s="195"/>
      <c r="N37" s="193"/>
      <c r="O37" s="200"/>
      <c r="P37" s="195"/>
      <c r="Q37" s="193"/>
      <c r="R37" s="200"/>
      <c r="S37" s="195"/>
      <c r="T37" s="193"/>
      <c r="U37" s="200"/>
      <c r="V37" s="195"/>
      <c r="W37" s="193"/>
      <c r="X37" s="200"/>
      <c r="Y37" s="195"/>
      <c r="Z37" s="193"/>
      <c r="AA37" s="200"/>
      <c r="AB37" s="195"/>
      <c r="AC37" s="193"/>
      <c r="AD37" s="200"/>
      <c r="AE37" s="195"/>
      <c r="AF37" s="193"/>
      <c r="AG37" s="200"/>
      <c r="AH37" s="195"/>
      <c r="AI37" s="193"/>
      <c r="AJ37" s="200"/>
      <c r="AK37" s="195"/>
      <c r="AL37" s="193"/>
      <c r="AM37" s="222"/>
      <c r="AN37" s="220"/>
      <c r="AO37" s="233"/>
      <c r="AP37" s="234"/>
      <c r="AQ37" s="231"/>
      <c r="AR37" s="235"/>
    </row>
    <row r="38" spans="1:46" ht="14.1" customHeight="1">
      <c r="A38" s="189">
        <v>29</v>
      </c>
      <c r="B38" s="190"/>
      <c r="C38" s="196"/>
      <c r="D38" s="192"/>
      <c r="E38" s="193"/>
      <c r="F38" s="194"/>
      <c r="G38" s="195"/>
      <c r="H38" s="193"/>
      <c r="I38" s="194"/>
      <c r="J38" s="195"/>
      <c r="K38" s="193"/>
      <c r="L38" s="194"/>
      <c r="M38" s="195"/>
      <c r="N38" s="193"/>
      <c r="O38" s="194"/>
      <c r="P38" s="195"/>
      <c r="Q38" s="193"/>
      <c r="R38" s="194"/>
      <c r="S38" s="195"/>
      <c r="T38" s="193"/>
      <c r="U38" s="194"/>
      <c r="V38" s="195"/>
      <c r="W38" s="193"/>
      <c r="X38" s="194"/>
      <c r="Y38" s="195"/>
      <c r="Z38" s="193"/>
      <c r="AA38" s="194"/>
      <c r="AB38" s="195"/>
      <c r="AC38" s="193"/>
      <c r="AD38" s="194"/>
      <c r="AE38" s="195"/>
      <c r="AF38" s="193"/>
      <c r="AG38" s="194"/>
      <c r="AH38" s="195"/>
      <c r="AI38" s="193"/>
      <c r="AJ38" s="194"/>
      <c r="AK38" s="195"/>
      <c r="AL38" s="193"/>
      <c r="AM38" s="219"/>
      <c r="AN38" s="221"/>
      <c r="AO38" s="236"/>
      <c r="AP38" s="237"/>
      <c r="AQ38" s="231"/>
      <c r="AR38" s="235"/>
    </row>
    <row r="39" spans="1:46" ht="14.1" customHeight="1">
      <c r="A39" s="189">
        <v>30</v>
      </c>
      <c r="B39" s="190"/>
      <c r="C39" s="196"/>
      <c r="D39" s="192"/>
      <c r="E39" s="193"/>
      <c r="F39" s="194"/>
      <c r="G39" s="195"/>
      <c r="H39" s="193"/>
      <c r="I39" s="194"/>
      <c r="J39" s="195"/>
      <c r="K39" s="193"/>
      <c r="L39" s="194"/>
      <c r="M39" s="195"/>
      <c r="N39" s="193"/>
      <c r="O39" s="194"/>
      <c r="P39" s="195"/>
      <c r="Q39" s="193"/>
      <c r="R39" s="194"/>
      <c r="S39" s="195"/>
      <c r="T39" s="193"/>
      <c r="U39" s="194"/>
      <c r="V39" s="195"/>
      <c r="W39" s="193"/>
      <c r="X39" s="194"/>
      <c r="Y39" s="195"/>
      <c r="Z39" s="193"/>
      <c r="AA39" s="194"/>
      <c r="AB39" s="195"/>
      <c r="AC39" s="193"/>
      <c r="AD39" s="194"/>
      <c r="AE39" s="195"/>
      <c r="AF39" s="193"/>
      <c r="AG39" s="194"/>
      <c r="AH39" s="195"/>
      <c r="AI39" s="193"/>
      <c r="AJ39" s="194"/>
      <c r="AK39" s="195"/>
      <c r="AL39" s="193"/>
      <c r="AM39" s="219"/>
      <c r="AN39" s="220"/>
      <c r="AO39" s="233"/>
      <c r="AP39" s="234"/>
      <c r="AQ39" s="231"/>
      <c r="AR39" s="235"/>
    </row>
    <row r="40" spans="1:46" ht="14.1" customHeight="1">
      <c r="A40" s="189">
        <v>31</v>
      </c>
      <c r="B40" s="190"/>
      <c r="C40" s="197"/>
      <c r="D40" s="192"/>
      <c r="E40" s="193"/>
      <c r="F40" s="194"/>
      <c r="G40" s="195"/>
      <c r="H40" s="193"/>
      <c r="I40" s="194"/>
      <c r="J40" s="195"/>
      <c r="K40" s="193"/>
      <c r="L40" s="194"/>
      <c r="M40" s="195"/>
      <c r="N40" s="193"/>
      <c r="O40" s="194"/>
      <c r="P40" s="195"/>
      <c r="Q40" s="193"/>
      <c r="R40" s="194"/>
      <c r="S40" s="195"/>
      <c r="T40" s="193"/>
      <c r="U40" s="194"/>
      <c r="V40" s="195"/>
      <c r="W40" s="193"/>
      <c r="X40" s="194"/>
      <c r="Y40" s="195"/>
      <c r="Z40" s="193"/>
      <c r="AA40" s="194"/>
      <c r="AB40" s="195"/>
      <c r="AC40" s="193"/>
      <c r="AD40" s="194"/>
      <c r="AE40" s="195"/>
      <c r="AF40" s="193"/>
      <c r="AG40" s="194"/>
      <c r="AH40" s="195"/>
      <c r="AI40" s="193"/>
      <c r="AJ40" s="194"/>
      <c r="AK40" s="195"/>
      <c r="AL40" s="193"/>
      <c r="AM40" s="219"/>
      <c r="AN40" s="221"/>
      <c r="AO40" s="236"/>
      <c r="AP40" s="237"/>
      <c r="AQ40" s="231"/>
      <c r="AR40" s="235"/>
    </row>
    <row r="41" spans="1:46" ht="14.1" customHeight="1">
      <c r="A41" s="201">
        <v>32</v>
      </c>
      <c r="B41" s="202"/>
      <c r="C41" s="203"/>
      <c r="D41" s="204"/>
      <c r="E41" s="205"/>
      <c r="F41" s="206"/>
      <c r="G41" s="207"/>
      <c r="H41" s="205"/>
      <c r="I41" s="206"/>
      <c r="J41" s="207"/>
      <c r="K41" s="205"/>
      <c r="L41" s="206"/>
      <c r="M41" s="207"/>
      <c r="N41" s="205"/>
      <c r="O41" s="206"/>
      <c r="P41" s="207"/>
      <c r="Q41" s="205"/>
      <c r="R41" s="206"/>
      <c r="S41" s="207"/>
      <c r="T41" s="205"/>
      <c r="U41" s="206"/>
      <c r="V41" s="207"/>
      <c r="W41" s="205"/>
      <c r="X41" s="206"/>
      <c r="Y41" s="207"/>
      <c r="Z41" s="205"/>
      <c r="AA41" s="206"/>
      <c r="AB41" s="207"/>
      <c r="AC41" s="205"/>
      <c r="AD41" s="206"/>
      <c r="AE41" s="207"/>
      <c r="AF41" s="205"/>
      <c r="AG41" s="206"/>
      <c r="AH41" s="207"/>
      <c r="AI41" s="205"/>
      <c r="AJ41" s="206"/>
      <c r="AK41" s="207"/>
      <c r="AL41" s="205"/>
      <c r="AM41" s="223"/>
      <c r="AN41" s="224"/>
      <c r="AO41" s="238"/>
      <c r="AP41" s="239"/>
      <c r="AQ41" s="240"/>
      <c r="AR41" s="241"/>
    </row>
    <row r="42" spans="1:46" ht="8.25" customHeight="1"/>
    <row r="43" spans="1:46" ht="15.75">
      <c r="A43" s="176"/>
      <c r="B43" s="175" t="s">
        <v>179</v>
      </c>
      <c r="C43" s="175"/>
      <c r="N43" s="176" t="s">
        <v>320</v>
      </c>
      <c r="AN43" s="176" t="s">
        <v>368</v>
      </c>
      <c r="AO43" s="176"/>
      <c r="AP43" s="176"/>
      <c r="AQ43" s="176"/>
      <c r="AR43" s="176"/>
      <c r="AS43" s="176"/>
    </row>
    <row r="44" spans="1:46" ht="15.75">
      <c r="A44" s="176"/>
      <c r="B44" s="426" t="s">
        <v>979</v>
      </c>
      <c r="C44" s="175"/>
      <c r="E44" s="697" t="s">
        <v>323</v>
      </c>
      <c r="F44" s="697"/>
      <c r="G44" s="175"/>
      <c r="H44" s="175"/>
      <c r="N44" s="173" t="s">
        <v>324</v>
      </c>
      <c r="O44" s="173" t="s">
        <v>325</v>
      </c>
      <c r="S44" s="173" t="s">
        <v>326</v>
      </c>
      <c r="T44" s="173" t="s">
        <v>327</v>
      </c>
      <c r="AB44" s="214"/>
      <c r="AC44" s="708" t="s">
        <v>328</v>
      </c>
      <c r="AD44" s="708"/>
      <c r="AE44" s="708"/>
      <c r="AF44" s="708"/>
      <c r="AG44" s="708"/>
      <c r="AH44" s="709"/>
      <c r="AN44" s="175" t="s">
        <v>276</v>
      </c>
      <c r="AO44" s="175"/>
      <c r="AP44" s="175"/>
      <c r="AQ44" s="175"/>
      <c r="AR44" s="175"/>
      <c r="AS44" s="175"/>
    </row>
    <row r="45" spans="1:46" ht="15.75">
      <c r="A45" s="176"/>
      <c r="B45" s="176"/>
      <c r="C45" s="176"/>
      <c r="E45" s="741" t="s">
        <v>369</v>
      </c>
      <c r="F45" s="741"/>
      <c r="G45" s="176" t="s">
        <v>13</v>
      </c>
      <c r="H45" s="176" t="s">
        <v>370</v>
      </c>
      <c r="N45" s="173" t="s">
        <v>330</v>
      </c>
      <c r="O45" s="173" t="s">
        <v>331</v>
      </c>
      <c r="S45" s="173" t="s">
        <v>332</v>
      </c>
      <c r="T45" s="173" t="s">
        <v>333</v>
      </c>
      <c r="AB45" s="215" t="s">
        <v>371</v>
      </c>
      <c r="AH45" s="225"/>
      <c r="AN45" s="176"/>
      <c r="AO45" s="176"/>
      <c r="AP45" s="176"/>
      <c r="AQ45" s="176"/>
      <c r="AR45" s="176"/>
      <c r="AS45" s="176"/>
    </row>
    <row r="46" spans="1:46" ht="15.75">
      <c r="A46" s="176"/>
      <c r="B46" s="176"/>
      <c r="C46" s="176"/>
      <c r="E46" s="741" t="s">
        <v>372</v>
      </c>
      <c r="F46" s="741"/>
      <c r="G46" s="176" t="s">
        <v>13</v>
      </c>
      <c r="H46" s="176" t="s">
        <v>373</v>
      </c>
      <c r="N46" s="173" t="s">
        <v>336</v>
      </c>
      <c r="O46" s="173" t="s">
        <v>337</v>
      </c>
      <c r="S46" s="173" t="s">
        <v>338</v>
      </c>
      <c r="T46" s="173" t="s">
        <v>339</v>
      </c>
      <c r="AB46" s="216"/>
      <c r="AC46" s="711">
        <v>100</v>
      </c>
      <c r="AD46" s="711"/>
      <c r="AE46" s="711"/>
      <c r="AF46" s="711"/>
      <c r="AG46" s="711"/>
      <c r="AH46" s="226"/>
      <c r="AN46" s="176"/>
      <c r="AO46" s="176"/>
      <c r="AP46" s="176"/>
      <c r="AQ46" s="176"/>
      <c r="AR46" s="176"/>
      <c r="AS46" s="176"/>
    </row>
    <row r="47" spans="1:46" ht="15.75">
      <c r="A47" s="176"/>
      <c r="B47" s="209" t="str">
        <f>'Prhtngn Mingg Ef(3)'!B87</f>
        <v>Drs. M. Hasannuddin</v>
      </c>
      <c r="C47" s="209"/>
      <c r="E47" s="741" t="s">
        <v>367</v>
      </c>
      <c r="F47" s="741"/>
      <c r="G47" s="175" t="s">
        <v>13</v>
      </c>
      <c r="H47" s="175" t="s">
        <v>374</v>
      </c>
      <c r="N47" s="173" t="s">
        <v>195</v>
      </c>
      <c r="O47" s="173" t="s">
        <v>341</v>
      </c>
      <c r="S47" s="173" t="s">
        <v>342</v>
      </c>
      <c r="T47" s="173" t="s">
        <v>343</v>
      </c>
      <c r="AN47" s="209" t="str">
        <f>'Prhtngn Mingg Ef(3)'!G87</f>
        <v>Hermawan Rochmadi, S. Pd.</v>
      </c>
      <c r="AO47" s="175"/>
      <c r="AP47" s="175"/>
      <c r="AQ47" s="175"/>
      <c r="AR47" s="175"/>
      <c r="AS47" s="175"/>
      <c r="AT47" s="209"/>
    </row>
    <row r="48" spans="1:46" ht="15.75">
      <c r="A48" s="176"/>
      <c r="B48" s="175" t="str">
        <f>'Prhtngn Mingg Ef(3)'!B88</f>
        <v>NIP. 19670621 199412 1 003</v>
      </c>
      <c r="C48" s="175"/>
      <c r="F48" s="208" t="s">
        <v>375</v>
      </c>
      <c r="G48" s="208"/>
      <c r="H48" s="208"/>
      <c r="N48" s="173" t="s">
        <v>344</v>
      </c>
      <c r="O48" s="173" t="s">
        <v>345</v>
      </c>
      <c r="S48" s="173" t="s">
        <v>342</v>
      </c>
      <c r="T48" s="173" t="s">
        <v>346</v>
      </c>
      <c r="AN48" s="175" t="str">
        <f>'Prhtngn Mingg Ef(3)'!G88</f>
        <v>NIP. 19920317 201903 1 009</v>
      </c>
      <c r="AO48" s="175"/>
      <c r="AP48" s="175"/>
      <c r="AQ48" s="175"/>
      <c r="AR48" s="175"/>
      <c r="AS48" s="175"/>
      <c r="AT48" s="175"/>
    </row>
    <row r="50" spans="3:25">
      <c r="C50" s="208"/>
      <c r="F50" s="210" t="s">
        <v>323</v>
      </c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3:25" ht="15.75">
      <c r="F51" s="211"/>
      <c r="G51" s="211"/>
      <c r="H51" s="212">
        <v>1</v>
      </c>
      <c r="I51" s="213" t="s">
        <v>13</v>
      </c>
      <c r="J51" s="211" t="s">
        <v>376</v>
      </c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3:25" ht="15.75">
      <c r="F52" s="211"/>
      <c r="G52" s="211"/>
      <c r="H52" s="212">
        <v>2</v>
      </c>
      <c r="I52" s="213" t="s">
        <v>13</v>
      </c>
      <c r="J52" s="211" t="s">
        <v>377</v>
      </c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3:25" ht="15.75">
      <c r="F53" s="211"/>
      <c r="G53" s="211"/>
      <c r="H53" s="212">
        <v>3</v>
      </c>
      <c r="I53" s="213" t="s">
        <v>13</v>
      </c>
      <c r="J53" s="211" t="s">
        <v>378</v>
      </c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3:25" ht="15.75">
      <c r="F54" s="211"/>
      <c r="G54" s="211"/>
      <c r="H54" s="212">
        <v>4</v>
      </c>
      <c r="I54" s="213" t="s">
        <v>13</v>
      </c>
      <c r="J54" s="211" t="s">
        <v>379</v>
      </c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3:25"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</sheetData>
  <mergeCells count="41">
    <mergeCell ref="E46:F46"/>
    <mergeCell ref="AC46:AG46"/>
    <mergeCell ref="E47:F47"/>
    <mergeCell ref="A6:A9"/>
    <mergeCell ref="B6:B9"/>
    <mergeCell ref="C6:AR6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  <mergeCell ref="E44:F44"/>
    <mergeCell ref="AC44:AH44"/>
    <mergeCell ref="E45:F45"/>
    <mergeCell ref="S8:U8"/>
    <mergeCell ref="V8:X8"/>
    <mergeCell ref="Y8:AA8"/>
    <mergeCell ref="AB8:AD8"/>
    <mergeCell ref="AE8:AG8"/>
    <mergeCell ref="D8:F8"/>
    <mergeCell ref="G8:I8"/>
    <mergeCell ref="J8:L8"/>
    <mergeCell ref="M8:O8"/>
    <mergeCell ref="P8:R8"/>
    <mergeCell ref="AH7:AJ7"/>
    <mergeCell ref="AK7:AM7"/>
    <mergeCell ref="AQ7:AQ9"/>
    <mergeCell ref="AR7:AR9"/>
    <mergeCell ref="AN7:AP9"/>
    <mergeCell ref="AH8:AJ8"/>
    <mergeCell ref="AK8:AM8"/>
    <mergeCell ref="AQ1:AR1"/>
    <mergeCell ref="AT1:AU1"/>
    <mergeCell ref="A2:AO2"/>
    <mergeCell ref="AQ2:AR2"/>
    <mergeCell ref="AT2:AU2"/>
  </mergeCells>
  <pageMargins left="0.98425196850393704" right="1.45669291338583" top="0.31496062992126" bottom="0.196850393700787" header="0.31496062992126" footer="0.31496062992126"/>
  <pageSetup paperSize="5" scale="75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workbookViewId="0">
      <selection activeCell="F34" sqref="F34"/>
    </sheetView>
  </sheetViews>
  <sheetFormatPr defaultColWidth="9.140625" defaultRowHeight="15"/>
  <cols>
    <col min="1" max="1" width="4.42578125" style="6" customWidth="1"/>
    <col min="2" max="2" width="28.7109375" style="6" customWidth="1"/>
    <col min="3" max="3" width="27.85546875" style="6" customWidth="1"/>
    <col min="4" max="4" width="17.28515625" style="6" customWidth="1"/>
    <col min="5" max="5" width="11.7109375" style="6" customWidth="1"/>
    <col min="6" max="6" width="30" style="6" customWidth="1"/>
    <col min="7" max="16384" width="9.140625" style="6"/>
  </cols>
  <sheetData>
    <row r="1" spans="1:7">
      <c r="F1" s="170" t="s">
        <v>380</v>
      </c>
      <c r="G1" s="171"/>
    </row>
    <row r="2" spans="1:7">
      <c r="F2" s="87">
        <v>45117</v>
      </c>
      <c r="G2" s="172"/>
    </row>
    <row r="3" spans="1:7">
      <c r="A3" s="745" t="s">
        <v>381</v>
      </c>
      <c r="B3" s="745"/>
      <c r="C3" s="745"/>
      <c r="D3" s="745"/>
      <c r="E3" s="745"/>
      <c r="F3" s="745"/>
    </row>
    <row r="4" spans="1:7">
      <c r="A4" s="102"/>
      <c r="B4" s="102"/>
      <c r="C4" s="102"/>
      <c r="D4" s="102"/>
      <c r="E4" s="102"/>
      <c r="F4" s="102"/>
    </row>
    <row r="5" spans="1:7">
      <c r="A5" s="745"/>
      <c r="B5" s="745"/>
      <c r="C5" s="745"/>
      <c r="D5" s="745"/>
      <c r="E5" s="745"/>
      <c r="F5" s="745"/>
    </row>
    <row r="6" spans="1:7">
      <c r="A6" s="100" t="s">
        <v>205</v>
      </c>
      <c r="B6" s="100" t="s">
        <v>382</v>
      </c>
      <c r="C6" s="100" t="s">
        <v>383</v>
      </c>
      <c r="D6" s="100" t="s">
        <v>384</v>
      </c>
      <c r="E6" s="100" t="s">
        <v>385</v>
      </c>
      <c r="F6" s="100" t="s">
        <v>386</v>
      </c>
    </row>
    <row r="7" spans="1:7">
      <c r="A7" s="56"/>
      <c r="B7" s="56"/>
      <c r="C7" s="56"/>
      <c r="D7" s="56"/>
      <c r="E7" s="56"/>
      <c r="F7" s="56"/>
    </row>
    <row r="8" spans="1:7">
      <c r="A8" s="56"/>
      <c r="B8" s="56"/>
      <c r="C8" s="56"/>
      <c r="D8" s="56"/>
      <c r="E8" s="56"/>
      <c r="F8" s="56"/>
    </row>
    <row r="9" spans="1:7">
      <c r="A9" s="56"/>
      <c r="B9" s="56"/>
      <c r="C9" s="56"/>
      <c r="D9" s="56"/>
      <c r="E9" s="56"/>
      <c r="F9" s="56"/>
    </row>
    <row r="10" spans="1:7">
      <c r="A10" s="56"/>
      <c r="B10" s="56"/>
      <c r="C10" s="56"/>
      <c r="D10" s="56"/>
      <c r="E10" s="56"/>
      <c r="F10" s="56"/>
    </row>
    <row r="11" spans="1:7">
      <c r="A11" s="56"/>
      <c r="B11" s="56"/>
      <c r="C11" s="56"/>
      <c r="D11" s="56"/>
      <c r="E11" s="56"/>
      <c r="F11" s="56"/>
    </row>
    <row r="12" spans="1:7">
      <c r="A12" s="56"/>
      <c r="B12" s="56"/>
      <c r="C12" s="56"/>
      <c r="D12" s="56"/>
      <c r="E12" s="56"/>
      <c r="F12" s="56"/>
    </row>
    <row r="13" spans="1:7">
      <c r="A13" s="56"/>
      <c r="B13" s="56"/>
      <c r="C13" s="56"/>
      <c r="D13" s="56"/>
      <c r="E13" s="56"/>
      <c r="F13" s="56"/>
    </row>
    <row r="14" spans="1:7">
      <c r="A14" s="56"/>
      <c r="B14" s="56"/>
      <c r="C14" s="56"/>
      <c r="D14" s="56"/>
      <c r="E14" s="56"/>
      <c r="F14" s="56"/>
    </row>
    <row r="15" spans="1:7">
      <c r="A15" s="56"/>
      <c r="B15" s="56"/>
      <c r="C15" s="56"/>
      <c r="D15" s="56"/>
      <c r="E15" s="56"/>
      <c r="F15" s="56"/>
    </row>
    <row r="16" spans="1:7">
      <c r="A16" s="56"/>
      <c r="B16" s="56"/>
      <c r="C16" s="56"/>
      <c r="D16" s="56"/>
      <c r="E16" s="56"/>
      <c r="F16" s="56"/>
    </row>
    <row r="18" spans="2:6">
      <c r="F18" s="10" t="s">
        <v>387</v>
      </c>
    </row>
    <row r="19" spans="2:6">
      <c r="B19" s="7" t="s">
        <v>171</v>
      </c>
      <c r="F19" s="7"/>
    </row>
    <row r="20" spans="2:6">
      <c r="B20" s="7" t="s">
        <v>388</v>
      </c>
      <c r="F20" s="7" t="s">
        <v>178</v>
      </c>
    </row>
    <row r="21" spans="2:6">
      <c r="B21" s="7"/>
      <c r="F21" s="7"/>
    </row>
    <row r="22" spans="2:6">
      <c r="B22" s="7"/>
      <c r="F22" s="7"/>
    </row>
    <row r="23" spans="2:6">
      <c r="B23" s="7"/>
      <c r="F23" s="7"/>
    </row>
    <row r="24" spans="2:6">
      <c r="B24" s="10" t="str">
        <f>'Prhtngn Mingg Ef(3)'!B87</f>
        <v>Drs. M. Hasannuddin</v>
      </c>
      <c r="F24" s="10" t="str">
        <f>'Prhtngn Mingg Ef(3)'!G87</f>
        <v>Hermawan Rochmadi, S. Pd.</v>
      </c>
    </row>
    <row r="25" spans="2:6" ht="15.75">
      <c r="B25" s="67" t="str">
        <f>'Prhtngn Mingg Ef(3)'!B88</f>
        <v>NIP. 19670621 199412 1 003</v>
      </c>
      <c r="F25" s="67" t="str">
        <f>'Prhtngn Mingg Ef(3)'!G88</f>
        <v>NIP. 19920317 201903 1 009</v>
      </c>
    </row>
    <row r="26" spans="2:6">
      <c r="B26" s="7"/>
      <c r="F26" s="7"/>
    </row>
    <row r="27" spans="2:6">
      <c r="B27" s="6" t="s">
        <v>389</v>
      </c>
      <c r="F27" s="10" t="s">
        <v>277</v>
      </c>
    </row>
    <row r="28" spans="2:6">
      <c r="B28" s="10"/>
      <c r="F28" s="10"/>
    </row>
    <row r="29" spans="2:6">
      <c r="B29" s="10"/>
      <c r="F29" s="10"/>
    </row>
    <row r="30" spans="2:6">
      <c r="B30" s="10"/>
      <c r="F30" s="10"/>
    </row>
    <row r="31" spans="2:6">
      <c r="B31" s="7"/>
      <c r="F31" s="7"/>
    </row>
    <row r="32" spans="2:6">
      <c r="B32" s="10" t="str">
        <f>'Prhtngn Mingg Ef(3)'!B95</f>
        <v>WIDADA, S.Pd., M.Pd.</v>
      </c>
      <c r="F32" s="12" t="str">
        <f>'Prhtngn Mingg Ef(3)'!G95</f>
        <v>GUNAWAN, S.Pd., M.M.</v>
      </c>
    </row>
    <row r="33" spans="2:6">
      <c r="B33" s="10" t="str">
        <f>'Prhtngn Mingg Ef(3)'!B96</f>
        <v>NIP. 19690212 200012 1 002</v>
      </c>
      <c r="F33" s="12" t="str">
        <f>'Prhtngn Mingg Ef(3)'!G96</f>
        <v>NIP. 19711213 200501 1 004</v>
      </c>
    </row>
  </sheetData>
  <mergeCells count="2">
    <mergeCell ref="A3:F3"/>
    <mergeCell ref="A5:F5"/>
  </mergeCells>
  <pageMargins left="1.2992125984252001" right="0.118110236220472" top="0.35433070866141703" bottom="1.5354330708661399" header="0.31496062992126" footer="0.31496062992126"/>
  <pageSetup paperSize="5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E50"/>
  <sheetViews>
    <sheetView workbookViewId="0">
      <selection activeCell="G45" sqref="G45"/>
    </sheetView>
  </sheetViews>
  <sheetFormatPr defaultColWidth="9.140625" defaultRowHeight="15"/>
  <cols>
    <col min="1" max="1" width="5.140625" style="6" customWidth="1"/>
    <col min="2" max="2" width="31.140625" style="6" customWidth="1"/>
    <col min="3" max="3" width="18.5703125" style="6" customWidth="1"/>
    <col min="4" max="4" width="19.140625" style="6" customWidth="1"/>
    <col min="5" max="5" width="14" style="6" customWidth="1"/>
    <col min="6" max="16384" width="9.140625" style="6"/>
  </cols>
  <sheetData>
    <row r="1" spans="1:5">
      <c r="E1" s="44" t="s">
        <v>390</v>
      </c>
    </row>
    <row r="2" spans="1:5">
      <c r="E2" s="87">
        <v>45117</v>
      </c>
    </row>
    <row r="3" spans="1:5" ht="18.75">
      <c r="A3" s="571" t="s">
        <v>391</v>
      </c>
      <c r="B3" s="571"/>
      <c r="C3" s="571"/>
      <c r="D3" s="571"/>
      <c r="E3" s="571"/>
    </row>
    <row r="4" spans="1:5" ht="9" customHeight="1">
      <c r="A4" s="53"/>
      <c r="B4" s="53"/>
      <c r="C4" s="53"/>
      <c r="D4" s="53"/>
      <c r="E4" s="53"/>
    </row>
    <row r="5" spans="1:5" ht="18.75">
      <c r="A5" s="361" t="s">
        <v>3</v>
      </c>
      <c r="B5" s="53"/>
      <c r="C5" s="66" t="str">
        <f>'COVER '!E26</f>
        <v>: Teknik Mesin</v>
      </c>
      <c r="D5" s="53"/>
      <c r="E5" s="53"/>
    </row>
    <row r="6" spans="1:5" ht="18.75">
      <c r="A6" s="361" t="s">
        <v>4</v>
      </c>
      <c r="B6" s="53"/>
      <c r="C6" s="66" t="str">
        <f>'COVER '!E27</f>
        <v xml:space="preserve">: Teknik Pemesinan </v>
      </c>
      <c r="D6" s="53"/>
      <c r="E6" s="53"/>
    </row>
    <row r="7" spans="1:5" ht="18.75">
      <c r="A7" s="362" t="s">
        <v>5</v>
      </c>
      <c r="B7" s="53"/>
      <c r="C7" s="66" t="str">
        <f>'COVER '!E28</f>
        <v>: Mata Pelajaran Pilihan (CAM)</v>
      </c>
      <c r="D7" s="53"/>
      <c r="E7" s="53"/>
    </row>
    <row r="8" spans="1:5" ht="18.75">
      <c r="A8" s="362" t="s">
        <v>7</v>
      </c>
      <c r="B8" s="53"/>
      <c r="C8" s="66" t="str">
        <f>'COVER '!E30</f>
        <v>: XI TM3</v>
      </c>
      <c r="D8" s="53"/>
      <c r="E8" s="53"/>
    </row>
    <row r="9" spans="1:5" ht="18.75">
      <c r="A9" s="6" t="s">
        <v>10</v>
      </c>
      <c r="B9" s="53"/>
      <c r="C9" s="66" t="str">
        <f>'COVER '!E32</f>
        <v>: 2025/2026</v>
      </c>
      <c r="D9" s="53"/>
      <c r="E9" s="53"/>
    </row>
    <row r="10" spans="1:5" ht="9" customHeight="1"/>
    <row r="11" spans="1:5">
      <c r="A11" s="8" t="s">
        <v>39</v>
      </c>
      <c r="B11" s="8" t="s">
        <v>393</v>
      </c>
    </row>
    <row r="12" spans="1:5" ht="9" customHeight="1">
      <c r="A12" s="8"/>
      <c r="B12" s="8"/>
    </row>
    <row r="13" spans="1:5" s="64" customFormat="1" ht="27" customHeight="1">
      <c r="A13" s="168" t="s">
        <v>153</v>
      </c>
      <c r="B13" s="168" t="s">
        <v>394</v>
      </c>
      <c r="C13" s="168" t="s">
        <v>395</v>
      </c>
      <c r="D13" s="168" t="s">
        <v>396</v>
      </c>
      <c r="E13" s="168" t="s">
        <v>397</v>
      </c>
    </row>
    <row r="14" spans="1:5">
      <c r="A14" s="57"/>
      <c r="B14" s="57"/>
      <c r="C14" s="57"/>
      <c r="D14" s="57"/>
      <c r="E14" s="57"/>
    </row>
    <row r="15" spans="1:5">
      <c r="A15" s="57"/>
      <c r="B15" s="57"/>
      <c r="C15" s="57"/>
      <c r="D15" s="57"/>
      <c r="E15" s="169"/>
    </row>
    <row r="16" spans="1:5">
      <c r="A16" s="57"/>
      <c r="B16" s="57"/>
      <c r="C16" s="57"/>
      <c r="D16" s="56"/>
      <c r="E16" s="169"/>
    </row>
    <row r="17" spans="1:5">
      <c r="A17" s="57"/>
      <c r="B17" s="57"/>
      <c r="C17" s="57"/>
      <c r="D17" s="56"/>
      <c r="E17" s="169"/>
    </row>
    <row r="18" spans="1:5">
      <c r="A18" s="57"/>
      <c r="B18" s="57"/>
      <c r="C18" s="57"/>
      <c r="D18" s="57"/>
      <c r="E18" s="169"/>
    </row>
    <row r="19" spans="1:5">
      <c r="A19" s="57"/>
      <c r="B19" s="57"/>
      <c r="C19" s="57"/>
      <c r="D19" s="56"/>
      <c r="E19" s="169"/>
    </row>
    <row r="20" spans="1:5">
      <c r="A20" s="57"/>
      <c r="B20" s="57"/>
      <c r="C20" s="57"/>
      <c r="D20" s="56"/>
      <c r="E20" s="169"/>
    </row>
    <row r="21" spans="1:5">
      <c r="A21" s="57"/>
      <c r="B21" s="56"/>
      <c r="C21" s="56"/>
      <c r="D21" s="56"/>
      <c r="E21" s="100"/>
    </row>
    <row r="22" spans="1:5">
      <c r="A22" s="57"/>
      <c r="B22" s="56"/>
      <c r="C22" s="56"/>
      <c r="D22" s="56"/>
      <c r="E22" s="56"/>
    </row>
    <row r="23" spans="1:5">
      <c r="A23" s="56"/>
      <c r="B23" s="56"/>
      <c r="C23" s="56"/>
      <c r="D23" s="56"/>
      <c r="E23" s="56"/>
    </row>
    <row r="24" spans="1:5">
      <c r="A24" s="56"/>
      <c r="B24" s="56"/>
      <c r="C24" s="56"/>
      <c r="D24" s="56"/>
      <c r="E24" s="100"/>
    </row>
    <row r="25" spans="1:5">
      <c r="A25" s="56"/>
      <c r="B25" s="56"/>
      <c r="C25" s="56"/>
      <c r="D25" s="56"/>
      <c r="E25" s="56"/>
    </row>
    <row r="27" spans="1:5">
      <c r="A27" s="8" t="s">
        <v>195</v>
      </c>
      <c r="B27" s="8" t="s">
        <v>398</v>
      </c>
    </row>
    <row r="29" spans="1:5" s="64" customFormat="1">
      <c r="A29" s="168" t="s">
        <v>153</v>
      </c>
      <c r="B29" s="168" t="s">
        <v>394</v>
      </c>
      <c r="C29" s="168" t="s">
        <v>395</v>
      </c>
      <c r="D29" s="168" t="s">
        <v>396</v>
      </c>
      <c r="E29" s="168" t="s">
        <v>397</v>
      </c>
    </row>
    <row r="30" spans="1:5" ht="9" customHeight="1">
      <c r="A30" s="57"/>
      <c r="B30" s="57"/>
      <c r="C30" s="57"/>
      <c r="D30" s="57"/>
      <c r="E30" s="57"/>
    </row>
    <row r="31" spans="1:5" ht="27" customHeight="1">
      <c r="A31" s="169">
        <v>1</v>
      </c>
      <c r="B31" s="57"/>
      <c r="C31" s="57"/>
      <c r="D31" s="57"/>
      <c r="E31" s="169"/>
    </row>
    <row r="32" spans="1:5">
      <c r="A32" s="56"/>
      <c r="B32" s="56"/>
      <c r="C32" s="56"/>
      <c r="D32" s="56"/>
      <c r="E32" s="56"/>
    </row>
    <row r="33" spans="1:5">
      <c r="A33" s="56"/>
      <c r="B33" s="56"/>
      <c r="C33" s="56"/>
      <c r="D33" s="56"/>
      <c r="E33" s="56"/>
    </row>
    <row r="34" spans="1:5">
      <c r="A34" s="56"/>
      <c r="B34" s="56"/>
      <c r="C34" s="56"/>
      <c r="D34" s="56"/>
      <c r="E34" s="56"/>
    </row>
    <row r="36" spans="1:5">
      <c r="D36" s="10" t="s">
        <v>399</v>
      </c>
    </row>
    <row r="37" spans="1:5">
      <c r="B37" s="7" t="s">
        <v>171</v>
      </c>
      <c r="D37" s="7"/>
    </row>
    <row r="38" spans="1:5">
      <c r="B38" s="7" t="s">
        <v>388</v>
      </c>
      <c r="D38" s="7" t="s">
        <v>178</v>
      </c>
    </row>
    <row r="39" spans="1:5">
      <c r="B39" s="7"/>
      <c r="D39" s="7"/>
    </row>
    <row r="40" spans="1:5">
      <c r="B40" s="7"/>
      <c r="D40" s="7"/>
    </row>
    <row r="41" spans="1:5">
      <c r="B41" s="7"/>
      <c r="D41" s="7"/>
    </row>
    <row r="42" spans="1:5">
      <c r="B42" s="10" t="str">
        <f>'Prhtngn Mingg Ef(3)'!B37</f>
        <v>Drs. M. Hasannuddin</v>
      </c>
      <c r="D42" s="10" t="str">
        <f>'Prhtngn Mingg Ef(3)'!F37</f>
        <v>Hermawan Rochmadi, S. Pd.</v>
      </c>
    </row>
    <row r="43" spans="1:5" ht="15.75">
      <c r="B43" s="67" t="str">
        <f>'Prhtngn Mingg Ef(3)'!B38</f>
        <v>NIP. 19670621 199412 1 003</v>
      </c>
      <c r="D43" s="401" t="str">
        <f>'Prhtngn Mingg Ef(3)'!G88</f>
        <v>NIP. 19920317 201903 1 009</v>
      </c>
    </row>
    <row r="44" spans="1:5">
      <c r="B44" s="7"/>
      <c r="D44" s="7"/>
    </row>
    <row r="45" spans="1:5">
      <c r="B45" s="6" t="s">
        <v>389</v>
      </c>
      <c r="D45" s="10" t="s">
        <v>277</v>
      </c>
    </row>
    <row r="46" spans="1:5">
      <c r="B46" s="10"/>
      <c r="D46" s="10"/>
    </row>
    <row r="47" spans="1:5">
      <c r="B47" s="10"/>
      <c r="D47" s="10"/>
    </row>
    <row r="48" spans="1:5">
      <c r="B48" s="7"/>
      <c r="D48" s="7"/>
    </row>
    <row r="49" spans="2:4">
      <c r="B49" s="10" t="str">
        <f>'Prhtngn Mingg Ef(3)'!B45</f>
        <v>WIDADA, S.Pd., M.Pd.</v>
      </c>
      <c r="D49" s="12" t="str">
        <f>'Prhtngn Mingg Ef(3)'!F45</f>
        <v>GUNAWAN, S.Pd., M.M.</v>
      </c>
    </row>
    <row r="50" spans="2:4">
      <c r="B50" s="10" t="str">
        <f>'Prhtngn Mingg Ef(3)'!B46</f>
        <v>NIP. 19690212 200012 1 002</v>
      </c>
      <c r="D50" s="12" t="str">
        <f>'Prhtngn Mingg Ef(3)'!F46</f>
        <v>NIP. 19711213 200501 1 004</v>
      </c>
    </row>
  </sheetData>
  <mergeCells count="1">
    <mergeCell ref="A3:E3"/>
  </mergeCells>
  <pageMargins left="0.98425196850393704" right="0.39370078740157499" top="0.59055118110236204" bottom="0.39370078740157499" header="0.31496062992126" footer="0.31496062992126"/>
  <pageSetup paperSize="5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Q140"/>
  <sheetViews>
    <sheetView topLeftCell="C16" workbookViewId="0">
      <selection activeCell="K12" sqref="K12"/>
    </sheetView>
  </sheetViews>
  <sheetFormatPr defaultColWidth="9.140625" defaultRowHeight="16.5"/>
  <cols>
    <col min="1" max="1" width="4" style="158" customWidth="1"/>
    <col min="2" max="2" width="40.28515625" style="158" customWidth="1"/>
    <col min="3" max="3" width="9.42578125" style="158" customWidth="1"/>
    <col min="4" max="4" width="43.140625" style="158" customWidth="1"/>
    <col min="5" max="5" width="37.7109375" style="158" customWidth="1"/>
    <col min="6" max="6" width="6.85546875" style="158" customWidth="1"/>
    <col min="7" max="7" width="15" style="158" customWidth="1"/>
    <col min="8" max="16384" width="9.140625" style="158"/>
  </cols>
  <sheetData>
    <row r="1" spans="1:7">
      <c r="A1" s="159"/>
      <c r="B1" s="159"/>
      <c r="C1" s="159"/>
      <c r="D1" s="159"/>
      <c r="E1" s="159"/>
      <c r="F1" s="746" t="s">
        <v>400</v>
      </c>
      <c r="G1" s="747"/>
    </row>
    <row r="2" spans="1:7">
      <c r="A2" s="159"/>
      <c r="B2" s="159"/>
      <c r="C2" s="159"/>
      <c r="D2" s="159"/>
      <c r="E2" s="159"/>
      <c r="F2" s="748">
        <v>45117</v>
      </c>
      <c r="G2" s="749"/>
    </row>
    <row r="3" spans="1:7" ht="18.75">
      <c r="A3" s="750" t="s">
        <v>401</v>
      </c>
      <c r="B3" s="750"/>
      <c r="C3" s="750"/>
      <c r="D3" s="750"/>
      <c r="E3" s="750"/>
      <c r="F3" s="750"/>
      <c r="G3" s="750"/>
    </row>
    <row r="4" spans="1:7" ht="7.5" customHeight="1">
      <c r="A4" s="159"/>
      <c r="B4" s="159"/>
      <c r="C4" s="159"/>
      <c r="D4" s="159"/>
      <c r="E4" s="159"/>
      <c r="F4" s="159"/>
      <c r="G4" s="159"/>
    </row>
    <row r="5" spans="1:7">
      <c r="A5" s="160" t="s">
        <v>402</v>
      </c>
      <c r="B5" s="160"/>
      <c r="C5" s="160"/>
      <c r="D5" s="402" t="s">
        <v>958</v>
      </c>
      <c r="E5" s="160" t="s">
        <v>403</v>
      </c>
      <c r="F5" s="159"/>
      <c r="G5" s="159"/>
    </row>
    <row r="6" spans="1:7">
      <c r="A6" s="160" t="s">
        <v>404</v>
      </c>
      <c r="B6" s="160"/>
      <c r="C6" s="160"/>
      <c r="D6" s="160" t="s">
        <v>405</v>
      </c>
      <c r="E6" s="160" t="s">
        <v>406</v>
      </c>
      <c r="F6" s="159"/>
      <c r="G6" s="159"/>
    </row>
    <row r="7" spans="1:7">
      <c r="A7" s="160" t="s">
        <v>407</v>
      </c>
      <c r="B7" s="160"/>
      <c r="C7" s="160"/>
      <c r="D7" s="160"/>
      <c r="E7" s="160"/>
      <c r="F7" s="159"/>
      <c r="G7" s="159"/>
    </row>
    <row r="8" spans="1:7" ht="9.75" customHeight="1">
      <c r="A8" s="159"/>
      <c r="B8" s="159"/>
      <c r="C8" s="159"/>
      <c r="D8" s="159"/>
      <c r="E8" s="159"/>
      <c r="F8" s="159"/>
      <c r="G8" s="159"/>
    </row>
    <row r="9" spans="1:7" ht="34.5" customHeight="1">
      <c r="A9" s="161" t="s">
        <v>205</v>
      </c>
      <c r="B9" s="161" t="s">
        <v>408</v>
      </c>
      <c r="C9" s="162" t="s">
        <v>409</v>
      </c>
      <c r="D9" s="161" t="s">
        <v>410</v>
      </c>
      <c r="E9" s="161" t="s">
        <v>271</v>
      </c>
      <c r="F9" s="162" t="s">
        <v>411</v>
      </c>
      <c r="G9" s="162" t="s">
        <v>412</v>
      </c>
    </row>
    <row r="10" spans="1:7">
      <c r="A10" s="163">
        <v>1</v>
      </c>
      <c r="B10" s="163" t="s">
        <v>413</v>
      </c>
      <c r="C10" s="751">
        <v>1</v>
      </c>
      <c r="D10" s="759" t="s">
        <v>414</v>
      </c>
      <c r="E10" s="759" t="s">
        <v>415</v>
      </c>
      <c r="F10" s="751">
        <v>1</v>
      </c>
      <c r="G10" s="765"/>
    </row>
    <row r="11" spans="1:7">
      <c r="A11" s="163">
        <v>2</v>
      </c>
      <c r="B11" s="163"/>
      <c r="C11" s="752"/>
      <c r="D11" s="760"/>
      <c r="E11" s="760"/>
      <c r="F11" s="753"/>
      <c r="G11" s="766"/>
    </row>
    <row r="12" spans="1:7" ht="16.5" customHeight="1">
      <c r="A12" s="163">
        <v>3</v>
      </c>
      <c r="B12" s="163"/>
      <c r="C12" s="751">
        <v>1</v>
      </c>
      <c r="D12" s="759" t="s">
        <v>416</v>
      </c>
      <c r="E12" s="759" t="s">
        <v>417</v>
      </c>
      <c r="F12" s="751">
        <v>2</v>
      </c>
      <c r="G12" s="765"/>
    </row>
    <row r="13" spans="1:7">
      <c r="A13" s="163">
        <v>4</v>
      </c>
      <c r="B13" s="163"/>
      <c r="C13" s="752"/>
      <c r="D13" s="761"/>
      <c r="E13" s="761"/>
      <c r="F13" s="752"/>
      <c r="G13" s="767"/>
    </row>
    <row r="14" spans="1:7" ht="32.25" customHeight="1">
      <c r="A14" s="163">
        <v>5</v>
      </c>
      <c r="B14" s="163"/>
      <c r="C14" s="753"/>
      <c r="D14" s="760"/>
      <c r="E14" s="760"/>
      <c r="F14" s="753"/>
      <c r="G14" s="766"/>
    </row>
    <row r="15" spans="1:7">
      <c r="A15" s="163">
        <v>6</v>
      </c>
      <c r="B15" s="163"/>
      <c r="C15" s="754">
        <v>1</v>
      </c>
      <c r="D15" s="759" t="s">
        <v>414</v>
      </c>
      <c r="E15" s="759" t="s">
        <v>415</v>
      </c>
      <c r="F15" s="751">
        <v>3</v>
      </c>
      <c r="G15" s="765"/>
    </row>
    <row r="16" spans="1:7">
      <c r="A16" s="163">
        <v>7</v>
      </c>
      <c r="B16" s="163"/>
      <c r="C16" s="755"/>
      <c r="D16" s="760"/>
      <c r="E16" s="760"/>
      <c r="F16" s="753"/>
      <c r="G16" s="766"/>
    </row>
    <row r="17" spans="1:7" ht="16.5" customHeight="1">
      <c r="A17" s="163">
        <v>8</v>
      </c>
      <c r="B17" s="163"/>
      <c r="C17" s="751">
        <v>1</v>
      </c>
      <c r="D17" s="759" t="s">
        <v>418</v>
      </c>
      <c r="E17" s="759" t="s">
        <v>419</v>
      </c>
      <c r="F17" s="751">
        <v>4</v>
      </c>
      <c r="G17" s="765"/>
    </row>
    <row r="18" spans="1:7">
      <c r="A18" s="163">
        <v>9</v>
      </c>
      <c r="B18" s="163"/>
      <c r="C18" s="752"/>
      <c r="D18" s="761"/>
      <c r="E18" s="761"/>
      <c r="F18" s="752"/>
      <c r="G18" s="767"/>
    </row>
    <row r="19" spans="1:7">
      <c r="A19" s="163">
        <v>10</v>
      </c>
      <c r="B19" s="163"/>
      <c r="C19" s="752"/>
      <c r="D19" s="761"/>
      <c r="E19" s="761"/>
      <c r="F19" s="752"/>
      <c r="G19" s="767"/>
    </row>
    <row r="20" spans="1:7">
      <c r="A20" s="163">
        <v>11</v>
      </c>
      <c r="B20" s="163"/>
      <c r="C20" s="753"/>
      <c r="D20" s="760"/>
      <c r="E20" s="760"/>
      <c r="F20" s="753"/>
      <c r="G20" s="766"/>
    </row>
    <row r="21" spans="1:7">
      <c r="A21" s="163">
        <v>12</v>
      </c>
      <c r="B21" s="163"/>
      <c r="C21" s="751">
        <v>1</v>
      </c>
      <c r="D21" s="759" t="s">
        <v>420</v>
      </c>
      <c r="E21" s="759" t="s">
        <v>421</v>
      </c>
      <c r="F21" s="751">
        <v>5</v>
      </c>
      <c r="G21" s="765"/>
    </row>
    <row r="22" spans="1:7">
      <c r="A22" s="163">
        <v>13</v>
      </c>
      <c r="B22" s="163"/>
      <c r="C22" s="753"/>
      <c r="D22" s="760"/>
      <c r="E22" s="760"/>
      <c r="F22" s="753"/>
      <c r="G22" s="766"/>
    </row>
    <row r="23" spans="1:7" ht="16.5" customHeight="1">
      <c r="A23" s="163">
        <v>14</v>
      </c>
      <c r="B23" s="163"/>
      <c r="C23" s="751">
        <v>1</v>
      </c>
      <c r="D23" s="759" t="s">
        <v>418</v>
      </c>
      <c r="E23" s="759" t="s">
        <v>419</v>
      </c>
      <c r="F23" s="751">
        <v>6</v>
      </c>
      <c r="G23" s="765"/>
    </row>
    <row r="24" spans="1:7">
      <c r="A24" s="163">
        <v>15</v>
      </c>
      <c r="B24" s="163"/>
      <c r="C24" s="752"/>
      <c r="D24" s="761"/>
      <c r="E24" s="761"/>
      <c r="F24" s="752"/>
      <c r="G24" s="767"/>
    </row>
    <row r="25" spans="1:7">
      <c r="A25" s="163">
        <v>16</v>
      </c>
      <c r="B25" s="163"/>
      <c r="C25" s="752"/>
      <c r="D25" s="761"/>
      <c r="E25" s="761"/>
      <c r="F25" s="752"/>
      <c r="G25" s="767"/>
    </row>
    <row r="26" spans="1:7">
      <c r="A26" s="163">
        <v>17</v>
      </c>
      <c r="B26" s="163"/>
      <c r="C26" s="753"/>
      <c r="D26" s="760"/>
      <c r="E26" s="760"/>
      <c r="F26" s="753"/>
      <c r="G26" s="766"/>
    </row>
    <row r="27" spans="1:7" ht="16.5" customHeight="1">
      <c r="A27" s="163">
        <v>18</v>
      </c>
      <c r="B27" s="163"/>
      <c r="C27" s="751"/>
      <c r="D27" s="759" t="s">
        <v>416</v>
      </c>
      <c r="E27" s="759" t="s">
        <v>417</v>
      </c>
      <c r="F27" s="751">
        <v>7</v>
      </c>
      <c r="G27" s="765"/>
    </row>
    <row r="28" spans="1:7">
      <c r="A28" s="163">
        <v>19</v>
      </c>
      <c r="B28" s="164"/>
      <c r="C28" s="752"/>
      <c r="D28" s="761"/>
      <c r="E28" s="761"/>
      <c r="F28" s="752"/>
      <c r="G28" s="767"/>
    </row>
    <row r="29" spans="1:7">
      <c r="A29" s="163">
        <v>20</v>
      </c>
      <c r="B29" s="163"/>
      <c r="C29" s="752"/>
      <c r="D29" s="761"/>
      <c r="E29" s="761"/>
      <c r="F29" s="752"/>
      <c r="G29" s="767"/>
    </row>
    <row r="30" spans="1:7">
      <c r="A30" s="163">
        <v>21</v>
      </c>
      <c r="B30" s="164"/>
      <c r="C30" s="753"/>
      <c r="D30" s="760"/>
      <c r="E30" s="760"/>
      <c r="F30" s="753"/>
      <c r="G30" s="766"/>
    </row>
    <row r="31" spans="1:7" ht="16.5" customHeight="1">
      <c r="A31" s="163">
        <v>22</v>
      </c>
      <c r="B31" s="164"/>
      <c r="C31" s="751"/>
      <c r="D31" s="759" t="s">
        <v>422</v>
      </c>
      <c r="E31" s="759" t="s">
        <v>423</v>
      </c>
      <c r="F31" s="751">
        <v>8</v>
      </c>
      <c r="G31" s="765"/>
    </row>
    <row r="32" spans="1:7">
      <c r="A32" s="163">
        <v>23</v>
      </c>
      <c r="B32" s="59"/>
      <c r="C32" s="752"/>
      <c r="D32" s="761"/>
      <c r="E32" s="761"/>
      <c r="F32" s="752"/>
      <c r="G32" s="767"/>
    </row>
    <row r="33" spans="1:17">
      <c r="A33" s="163">
        <v>24</v>
      </c>
      <c r="B33" s="59"/>
      <c r="C33" s="752"/>
      <c r="D33" s="761"/>
      <c r="E33" s="761"/>
      <c r="F33" s="752"/>
      <c r="G33" s="767"/>
    </row>
    <row r="34" spans="1:17">
      <c r="A34" s="163">
        <v>25</v>
      </c>
      <c r="B34" s="163"/>
      <c r="C34" s="752"/>
      <c r="D34" s="761"/>
      <c r="E34" s="761"/>
      <c r="F34" s="752"/>
      <c r="G34" s="767"/>
    </row>
    <row r="35" spans="1:17">
      <c r="A35" s="163">
        <v>26</v>
      </c>
      <c r="B35" s="163"/>
      <c r="C35" s="753"/>
      <c r="D35" s="760"/>
      <c r="E35" s="760"/>
      <c r="F35" s="753"/>
      <c r="G35" s="766"/>
    </row>
    <row r="36" spans="1:17">
      <c r="A36" s="163">
        <v>27</v>
      </c>
      <c r="B36" s="163"/>
      <c r="C36" s="751"/>
      <c r="D36" s="759" t="s">
        <v>424</v>
      </c>
      <c r="E36" s="759" t="s">
        <v>425</v>
      </c>
      <c r="F36" s="751">
        <v>9</v>
      </c>
      <c r="G36" s="765"/>
      <c r="L36" s="166" t="s">
        <v>171</v>
      </c>
    </row>
    <row r="37" spans="1:17">
      <c r="A37" s="163">
        <v>28</v>
      </c>
      <c r="B37" s="163"/>
      <c r="C37" s="752"/>
      <c r="D37" s="761"/>
      <c r="E37" s="761"/>
      <c r="F37" s="752"/>
      <c r="G37" s="767"/>
      <c r="L37" s="159" t="s">
        <v>389</v>
      </c>
      <c r="Q37" s="167" t="s">
        <v>426</v>
      </c>
    </row>
    <row r="38" spans="1:17">
      <c r="A38" s="163">
        <v>29</v>
      </c>
      <c r="B38" s="163"/>
      <c r="C38" s="752"/>
      <c r="D38" s="761"/>
      <c r="E38" s="761"/>
      <c r="F38" s="752"/>
      <c r="G38" s="767"/>
      <c r="Q38" s="167" t="s">
        <v>178</v>
      </c>
    </row>
    <row r="39" spans="1:17">
      <c r="A39" s="163">
        <v>30</v>
      </c>
      <c r="B39" s="163"/>
      <c r="C39" s="752"/>
      <c r="D39" s="760"/>
      <c r="E39" s="760"/>
      <c r="F39" s="753"/>
      <c r="G39" s="766"/>
    </row>
    <row r="40" spans="1:17">
      <c r="A40" s="163">
        <v>31</v>
      </c>
      <c r="B40" s="163"/>
      <c r="C40" s="751"/>
      <c r="D40" s="759" t="s">
        <v>424</v>
      </c>
      <c r="E40" s="759" t="s">
        <v>425</v>
      </c>
      <c r="F40" s="751">
        <v>10</v>
      </c>
      <c r="G40" s="765"/>
      <c r="L40" s="7" t="s">
        <v>427</v>
      </c>
    </row>
    <row r="41" spans="1:17">
      <c r="A41" s="163">
        <v>32</v>
      </c>
      <c r="B41" s="163"/>
      <c r="C41" s="752"/>
      <c r="D41" s="761"/>
      <c r="E41" s="761"/>
      <c r="F41" s="752"/>
      <c r="G41" s="767"/>
      <c r="L41" s="7" t="s">
        <v>280</v>
      </c>
      <c r="Q41" s="167" t="s">
        <v>428</v>
      </c>
    </row>
    <row r="42" spans="1:17">
      <c r="A42" s="163">
        <v>33</v>
      </c>
      <c r="B42" s="163"/>
      <c r="C42" s="752"/>
      <c r="D42" s="761"/>
      <c r="E42" s="761"/>
      <c r="F42" s="752"/>
      <c r="G42" s="767"/>
      <c r="Q42" s="167" t="s">
        <v>429</v>
      </c>
    </row>
    <row r="43" spans="1:17">
      <c r="A43" s="163">
        <v>34</v>
      </c>
      <c r="B43" s="163"/>
      <c r="C43" s="752"/>
      <c r="D43" s="760"/>
      <c r="E43" s="760"/>
      <c r="F43" s="753"/>
      <c r="G43" s="766"/>
    </row>
    <row r="44" spans="1:17" ht="16.5" customHeight="1">
      <c r="A44" s="163">
        <v>35</v>
      </c>
      <c r="B44" s="165"/>
      <c r="C44" s="751"/>
      <c r="D44" s="759" t="s">
        <v>430</v>
      </c>
      <c r="E44" s="759" t="s">
        <v>431</v>
      </c>
      <c r="F44" s="751">
        <v>11</v>
      </c>
      <c r="G44" s="751"/>
    </row>
    <row r="45" spans="1:17">
      <c r="A45" s="163">
        <v>36</v>
      </c>
      <c r="B45" s="165"/>
      <c r="C45" s="752"/>
      <c r="D45" s="761"/>
      <c r="E45" s="761"/>
      <c r="F45" s="752"/>
      <c r="G45" s="752"/>
    </row>
    <row r="46" spans="1:17">
      <c r="A46" s="163">
        <v>37</v>
      </c>
      <c r="B46" s="165"/>
      <c r="C46" s="752"/>
      <c r="D46" s="761"/>
      <c r="E46" s="761"/>
      <c r="F46" s="752"/>
      <c r="G46" s="752"/>
    </row>
    <row r="47" spans="1:17">
      <c r="A47" s="163">
        <v>38</v>
      </c>
      <c r="B47" s="165"/>
      <c r="C47" s="752"/>
      <c r="D47" s="759" t="s">
        <v>430</v>
      </c>
      <c r="E47" s="759" t="s">
        <v>432</v>
      </c>
      <c r="F47" s="751">
        <v>12</v>
      </c>
      <c r="G47" s="751"/>
    </row>
    <row r="48" spans="1:17">
      <c r="A48" s="163">
        <v>39</v>
      </c>
      <c r="B48" s="165"/>
      <c r="C48" s="751"/>
      <c r="D48" s="761"/>
      <c r="E48" s="761"/>
      <c r="F48" s="752"/>
      <c r="G48" s="752"/>
    </row>
    <row r="49" spans="1:7">
      <c r="A49" s="163">
        <v>40</v>
      </c>
      <c r="B49" s="165"/>
      <c r="C49" s="752"/>
      <c r="D49" s="761"/>
      <c r="E49" s="761"/>
      <c r="F49" s="752"/>
      <c r="G49" s="752"/>
    </row>
    <row r="50" spans="1:7" ht="16.5" customHeight="1">
      <c r="A50" s="163">
        <v>41</v>
      </c>
      <c r="B50" s="165"/>
      <c r="C50" s="752"/>
      <c r="D50" s="759" t="s">
        <v>433</v>
      </c>
      <c r="E50" s="759" t="s">
        <v>434</v>
      </c>
      <c r="F50" s="751">
        <v>13</v>
      </c>
      <c r="G50" s="751"/>
    </row>
    <row r="51" spans="1:7">
      <c r="A51" s="163">
        <v>42</v>
      </c>
      <c r="B51" s="165"/>
      <c r="C51" s="752"/>
      <c r="D51" s="761"/>
      <c r="E51" s="761"/>
      <c r="F51" s="752"/>
      <c r="G51" s="752"/>
    </row>
    <row r="52" spans="1:7">
      <c r="A52" s="163">
        <v>43</v>
      </c>
      <c r="B52" s="165"/>
      <c r="C52" s="751"/>
      <c r="D52" s="761"/>
      <c r="E52" s="761"/>
      <c r="F52" s="752"/>
      <c r="G52" s="752"/>
    </row>
    <row r="53" spans="1:7">
      <c r="A53" s="163">
        <v>44</v>
      </c>
      <c r="B53" s="165"/>
      <c r="C53" s="752"/>
      <c r="D53" s="760"/>
      <c r="E53" s="760"/>
      <c r="F53" s="753"/>
      <c r="G53" s="753"/>
    </row>
    <row r="54" spans="1:7">
      <c r="A54" s="163">
        <v>45</v>
      </c>
      <c r="B54" s="165"/>
      <c r="C54" s="756"/>
      <c r="D54" s="759" t="s">
        <v>435</v>
      </c>
      <c r="E54" s="759" t="s">
        <v>436</v>
      </c>
      <c r="F54" s="751">
        <v>14</v>
      </c>
      <c r="G54" s="751"/>
    </row>
    <row r="55" spans="1:7">
      <c r="A55" s="163">
        <v>46</v>
      </c>
      <c r="B55" s="165"/>
      <c r="C55" s="757"/>
      <c r="D55" s="761"/>
      <c r="E55" s="761"/>
      <c r="F55" s="752"/>
      <c r="G55" s="752"/>
    </row>
    <row r="56" spans="1:7">
      <c r="A56" s="163">
        <v>47</v>
      </c>
      <c r="B56" s="165"/>
      <c r="C56" s="757"/>
      <c r="D56" s="761"/>
      <c r="E56" s="761"/>
      <c r="F56" s="752"/>
      <c r="G56" s="752"/>
    </row>
    <row r="57" spans="1:7">
      <c r="A57" s="163">
        <v>48</v>
      </c>
      <c r="B57" s="165"/>
      <c r="C57" s="758"/>
      <c r="D57" s="760"/>
      <c r="E57" s="760"/>
      <c r="F57" s="753"/>
      <c r="G57" s="753"/>
    </row>
    <row r="58" spans="1:7">
      <c r="A58" s="163">
        <v>49</v>
      </c>
      <c r="B58" s="165"/>
      <c r="C58" s="756"/>
      <c r="D58" s="759" t="s">
        <v>435</v>
      </c>
      <c r="E58" s="759" t="s">
        <v>436</v>
      </c>
      <c r="F58" s="751">
        <v>15</v>
      </c>
      <c r="G58" s="751"/>
    </row>
    <row r="59" spans="1:7">
      <c r="A59" s="163">
        <v>50</v>
      </c>
      <c r="B59" s="165"/>
      <c r="C59" s="757"/>
      <c r="D59" s="761"/>
      <c r="E59" s="761"/>
      <c r="F59" s="752"/>
      <c r="G59" s="752"/>
    </row>
    <row r="60" spans="1:7">
      <c r="A60" s="163">
        <v>51</v>
      </c>
      <c r="B60" s="165"/>
      <c r="C60" s="757"/>
      <c r="D60" s="761"/>
      <c r="E60" s="761"/>
      <c r="F60" s="752"/>
      <c r="G60" s="752"/>
    </row>
    <row r="61" spans="1:7">
      <c r="A61" s="163">
        <v>52</v>
      </c>
      <c r="B61" s="165"/>
      <c r="C61" s="758"/>
      <c r="D61" s="760"/>
      <c r="E61" s="760"/>
      <c r="F61" s="753"/>
      <c r="G61" s="753"/>
    </row>
    <row r="62" spans="1:7">
      <c r="A62" s="163">
        <v>53</v>
      </c>
      <c r="B62" s="165"/>
      <c r="C62" s="756"/>
      <c r="D62" s="759" t="s">
        <v>437</v>
      </c>
      <c r="E62" s="759" t="s">
        <v>438</v>
      </c>
      <c r="F62" s="751">
        <v>16</v>
      </c>
      <c r="G62" s="751"/>
    </row>
    <row r="63" spans="1:7">
      <c r="A63" s="163">
        <v>54</v>
      </c>
      <c r="B63" s="165"/>
      <c r="C63" s="757"/>
      <c r="D63" s="761"/>
      <c r="E63" s="761"/>
      <c r="F63" s="752"/>
      <c r="G63" s="752"/>
    </row>
    <row r="64" spans="1:7">
      <c r="A64" s="163">
        <v>55</v>
      </c>
      <c r="B64" s="165"/>
      <c r="C64" s="757"/>
      <c r="D64" s="761"/>
      <c r="E64" s="761"/>
      <c r="F64" s="752"/>
      <c r="G64" s="752"/>
    </row>
    <row r="65" spans="1:7">
      <c r="A65" s="163">
        <v>56</v>
      </c>
      <c r="B65" s="165"/>
      <c r="C65" s="758"/>
      <c r="D65" s="760"/>
      <c r="E65" s="760"/>
      <c r="F65" s="753"/>
      <c r="G65" s="753"/>
    </row>
    <row r="66" spans="1:7">
      <c r="A66" s="163">
        <v>57</v>
      </c>
      <c r="B66" s="165"/>
      <c r="C66" s="756"/>
      <c r="D66" s="759" t="s">
        <v>437</v>
      </c>
      <c r="E66" s="759" t="s">
        <v>438</v>
      </c>
      <c r="F66" s="751">
        <v>17</v>
      </c>
      <c r="G66" s="751"/>
    </row>
    <row r="67" spans="1:7">
      <c r="A67" s="163">
        <v>58</v>
      </c>
      <c r="B67" s="165"/>
      <c r="C67" s="757"/>
      <c r="D67" s="761"/>
      <c r="E67" s="761"/>
      <c r="F67" s="752"/>
      <c r="G67" s="752"/>
    </row>
    <row r="68" spans="1:7">
      <c r="A68" s="163">
        <v>59</v>
      </c>
      <c r="B68" s="165"/>
      <c r="C68" s="757"/>
      <c r="D68" s="761"/>
      <c r="E68" s="761"/>
      <c r="F68" s="752"/>
      <c r="G68" s="752"/>
    </row>
    <row r="69" spans="1:7">
      <c r="A69" s="163">
        <v>60</v>
      </c>
      <c r="B69" s="165"/>
      <c r="C69" s="758"/>
      <c r="D69" s="760"/>
      <c r="E69" s="760"/>
      <c r="F69" s="753"/>
      <c r="G69" s="753"/>
    </row>
    <row r="70" spans="1:7">
      <c r="A70" s="163">
        <v>61</v>
      </c>
      <c r="B70" s="165"/>
      <c r="C70" s="756"/>
      <c r="D70" s="759" t="s">
        <v>437</v>
      </c>
      <c r="E70" s="759" t="s">
        <v>438</v>
      </c>
      <c r="F70" s="751">
        <v>18</v>
      </c>
      <c r="G70" s="751"/>
    </row>
    <row r="71" spans="1:7">
      <c r="A71" s="163">
        <v>62</v>
      </c>
      <c r="B71" s="165"/>
      <c r="C71" s="757"/>
      <c r="D71" s="761"/>
      <c r="E71" s="761"/>
      <c r="F71" s="752"/>
      <c r="G71" s="752"/>
    </row>
    <row r="72" spans="1:7">
      <c r="A72" s="163">
        <v>63</v>
      </c>
      <c r="B72" s="165"/>
      <c r="C72" s="757"/>
      <c r="D72" s="761"/>
      <c r="E72" s="761"/>
      <c r="F72" s="752"/>
      <c r="G72" s="752"/>
    </row>
    <row r="73" spans="1:7">
      <c r="A73" s="163">
        <v>64</v>
      </c>
      <c r="B73" s="165"/>
      <c r="C73" s="758"/>
      <c r="D73" s="760"/>
      <c r="E73" s="760"/>
      <c r="F73" s="753"/>
      <c r="G73" s="753"/>
    </row>
    <row r="74" spans="1:7">
      <c r="A74" s="163">
        <v>65</v>
      </c>
      <c r="B74" s="165"/>
      <c r="C74" s="756"/>
      <c r="D74" s="759" t="s">
        <v>439</v>
      </c>
      <c r="E74" s="759" t="s">
        <v>440</v>
      </c>
      <c r="F74" s="751">
        <v>19</v>
      </c>
      <c r="G74" s="751"/>
    </row>
    <row r="75" spans="1:7">
      <c r="A75" s="163">
        <v>66</v>
      </c>
      <c r="B75" s="165"/>
      <c r="C75" s="757"/>
      <c r="D75" s="761"/>
      <c r="E75" s="761"/>
      <c r="F75" s="752"/>
      <c r="G75" s="752"/>
    </row>
    <row r="76" spans="1:7">
      <c r="A76" s="163">
        <v>67</v>
      </c>
      <c r="B76" s="165"/>
      <c r="C76" s="757"/>
      <c r="D76" s="761"/>
      <c r="E76" s="761"/>
      <c r="F76" s="752"/>
      <c r="G76" s="752"/>
    </row>
    <row r="77" spans="1:7">
      <c r="A77" s="163">
        <v>68</v>
      </c>
      <c r="B77" s="165"/>
      <c r="C77" s="758"/>
      <c r="D77" s="760"/>
      <c r="E77" s="760"/>
      <c r="F77" s="753"/>
      <c r="G77" s="753"/>
    </row>
    <row r="78" spans="1:7">
      <c r="A78" s="163">
        <v>69</v>
      </c>
      <c r="B78" s="165"/>
      <c r="C78" s="756"/>
      <c r="D78" s="759" t="s">
        <v>439</v>
      </c>
      <c r="E78" s="759" t="s">
        <v>440</v>
      </c>
      <c r="F78" s="751">
        <v>20</v>
      </c>
      <c r="G78" s="751"/>
    </row>
    <row r="79" spans="1:7">
      <c r="A79" s="163">
        <v>70</v>
      </c>
      <c r="B79" s="165"/>
      <c r="C79" s="757"/>
      <c r="D79" s="761"/>
      <c r="E79" s="761"/>
      <c r="F79" s="752"/>
      <c r="G79" s="752"/>
    </row>
    <row r="80" spans="1:7">
      <c r="A80" s="163">
        <v>71</v>
      </c>
      <c r="B80" s="165"/>
      <c r="C80" s="757"/>
      <c r="D80" s="761"/>
      <c r="E80" s="761"/>
      <c r="F80" s="752"/>
      <c r="G80" s="752"/>
    </row>
    <row r="81" spans="1:7">
      <c r="A81" s="163">
        <v>72</v>
      </c>
      <c r="B81" s="165"/>
      <c r="C81" s="758"/>
      <c r="D81" s="760"/>
      <c r="E81" s="760"/>
      <c r="F81" s="753"/>
      <c r="G81" s="753"/>
    </row>
    <row r="82" spans="1:7">
      <c r="A82" s="163">
        <v>73</v>
      </c>
      <c r="B82" s="165"/>
      <c r="C82" s="756"/>
      <c r="D82" s="759" t="s">
        <v>441</v>
      </c>
      <c r="E82" s="759" t="s">
        <v>442</v>
      </c>
      <c r="F82" s="751">
        <v>21</v>
      </c>
      <c r="G82" s="751"/>
    </row>
    <row r="83" spans="1:7">
      <c r="A83" s="163">
        <v>74</v>
      </c>
      <c r="B83" s="165"/>
      <c r="C83" s="757"/>
      <c r="D83" s="761"/>
      <c r="E83" s="761"/>
      <c r="F83" s="752"/>
      <c r="G83" s="752"/>
    </row>
    <row r="84" spans="1:7">
      <c r="A84" s="163">
        <v>75</v>
      </c>
      <c r="B84" s="165"/>
      <c r="C84" s="757"/>
      <c r="D84" s="761"/>
      <c r="E84" s="761"/>
      <c r="F84" s="752"/>
      <c r="G84" s="752"/>
    </row>
    <row r="85" spans="1:7">
      <c r="A85" s="163">
        <v>76</v>
      </c>
      <c r="B85" s="165"/>
      <c r="C85" s="758"/>
      <c r="D85" s="760"/>
      <c r="E85" s="760"/>
      <c r="F85" s="753"/>
      <c r="G85" s="753"/>
    </row>
    <row r="86" spans="1:7">
      <c r="A86" s="163">
        <v>77</v>
      </c>
      <c r="B86" s="165"/>
      <c r="C86" s="756"/>
      <c r="D86" s="759" t="s">
        <v>443</v>
      </c>
      <c r="E86" s="759" t="s">
        <v>444</v>
      </c>
      <c r="F86" s="751">
        <v>22</v>
      </c>
      <c r="G86" s="751"/>
    </row>
    <row r="87" spans="1:7">
      <c r="A87" s="163">
        <v>78</v>
      </c>
      <c r="B87" s="165"/>
      <c r="C87" s="757"/>
      <c r="D87" s="761"/>
      <c r="E87" s="761"/>
      <c r="F87" s="752"/>
      <c r="G87" s="752"/>
    </row>
    <row r="88" spans="1:7">
      <c r="A88" s="163">
        <v>79</v>
      </c>
      <c r="B88" s="165"/>
      <c r="C88" s="757"/>
      <c r="D88" s="761"/>
      <c r="E88" s="761"/>
      <c r="F88" s="752"/>
      <c r="G88" s="752"/>
    </row>
    <row r="89" spans="1:7">
      <c r="A89" s="163">
        <v>80</v>
      </c>
      <c r="B89" s="165"/>
      <c r="C89" s="758"/>
      <c r="D89" s="760"/>
      <c r="E89" s="760"/>
      <c r="F89" s="753"/>
      <c r="G89" s="753"/>
    </row>
    <row r="90" spans="1:7">
      <c r="A90" s="163">
        <v>81</v>
      </c>
      <c r="B90" s="165"/>
      <c r="C90" s="756"/>
      <c r="D90" s="759" t="s">
        <v>445</v>
      </c>
      <c r="E90" s="759" t="s">
        <v>446</v>
      </c>
      <c r="F90" s="751">
        <v>23</v>
      </c>
      <c r="G90" s="751"/>
    </row>
    <row r="91" spans="1:7">
      <c r="A91" s="163">
        <v>82</v>
      </c>
      <c r="B91" s="165"/>
      <c r="C91" s="757"/>
      <c r="D91" s="761"/>
      <c r="E91" s="761"/>
      <c r="F91" s="752"/>
      <c r="G91" s="752"/>
    </row>
    <row r="92" spans="1:7">
      <c r="A92" s="163">
        <v>83</v>
      </c>
      <c r="B92" s="165"/>
      <c r="C92" s="757"/>
      <c r="D92" s="761"/>
      <c r="E92" s="761"/>
      <c r="F92" s="752"/>
      <c r="G92" s="752"/>
    </row>
    <row r="93" spans="1:7">
      <c r="A93" s="163">
        <v>84</v>
      </c>
      <c r="B93" s="165"/>
      <c r="C93" s="758"/>
      <c r="D93" s="760"/>
      <c r="E93" s="760"/>
      <c r="F93" s="753"/>
      <c r="G93" s="753"/>
    </row>
    <row r="94" spans="1:7">
      <c r="A94" s="163">
        <v>85</v>
      </c>
      <c r="B94" s="165"/>
      <c r="C94" s="756"/>
      <c r="D94" s="759" t="s">
        <v>445</v>
      </c>
      <c r="E94" s="759" t="s">
        <v>446</v>
      </c>
      <c r="F94" s="751">
        <v>24</v>
      </c>
      <c r="G94" s="751"/>
    </row>
    <row r="95" spans="1:7">
      <c r="A95" s="163">
        <v>86</v>
      </c>
      <c r="B95" s="165"/>
      <c r="C95" s="757"/>
      <c r="D95" s="761"/>
      <c r="E95" s="761"/>
      <c r="F95" s="752"/>
      <c r="G95" s="752"/>
    </row>
    <row r="96" spans="1:7">
      <c r="A96" s="163">
        <v>87</v>
      </c>
      <c r="B96" s="165"/>
      <c r="C96" s="757"/>
      <c r="D96" s="761"/>
      <c r="E96" s="761"/>
      <c r="F96" s="752"/>
      <c r="G96" s="752"/>
    </row>
    <row r="97" spans="1:7">
      <c r="A97" s="163">
        <v>88</v>
      </c>
      <c r="B97" s="165"/>
      <c r="C97" s="758"/>
      <c r="D97" s="760"/>
      <c r="E97" s="760"/>
      <c r="F97" s="753"/>
      <c r="G97" s="753"/>
    </row>
    <row r="98" spans="1:7">
      <c r="A98" s="163">
        <v>89</v>
      </c>
      <c r="B98" s="165"/>
      <c r="C98" s="756"/>
      <c r="D98" s="759" t="s">
        <v>445</v>
      </c>
      <c r="E98" s="759" t="s">
        <v>446</v>
      </c>
      <c r="F98" s="751">
        <v>25</v>
      </c>
      <c r="G98" s="751"/>
    </row>
    <row r="99" spans="1:7">
      <c r="A99" s="163">
        <v>90</v>
      </c>
      <c r="B99" s="165"/>
      <c r="C99" s="757"/>
      <c r="D99" s="761"/>
      <c r="E99" s="761"/>
      <c r="F99" s="752"/>
      <c r="G99" s="752"/>
    </row>
    <row r="100" spans="1:7">
      <c r="A100" s="163">
        <v>91</v>
      </c>
      <c r="B100" s="165"/>
      <c r="C100" s="757"/>
      <c r="D100" s="761"/>
      <c r="E100" s="761"/>
      <c r="F100" s="752"/>
      <c r="G100" s="752"/>
    </row>
    <row r="101" spans="1:7">
      <c r="C101" s="758"/>
      <c r="D101" s="760"/>
      <c r="E101" s="760"/>
      <c r="F101" s="753"/>
      <c r="G101" s="753"/>
    </row>
    <row r="102" spans="1:7">
      <c r="C102" s="756"/>
      <c r="D102" s="759" t="s">
        <v>447</v>
      </c>
      <c r="E102" s="759" t="s">
        <v>448</v>
      </c>
      <c r="F102" s="751">
        <v>26</v>
      </c>
      <c r="G102" s="751"/>
    </row>
    <row r="103" spans="1:7">
      <c r="C103" s="757"/>
      <c r="D103" s="761"/>
      <c r="E103" s="761"/>
      <c r="F103" s="752"/>
      <c r="G103" s="752"/>
    </row>
    <row r="104" spans="1:7">
      <c r="C104" s="757"/>
      <c r="D104" s="761"/>
      <c r="E104" s="761"/>
      <c r="F104" s="752"/>
      <c r="G104" s="752"/>
    </row>
    <row r="105" spans="1:7">
      <c r="C105" s="758"/>
      <c r="D105" s="760"/>
      <c r="E105" s="760"/>
      <c r="F105" s="753"/>
      <c r="G105" s="753"/>
    </row>
    <row r="106" spans="1:7">
      <c r="C106" s="756"/>
      <c r="D106" s="762" t="s">
        <v>449</v>
      </c>
      <c r="E106" s="762" t="s">
        <v>450</v>
      </c>
      <c r="F106" s="756">
        <v>27</v>
      </c>
      <c r="G106" s="756"/>
    </row>
    <row r="107" spans="1:7">
      <c r="C107" s="757"/>
      <c r="D107" s="763"/>
      <c r="E107" s="763"/>
      <c r="F107" s="757"/>
      <c r="G107" s="757"/>
    </row>
    <row r="108" spans="1:7">
      <c r="C108" s="758"/>
      <c r="D108" s="764"/>
      <c r="E108" s="764"/>
      <c r="F108" s="758"/>
      <c r="G108" s="758"/>
    </row>
    <row r="109" spans="1:7">
      <c r="C109" s="756"/>
      <c r="D109" s="759" t="s">
        <v>445</v>
      </c>
      <c r="E109" s="759" t="s">
        <v>446</v>
      </c>
      <c r="F109" s="751">
        <v>28</v>
      </c>
      <c r="G109" s="759"/>
    </row>
    <row r="110" spans="1:7">
      <c r="C110" s="757"/>
      <c r="D110" s="761"/>
      <c r="E110" s="761"/>
      <c r="F110" s="752"/>
      <c r="G110" s="761"/>
    </row>
    <row r="111" spans="1:7">
      <c r="C111" s="757"/>
      <c r="D111" s="761"/>
      <c r="E111" s="761"/>
      <c r="F111" s="752"/>
      <c r="G111" s="761"/>
    </row>
    <row r="112" spans="1:7">
      <c r="C112" s="758"/>
      <c r="D112" s="760"/>
      <c r="E112" s="760"/>
      <c r="F112" s="753"/>
      <c r="G112" s="760"/>
    </row>
    <row r="113" spans="3:7">
      <c r="C113" s="756"/>
      <c r="D113" s="759" t="s">
        <v>451</v>
      </c>
      <c r="E113" s="759" t="s">
        <v>452</v>
      </c>
      <c r="F113" s="751">
        <v>29</v>
      </c>
      <c r="G113" s="759"/>
    </row>
    <row r="114" spans="3:7">
      <c r="C114" s="757"/>
      <c r="D114" s="761"/>
      <c r="E114" s="761"/>
      <c r="F114" s="752"/>
      <c r="G114" s="761"/>
    </row>
    <row r="115" spans="3:7">
      <c r="C115" s="757"/>
      <c r="D115" s="761"/>
      <c r="E115" s="761"/>
      <c r="F115" s="752"/>
      <c r="G115" s="761"/>
    </row>
    <row r="116" spans="3:7">
      <c r="C116" s="758"/>
      <c r="D116" s="760"/>
      <c r="E116" s="760"/>
      <c r="F116" s="753"/>
      <c r="G116" s="760"/>
    </row>
    <row r="117" spans="3:7">
      <c r="C117" s="756"/>
      <c r="D117" s="759" t="s">
        <v>451</v>
      </c>
      <c r="E117" s="759" t="s">
        <v>452</v>
      </c>
      <c r="F117" s="751">
        <v>30</v>
      </c>
      <c r="G117" s="759"/>
    </row>
    <row r="118" spans="3:7">
      <c r="C118" s="757"/>
      <c r="D118" s="761"/>
      <c r="E118" s="761"/>
      <c r="F118" s="752"/>
      <c r="G118" s="761"/>
    </row>
    <row r="119" spans="3:7">
      <c r="C119" s="757"/>
      <c r="D119" s="761"/>
      <c r="E119" s="761"/>
      <c r="F119" s="752"/>
      <c r="G119" s="761"/>
    </row>
    <row r="120" spans="3:7">
      <c r="C120" s="758"/>
      <c r="D120" s="760"/>
      <c r="E120" s="760"/>
      <c r="F120" s="753"/>
      <c r="G120" s="760"/>
    </row>
    <row r="121" spans="3:7">
      <c r="C121" s="756"/>
      <c r="D121" s="759" t="s">
        <v>451</v>
      </c>
      <c r="E121" s="759" t="s">
        <v>452</v>
      </c>
      <c r="F121" s="751">
        <v>31</v>
      </c>
      <c r="G121" s="759"/>
    </row>
    <row r="122" spans="3:7">
      <c r="C122" s="757"/>
      <c r="D122" s="761"/>
      <c r="E122" s="761"/>
      <c r="F122" s="752"/>
      <c r="G122" s="761"/>
    </row>
    <row r="123" spans="3:7">
      <c r="C123" s="757"/>
      <c r="D123" s="761"/>
      <c r="E123" s="761"/>
      <c r="F123" s="752"/>
      <c r="G123" s="761"/>
    </row>
    <row r="124" spans="3:7">
      <c r="C124" s="758"/>
      <c r="D124" s="760"/>
      <c r="E124" s="760"/>
      <c r="F124" s="753"/>
      <c r="G124" s="760"/>
    </row>
    <row r="125" spans="3:7">
      <c r="C125" s="756"/>
      <c r="D125" s="759" t="s">
        <v>451</v>
      </c>
      <c r="E125" s="759" t="s">
        <v>452</v>
      </c>
      <c r="F125" s="751">
        <v>32</v>
      </c>
      <c r="G125" s="759"/>
    </row>
    <row r="126" spans="3:7">
      <c r="C126" s="757"/>
      <c r="D126" s="761"/>
      <c r="E126" s="761"/>
      <c r="F126" s="752"/>
      <c r="G126" s="761"/>
    </row>
    <row r="127" spans="3:7">
      <c r="C127" s="757"/>
      <c r="D127" s="761"/>
      <c r="E127" s="761"/>
      <c r="F127" s="752"/>
      <c r="G127" s="761"/>
    </row>
    <row r="128" spans="3:7">
      <c r="C128" s="758"/>
      <c r="D128" s="760"/>
      <c r="E128" s="760"/>
      <c r="F128" s="753"/>
      <c r="G128" s="760"/>
    </row>
    <row r="129" spans="3:7">
      <c r="C129" s="756"/>
      <c r="D129" s="759" t="s">
        <v>453</v>
      </c>
      <c r="E129" s="759" t="s">
        <v>454</v>
      </c>
      <c r="F129" s="751">
        <v>33</v>
      </c>
      <c r="G129" s="759"/>
    </row>
    <row r="130" spans="3:7">
      <c r="C130" s="757"/>
      <c r="D130" s="761"/>
      <c r="E130" s="761"/>
      <c r="F130" s="752"/>
      <c r="G130" s="761"/>
    </row>
    <row r="131" spans="3:7">
      <c r="C131" s="757"/>
      <c r="D131" s="761"/>
      <c r="E131" s="761"/>
      <c r="F131" s="752"/>
      <c r="G131" s="761"/>
    </row>
    <row r="132" spans="3:7">
      <c r="C132" s="758"/>
      <c r="D132" s="760"/>
      <c r="E132" s="760"/>
      <c r="F132" s="753"/>
      <c r="G132" s="760"/>
    </row>
    <row r="133" spans="3:7">
      <c r="C133" s="756"/>
      <c r="D133" s="759" t="s">
        <v>455</v>
      </c>
      <c r="E133" s="759" t="s">
        <v>456</v>
      </c>
      <c r="F133" s="751">
        <v>34</v>
      </c>
      <c r="G133" s="759"/>
    </row>
    <row r="134" spans="3:7">
      <c r="C134" s="757"/>
      <c r="D134" s="761"/>
      <c r="E134" s="761"/>
      <c r="F134" s="752"/>
      <c r="G134" s="761"/>
    </row>
    <row r="135" spans="3:7">
      <c r="C135" s="757"/>
      <c r="D135" s="761"/>
      <c r="E135" s="761"/>
      <c r="F135" s="752"/>
      <c r="G135" s="761"/>
    </row>
    <row r="136" spans="3:7">
      <c r="C136" s="758"/>
      <c r="D136" s="760"/>
      <c r="E136" s="760"/>
      <c r="F136" s="753"/>
      <c r="G136" s="760"/>
    </row>
    <row r="137" spans="3:7">
      <c r="C137" s="756"/>
      <c r="D137" s="759" t="s">
        <v>451</v>
      </c>
      <c r="E137" s="759" t="s">
        <v>452</v>
      </c>
      <c r="F137" s="751">
        <v>35</v>
      </c>
      <c r="G137" s="759"/>
    </row>
    <row r="138" spans="3:7">
      <c r="C138" s="757"/>
      <c r="D138" s="761"/>
      <c r="E138" s="761"/>
      <c r="F138" s="752"/>
      <c r="G138" s="761"/>
    </row>
    <row r="139" spans="3:7">
      <c r="C139" s="757"/>
      <c r="D139" s="761"/>
      <c r="E139" s="761"/>
      <c r="F139" s="752"/>
      <c r="G139" s="761"/>
    </row>
    <row r="140" spans="3:7">
      <c r="C140" s="758"/>
      <c r="D140" s="760"/>
      <c r="E140" s="760"/>
      <c r="F140" s="753"/>
      <c r="G140" s="760"/>
    </row>
  </sheetData>
  <mergeCells count="178">
    <mergeCell ref="G137:G140"/>
    <mergeCell ref="G102:G105"/>
    <mergeCell ref="G106:G108"/>
    <mergeCell ref="G109:G112"/>
    <mergeCell ref="G113:G116"/>
    <mergeCell ref="G117:G120"/>
    <mergeCell ref="G121:G124"/>
    <mergeCell ref="G125:G128"/>
    <mergeCell ref="G129:G132"/>
    <mergeCell ref="G133:G136"/>
    <mergeCell ref="G66:G69"/>
    <mergeCell ref="G70:G73"/>
    <mergeCell ref="G74:G77"/>
    <mergeCell ref="G78:G81"/>
    <mergeCell ref="G82:G85"/>
    <mergeCell ref="G86:G89"/>
    <mergeCell ref="G90:G93"/>
    <mergeCell ref="G94:G97"/>
    <mergeCell ref="G98:G101"/>
    <mergeCell ref="F109:F112"/>
    <mergeCell ref="F113:F116"/>
    <mergeCell ref="F117:F120"/>
    <mergeCell ref="F121:F124"/>
    <mergeCell ref="F125:F128"/>
    <mergeCell ref="F129:F132"/>
    <mergeCell ref="F133:F136"/>
    <mergeCell ref="F137:F140"/>
    <mergeCell ref="G10:G11"/>
    <mergeCell ref="G12:G14"/>
    <mergeCell ref="G15:G16"/>
    <mergeCell ref="G17:G20"/>
    <mergeCell ref="G21:G22"/>
    <mergeCell ref="G23:G26"/>
    <mergeCell ref="G27:G30"/>
    <mergeCell ref="G31:G35"/>
    <mergeCell ref="G36:G39"/>
    <mergeCell ref="G40:G43"/>
    <mergeCell ref="G44:G46"/>
    <mergeCell ref="G47:G49"/>
    <mergeCell ref="G50:G53"/>
    <mergeCell ref="G54:G57"/>
    <mergeCell ref="G58:G61"/>
    <mergeCell ref="G62:G65"/>
    <mergeCell ref="F74:F77"/>
    <mergeCell ref="F78:F81"/>
    <mergeCell ref="F82:F85"/>
    <mergeCell ref="F86:F89"/>
    <mergeCell ref="F90:F93"/>
    <mergeCell ref="F94:F97"/>
    <mergeCell ref="F98:F101"/>
    <mergeCell ref="F102:F105"/>
    <mergeCell ref="F106:F108"/>
    <mergeCell ref="E117:E120"/>
    <mergeCell ref="E121:E124"/>
    <mergeCell ref="E125:E128"/>
    <mergeCell ref="E129:E132"/>
    <mergeCell ref="E133:E136"/>
    <mergeCell ref="E137:E140"/>
    <mergeCell ref="F10:F11"/>
    <mergeCell ref="F12:F14"/>
    <mergeCell ref="F15:F16"/>
    <mergeCell ref="F17:F20"/>
    <mergeCell ref="F21:F22"/>
    <mergeCell ref="F23:F26"/>
    <mergeCell ref="F27:F30"/>
    <mergeCell ref="F31:F35"/>
    <mergeCell ref="F36:F39"/>
    <mergeCell ref="F40:F43"/>
    <mergeCell ref="F44:F46"/>
    <mergeCell ref="F47:F49"/>
    <mergeCell ref="F50:F53"/>
    <mergeCell ref="F54:F57"/>
    <mergeCell ref="F58:F61"/>
    <mergeCell ref="F62:F65"/>
    <mergeCell ref="F66:F69"/>
    <mergeCell ref="F70:F73"/>
    <mergeCell ref="E82:E85"/>
    <mergeCell ref="E86:E89"/>
    <mergeCell ref="E90:E93"/>
    <mergeCell ref="E94:E97"/>
    <mergeCell ref="E98:E101"/>
    <mergeCell ref="E102:E105"/>
    <mergeCell ref="E106:E108"/>
    <mergeCell ref="E109:E112"/>
    <mergeCell ref="E113:E116"/>
    <mergeCell ref="D125:D128"/>
    <mergeCell ref="D129:D132"/>
    <mergeCell ref="D133:D136"/>
    <mergeCell ref="D137:D140"/>
    <mergeCell ref="E10:E11"/>
    <mergeCell ref="E12:E14"/>
    <mergeCell ref="E15:E16"/>
    <mergeCell ref="E17:E20"/>
    <mergeCell ref="E21:E22"/>
    <mergeCell ref="E23:E26"/>
    <mergeCell ref="E27:E30"/>
    <mergeCell ref="E31:E35"/>
    <mergeCell ref="E36:E39"/>
    <mergeCell ref="E40:E43"/>
    <mergeCell ref="E44:E46"/>
    <mergeCell ref="E47:E49"/>
    <mergeCell ref="E50:E53"/>
    <mergeCell ref="E54:E57"/>
    <mergeCell ref="E58:E61"/>
    <mergeCell ref="E62:E65"/>
    <mergeCell ref="E66:E69"/>
    <mergeCell ref="E70:E73"/>
    <mergeCell ref="E74:E77"/>
    <mergeCell ref="E78:E81"/>
    <mergeCell ref="D90:D93"/>
    <mergeCell ref="D94:D97"/>
    <mergeCell ref="D98:D101"/>
    <mergeCell ref="D102:D105"/>
    <mergeCell ref="D106:D108"/>
    <mergeCell ref="D109:D112"/>
    <mergeCell ref="D113:D116"/>
    <mergeCell ref="D117:D120"/>
    <mergeCell ref="D121:D124"/>
    <mergeCell ref="C133:C136"/>
    <mergeCell ref="C137:C140"/>
    <mergeCell ref="D10:D11"/>
    <mergeCell ref="D12:D14"/>
    <mergeCell ref="D15:D16"/>
    <mergeCell ref="D17:D20"/>
    <mergeCell ref="D21:D22"/>
    <mergeCell ref="D23:D26"/>
    <mergeCell ref="D27:D30"/>
    <mergeCell ref="D31:D35"/>
    <mergeCell ref="D36:D39"/>
    <mergeCell ref="D40:D43"/>
    <mergeCell ref="D44:D46"/>
    <mergeCell ref="D47:D49"/>
    <mergeCell ref="D50:D53"/>
    <mergeCell ref="D54:D57"/>
    <mergeCell ref="D58:D61"/>
    <mergeCell ref="D62:D65"/>
    <mergeCell ref="D66:D69"/>
    <mergeCell ref="D70:D73"/>
    <mergeCell ref="D74:D77"/>
    <mergeCell ref="D78:D81"/>
    <mergeCell ref="D82:D85"/>
    <mergeCell ref="D86:D89"/>
    <mergeCell ref="C98:C101"/>
    <mergeCell ref="C102:C105"/>
    <mergeCell ref="C106:C108"/>
    <mergeCell ref="C109:C112"/>
    <mergeCell ref="C113:C116"/>
    <mergeCell ref="C117:C120"/>
    <mergeCell ref="C121:C124"/>
    <mergeCell ref="C125:C128"/>
    <mergeCell ref="C129:C132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27:C30"/>
    <mergeCell ref="C31:C35"/>
    <mergeCell ref="C36:C39"/>
    <mergeCell ref="C40:C43"/>
    <mergeCell ref="C44:C47"/>
    <mergeCell ref="C48:C51"/>
    <mergeCell ref="C52:C53"/>
    <mergeCell ref="C54:C57"/>
    <mergeCell ref="C58:C61"/>
    <mergeCell ref="F1:G1"/>
    <mergeCell ref="F2:G2"/>
    <mergeCell ref="A3:G3"/>
    <mergeCell ref="C10:C11"/>
    <mergeCell ref="C12:C14"/>
    <mergeCell ref="C15:C16"/>
    <mergeCell ref="C17:C20"/>
    <mergeCell ref="C21:C22"/>
    <mergeCell ref="C23:C26"/>
  </mergeCells>
  <pageMargins left="0.71" right="0.27559055118110198" top="0.47244094488188998" bottom="0.511811023622047" header="0.31496062992126" footer="0.31496062992126"/>
  <pageSetup paperSize="5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5"/>
  <sheetViews>
    <sheetView workbookViewId="0">
      <selection activeCell="H3" sqref="H3"/>
    </sheetView>
  </sheetViews>
  <sheetFormatPr defaultColWidth="9" defaultRowHeight="15"/>
  <sheetData>
    <row r="1" spans="1:9">
      <c r="H1" s="746" t="s">
        <v>457</v>
      </c>
      <c r="I1" s="747"/>
    </row>
    <row r="2" spans="1:9">
      <c r="H2" s="748">
        <v>45117</v>
      </c>
      <c r="I2" s="749"/>
    </row>
    <row r="4" spans="1:9" ht="31.5">
      <c r="A4" s="768" t="s">
        <v>458</v>
      </c>
      <c r="B4" s="768"/>
      <c r="C4" s="768"/>
      <c r="D4" s="768"/>
      <c r="E4" s="768"/>
      <c r="F4" s="768"/>
      <c r="G4" s="768"/>
      <c r="H4" s="768"/>
      <c r="I4" s="768"/>
    </row>
    <row r="5" spans="1:9" ht="31.5">
      <c r="A5" s="156" t="s">
        <v>459</v>
      </c>
      <c r="B5" s="157"/>
      <c r="D5" s="156"/>
      <c r="E5" s="156"/>
      <c r="F5" s="156"/>
      <c r="G5" s="156"/>
      <c r="H5" s="156"/>
      <c r="I5" s="156"/>
    </row>
  </sheetData>
  <mergeCells count="3">
    <mergeCell ref="H1:I1"/>
    <mergeCell ref="H2:I2"/>
    <mergeCell ref="A4:I4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AW57"/>
  <sheetViews>
    <sheetView workbookViewId="0">
      <selection activeCell="P17" sqref="P17"/>
    </sheetView>
  </sheetViews>
  <sheetFormatPr defaultColWidth="9.140625" defaultRowHeight="12.75"/>
  <cols>
    <col min="1" max="1" width="3.5703125" style="72" customWidth="1"/>
    <col min="2" max="2" width="26.28515625" style="72" customWidth="1"/>
    <col min="3" max="3" width="4.28515625" style="72" customWidth="1"/>
    <col min="4" max="18" width="3.28515625" style="72" customWidth="1"/>
    <col min="19" max="20" width="6.140625" style="72" customWidth="1"/>
    <col min="21" max="21" width="7.42578125" style="72" customWidth="1"/>
    <col min="22" max="22" width="8.42578125" style="72" customWidth="1"/>
    <col min="23" max="23" width="3.42578125" style="72" customWidth="1"/>
    <col min="24" max="24" width="3.140625" style="72" customWidth="1"/>
    <col min="25" max="25" width="9.7109375" style="72" customWidth="1"/>
    <col min="26" max="26" width="3" style="72" customWidth="1"/>
    <col min="27" max="27" width="5" style="72" customWidth="1"/>
    <col min="28" max="28" width="4.42578125" style="72" customWidth="1"/>
    <col min="29" max="29" width="4.7109375" style="72" customWidth="1"/>
    <col min="30" max="30" width="13.5703125" style="72" customWidth="1"/>
    <col min="31" max="31" width="6.42578125" style="72" customWidth="1"/>
    <col min="32" max="32" width="5.42578125" style="72" customWidth="1"/>
    <col min="33" max="38" width="9.140625" style="72"/>
    <col min="39" max="39" width="3.140625" style="72" customWidth="1"/>
    <col min="40" max="40" width="7.28515625" style="72" customWidth="1"/>
    <col min="41" max="41" width="5" style="72" customWidth="1"/>
    <col min="42" max="42" width="7.140625" style="72" customWidth="1"/>
    <col min="43" max="16384" width="9.140625" style="72"/>
  </cols>
  <sheetData>
    <row r="1" spans="1:32">
      <c r="AB1" s="770" t="s">
        <v>460</v>
      </c>
      <c r="AC1" s="770"/>
      <c r="AD1" s="770"/>
    </row>
    <row r="2" spans="1:32">
      <c r="AB2" s="736">
        <v>45117</v>
      </c>
      <c r="AC2" s="736"/>
      <c r="AD2" s="736"/>
    </row>
    <row r="3" spans="1:32" ht="15.75">
      <c r="A3" s="771" t="s">
        <v>461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771"/>
      <c r="O3" s="771"/>
      <c r="P3" s="771"/>
      <c r="Q3" s="771"/>
      <c r="R3" s="771"/>
      <c r="S3" s="771"/>
      <c r="T3" s="771"/>
      <c r="U3" s="771"/>
      <c r="V3" s="771"/>
    </row>
    <row r="4" spans="1:32" ht="9" customHeight="1">
      <c r="A4" s="77"/>
      <c r="B4" s="77"/>
      <c r="C4" s="77"/>
      <c r="D4" s="77"/>
      <c r="E4" s="77"/>
    </row>
    <row r="5" spans="1:32">
      <c r="A5" s="72" t="s">
        <v>462</v>
      </c>
      <c r="C5" s="72" t="str">
        <f>'COVER '!E28</f>
        <v>: Mata Pelajaran Pilihan (CAM)</v>
      </c>
      <c r="D5" s="83"/>
      <c r="M5" s="72" t="s">
        <v>464</v>
      </c>
      <c r="S5" s="72" t="s">
        <v>465</v>
      </c>
      <c r="W5" s="126" t="s">
        <v>68</v>
      </c>
      <c r="X5" s="126"/>
      <c r="Z5" s="72" t="s">
        <v>466</v>
      </c>
    </row>
    <row r="6" spans="1:32">
      <c r="A6" s="72" t="s">
        <v>467</v>
      </c>
      <c r="C6" s="72" t="s">
        <v>463</v>
      </c>
      <c r="D6" s="83"/>
      <c r="M6" s="72" t="s">
        <v>468</v>
      </c>
      <c r="S6" s="72" t="s">
        <v>465</v>
      </c>
      <c r="W6" s="72" t="s">
        <v>469</v>
      </c>
      <c r="Z6" s="72" t="s">
        <v>466</v>
      </c>
    </row>
    <row r="7" spans="1:32">
      <c r="A7" s="72" t="s">
        <v>470</v>
      </c>
      <c r="C7" s="72" t="s">
        <v>463</v>
      </c>
      <c r="M7" s="72" t="s">
        <v>471</v>
      </c>
      <c r="S7" s="72" t="s">
        <v>465</v>
      </c>
    </row>
    <row r="8" spans="1:32" ht="6.75" customHeight="1"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</row>
    <row r="9" spans="1:32" ht="13.5" customHeight="1">
      <c r="A9" s="775" t="s">
        <v>205</v>
      </c>
      <c r="B9" s="775" t="s">
        <v>288</v>
      </c>
      <c r="C9" s="772" t="s">
        <v>472</v>
      </c>
      <c r="D9" s="773"/>
      <c r="E9" s="773"/>
      <c r="F9" s="773"/>
      <c r="G9" s="773"/>
      <c r="H9" s="773"/>
      <c r="I9" s="773"/>
      <c r="J9" s="773"/>
      <c r="K9" s="773"/>
      <c r="L9" s="773"/>
      <c r="M9" s="773"/>
      <c r="N9" s="773"/>
      <c r="O9" s="773"/>
      <c r="P9" s="773"/>
      <c r="Q9" s="773"/>
      <c r="R9" s="774"/>
      <c r="S9" s="778" t="s">
        <v>473</v>
      </c>
      <c r="T9" s="781" t="s">
        <v>317</v>
      </c>
      <c r="U9" s="784" t="s">
        <v>474</v>
      </c>
      <c r="V9" s="776" t="s">
        <v>475</v>
      </c>
    </row>
    <row r="10" spans="1:32" ht="13.5" customHeight="1">
      <c r="A10" s="776"/>
      <c r="B10" s="776"/>
      <c r="C10" s="128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779"/>
      <c r="T10" s="782"/>
      <c r="U10" s="785"/>
      <c r="V10" s="787"/>
    </row>
    <row r="11" spans="1:32" ht="12.75" customHeight="1">
      <c r="A11" s="777"/>
      <c r="B11" s="777"/>
      <c r="C11" s="129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780"/>
      <c r="T11" s="783"/>
      <c r="U11" s="786"/>
      <c r="V11" s="788"/>
      <c r="W11" s="146" t="s">
        <v>100</v>
      </c>
      <c r="X11" s="143"/>
      <c r="Y11" s="146"/>
      <c r="Z11" s="143"/>
      <c r="AC11" s="143"/>
      <c r="AF11" s="144"/>
    </row>
    <row r="12" spans="1:32" ht="11.1" customHeight="1">
      <c r="A12" s="131">
        <v>1</v>
      </c>
      <c r="B12" s="132"/>
      <c r="C12" s="132"/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47"/>
      <c r="T12" s="147"/>
      <c r="U12" s="148"/>
      <c r="V12" s="149"/>
      <c r="W12" s="144">
        <v>1</v>
      </c>
      <c r="X12" s="72" t="s">
        <v>476</v>
      </c>
      <c r="Y12" s="144"/>
      <c r="AC12" s="144"/>
    </row>
    <row r="13" spans="1:32" ht="11.1" customHeight="1">
      <c r="A13" s="135">
        <v>2</v>
      </c>
      <c r="B13" s="136"/>
      <c r="C13" s="136"/>
      <c r="D13" s="137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47"/>
      <c r="T13" s="147"/>
      <c r="U13" s="150"/>
      <c r="V13" s="149"/>
      <c r="W13" s="143"/>
      <c r="X13" s="151"/>
      <c r="Y13" s="151" t="s">
        <v>477</v>
      </c>
      <c r="AC13" s="151"/>
    </row>
    <row r="14" spans="1:32" ht="11.1" customHeight="1">
      <c r="A14" s="135">
        <v>3</v>
      </c>
      <c r="B14" s="139"/>
      <c r="C14" s="139"/>
      <c r="D14" s="137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47"/>
      <c r="T14" s="147"/>
      <c r="U14" s="150"/>
      <c r="V14" s="149"/>
    </row>
    <row r="15" spans="1:32" ht="11.1" customHeight="1">
      <c r="A15" s="131">
        <v>4</v>
      </c>
      <c r="B15" s="139"/>
      <c r="C15" s="139"/>
      <c r="D15" s="137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47"/>
      <c r="T15" s="147"/>
      <c r="U15" s="150"/>
      <c r="V15" s="149"/>
      <c r="X15" s="152" t="s">
        <v>478</v>
      </c>
      <c r="Y15" s="152"/>
      <c r="Z15" s="152"/>
      <c r="AA15" s="152"/>
      <c r="AB15" s="152"/>
      <c r="AC15" s="152"/>
      <c r="AD15" s="152"/>
      <c r="AE15" s="152"/>
    </row>
    <row r="16" spans="1:32" ht="11.1" customHeight="1">
      <c r="A16" s="135">
        <v>5</v>
      </c>
      <c r="B16" s="139"/>
      <c r="C16" s="139"/>
      <c r="D16" s="137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47"/>
      <c r="T16" s="147"/>
      <c r="U16" s="150"/>
      <c r="V16" s="149"/>
      <c r="X16" s="152"/>
      <c r="Y16" s="152"/>
      <c r="Z16" s="153" t="s">
        <v>479</v>
      </c>
      <c r="AA16" s="153"/>
      <c r="AB16" s="153"/>
      <c r="AC16" s="153"/>
      <c r="AD16" s="152"/>
      <c r="AE16" s="152"/>
    </row>
    <row r="17" spans="1:34" ht="11.1" customHeight="1">
      <c r="A17" s="135">
        <v>6</v>
      </c>
      <c r="B17" s="139"/>
      <c r="C17" s="139"/>
      <c r="D17" s="137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47"/>
      <c r="T17" s="147"/>
      <c r="U17" s="150"/>
      <c r="V17" s="149"/>
      <c r="W17" s="144">
        <v>2</v>
      </c>
      <c r="X17" s="153" t="s">
        <v>480</v>
      </c>
      <c r="Y17" s="153"/>
      <c r="Z17" s="153"/>
      <c r="AA17" s="153"/>
      <c r="AB17" s="153"/>
      <c r="AC17" s="153"/>
      <c r="AD17" s="153"/>
      <c r="AH17" s="72" t="s">
        <v>176</v>
      </c>
    </row>
    <row r="18" spans="1:34" ht="11.1" customHeight="1">
      <c r="A18" s="131">
        <v>7</v>
      </c>
      <c r="B18" s="139"/>
      <c r="C18" s="139"/>
      <c r="D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47"/>
      <c r="T18" s="147"/>
      <c r="U18" s="150"/>
      <c r="V18" s="149"/>
      <c r="X18" s="143" t="s">
        <v>481</v>
      </c>
      <c r="Z18" s="143"/>
      <c r="AC18" s="153"/>
      <c r="AD18" s="153"/>
    </row>
    <row r="19" spans="1:34" ht="11.1" customHeight="1">
      <c r="A19" s="135">
        <v>8</v>
      </c>
      <c r="B19" s="139"/>
      <c r="C19" s="139"/>
      <c r="D19" s="137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47"/>
      <c r="T19" s="147"/>
      <c r="U19" s="150"/>
      <c r="V19" s="149"/>
      <c r="W19" s="144">
        <v>3</v>
      </c>
      <c r="X19" s="769" t="s">
        <v>482</v>
      </c>
      <c r="Y19" s="769"/>
      <c r="Z19" s="769"/>
      <c r="AA19" s="769"/>
      <c r="AB19" s="769"/>
      <c r="AC19" s="769"/>
      <c r="AD19" s="769"/>
    </row>
    <row r="20" spans="1:34" ht="11.1" customHeight="1">
      <c r="A20" s="135">
        <v>9</v>
      </c>
      <c r="B20" s="136"/>
      <c r="C20" s="136"/>
      <c r="D20" s="137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47"/>
      <c r="T20" s="147"/>
      <c r="U20" s="150"/>
      <c r="V20" s="149"/>
      <c r="X20" s="769"/>
      <c r="Y20" s="769"/>
      <c r="Z20" s="769"/>
      <c r="AA20" s="769"/>
      <c r="AB20" s="769"/>
      <c r="AC20" s="769"/>
      <c r="AD20" s="769"/>
    </row>
    <row r="21" spans="1:34" ht="11.1" customHeight="1">
      <c r="A21" s="131">
        <v>10</v>
      </c>
      <c r="B21" s="139"/>
      <c r="C21" s="139"/>
      <c r="D21" s="137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47"/>
      <c r="T21" s="147"/>
      <c r="U21" s="150"/>
      <c r="V21" s="149"/>
    </row>
    <row r="22" spans="1:34" ht="11.1" customHeight="1">
      <c r="A22" s="135">
        <v>11</v>
      </c>
      <c r="B22" s="139"/>
      <c r="C22" s="139"/>
      <c r="D22" s="137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47"/>
      <c r="T22" s="147"/>
      <c r="U22" s="150"/>
      <c r="V22" s="149"/>
      <c r="W22" s="144">
        <v>4</v>
      </c>
      <c r="X22" s="72" t="s">
        <v>483</v>
      </c>
      <c r="Y22" s="144"/>
      <c r="AB22" s="72" t="s">
        <v>484</v>
      </c>
    </row>
    <row r="23" spans="1:34" ht="11.1" customHeight="1">
      <c r="A23" s="135">
        <v>12</v>
      </c>
      <c r="B23" s="136"/>
      <c r="C23" s="136"/>
      <c r="D23" s="137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R23" s="138"/>
      <c r="S23" s="147"/>
      <c r="T23" s="147"/>
      <c r="U23" s="150"/>
      <c r="V23" s="149"/>
      <c r="W23" s="144"/>
      <c r="X23" s="72" t="s">
        <v>485</v>
      </c>
      <c r="Y23" s="144"/>
      <c r="AB23" s="72" t="s">
        <v>484</v>
      </c>
    </row>
    <row r="24" spans="1:34" ht="11.1" customHeight="1">
      <c r="A24" s="131">
        <v>13</v>
      </c>
      <c r="B24" s="139"/>
      <c r="C24" s="139"/>
      <c r="D24" s="137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47"/>
      <c r="T24" s="147"/>
      <c r="U24" s="150"/>
      <c r="V24" s="149"/>
      <c r="X24" s="72" t="s">
        <v>486</v>
      </c>
      <c r="Y24" s="143"/>
      <c r="AB24" s="72" t="s">
        <v>484</v>
      </c>
    </row>
    <row r="25" spans="1:34" ht="11.1" customHeight="1">
      <c r="A25" s="135">
        <v>14</v>
      </c>
      <c r="B25" s="139"/>
      <c r="C25" s="139"/>
      <c r="D25" s="137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47"/>
      <c r="T25" s="147"/>
      <c r="U25" s="150"/>
      <c r="V25" s="149"/>
      <c r="X25" s="72" t="s">
        <v>487</v>
      </c>
      <c r="Z25" s="72" t="s">
        <v>488</v>
      </c>
    </row>
    <row r="26" spans="1:34" ht="11.1" customHeight="1">
      <c r="A26" s="135">
        <v>15</v>
      </c>
      <c r="B26" s="139"/>
      <c r="C26" s="139"/>
      <c r="D26" s="137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47"/>
      <c r="T26" s="147"/>
      <c r="U26" s="150"/>
      <c r="V26" s="149"/>
      <c r="X26" s="72" t="s">
        <v>489</v>
      </c>
      <c r="Z26" s="72" t="s">
        <v>490</v>
      </c>
    </row>
    <row r="27" spans="1:34" ht="11.1" customHeight="1">
      <c r="A27" s="131">
        <v>16</v>
      </c>
      <c r="B27" s="139"/>
      <c r="C27" s="139"/>
      <c r="D27" s="137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47"/>
      <c r="T27" s="147"/>
      <c r="U27" s="150"/>
      <c r="V27" s="149"/>
      <c r="W27" s="83">
        <v>5</v>
      </c>
      <c r="X27" s="72" t="s">
        <v>491</v>
      </c>
    </row>
    <row r="28" spans="1:34" ht="11.1" customHeight="1">
      <c r="A28" s="135">
        <v>17</v>
      </c>
      <c r="B28" s="139"/>
      <c r="C28" s="139"/>
      <c r="D28" s="137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47"/>
      <c r="T28" s="147"/>
      <c r="U28" s="150"/>
      <c r="V28" s="149"/>
      <c r="Y28" s="155" t="s">
        <v>492</v>
      </c>
    </row>
    <row r="29" spans="1:34" ht="11.1" customHeight="1">
      <c r="A29" s="135">
        <v>18</v>
      </c>
      <c r="B29" s="139"/>
      <c r="C29" s="139"/>
      <c r="D29" s="137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47"/>
      <c r="T29" s="147"/>
      <c r="U29" s="150"/>
      <c r="V29" s="149"/>
    </row>
    <row r="30" spans="1:34" ht="11.1" customHeight="1">
      <c r="A30" s="131">
        <v>19</v>
      </c>
      <c r="B30" s="136"/>
      <c r="C30" s="136"/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47"/>
      <c r="T30" s="147"/>
      <c r="U30" s="150"/>
      <c r="V30" s="149"/>
    </row>
    <row r="31" spans="1:34" ht="11.1" customHeight="1">
      <c r="A31" s="135">
        <v>20</v>
      </c>
      <c r="B31" s="136"/>
      <c r="C31" s="136"/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47"/>
      <c r="T31" s="147"/>
      <c r="U31" s="150"/>
      <c r="V31" s="149"/>
    </row>
    <row r="32" spans="1:34" ht="11.1" customHeight="1">
      <c r="A32" s="135">
        <v>21</v>
      </c>
      <c r="B32" s="136"/>
      <c r="C32" s="136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47"/>
      <c r="T32" s="147"/>
      <c r="U32" s="150"/>
      <c r="V32" s="149"/>
      <c r="W32" s="146" t="s">
        <v>493</v>
      </c>
    </row>
    <row r="33" spans="1:49" ht="11.1" customHeight="1">
      <c r="A33" s="131">
        <v>22</v>
      </c>
      <c r="B33" s="139"/>
      <c r="C33" s="139"/>
      <c r="D33" s="137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47"/>
      <c r="T33" s="147"/>
      <c r="U33" s="150"/>
      <c r="V33" s="149"/>
      <c r="W33" s="144">
        <v>1</v>
      </c>
      <c r="X33" s="143" t="s">
        <v>494</v>
      </c>
    </row>
    <row r="34" spans="1:49" ht="11.1" customHeight="1">
      <c r="A34" s="135">
        <v>23</v>
      </c>
      <c r="B34" s="139"/>
      <c r="C34" s="139"/>
      <c r="D34" s="137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47"/>
      <c r="T34" s="147"/>
      <c r="U34" s="150"/>
      <c r="V34" s="149"/>
      <c r="W34" s="144"/>
      <c r="X34" s="72" t="s">
        <v>495</v>
      </c>
    </row>
    <row r="35" spans="1:49" ht="11.1" customHeight="1">
      <c r="A35" s="135">
        <v>24</v>
      </c>
      <c r="B35" s="136"/>
      <c r="C35" s="136"/>
      <c r="D35" s="137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47"/>
      <c r="T35" s="147"/>
      <c r="U35" s="150"/>
      <c r="V35" s="149"/>
      <c r="W35" s="144">
        <v>2</v>
      </c>
      <c r="X35" s="143" t="s">
        <v>496</v>
      </c>
    </row>
    <row r="36" spans="1:49" ht="11.1" customHeight="1">
      <c r="A36" s="131">
        <v>25</v>
      </c>
      <c r="B36" s="139"/>
      <c r="C36" s="139"/>
      <c r="D36" s="137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47"/>
      <c r="T36" s="147"/>
      <c r="U36" s="150"/>
      <c r="V36" s="149"/>
      <c r="W36" s="144"/>
      <c r="X36" s="72" t="s">
        <v>497</v>
      </c>
    </row>
    <row r="37" spans="1:49" ht="11.1" customHeight="1">
      <c r="A37" s="135">
        <v>26</v>
      </c>
      <c r="B37" s="139"/>
      <c r="C37" s="139"/>
      <c r="D37" s="137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47"/>
      <c r="T37" s="147"/>
      <c r="U37" s="150"/>
      <c r="V37" s="149"/>
      <c r="W37" s="144"/>
      <c r="X37" s="143" t="s">
        <v>498</v>
      </c>
    </row>
    <row r="38" spans="1:49" ht="11.1" customHeight="1">
      <c r="A38" s="135">
        <v>27</v>
      </c>
      <c r="B38" s="139"/>
      <c r="C38" s="139"/>
      <c r="D38" s="137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47"/>
      <c r="T38" s="147"/>
      <c r="U38" s="150"/>
      <c r="V38" s="149"/>
      <c r="W38" s="144">
        <v>3</v>
      </c>
      <c r="X38" s="143" t="s">
        <v>499</v>
      </c>
    </row>
    <row r="39" spans="1:49" ht="11.1" customHeight="1">
      <c r="A39" s="131">
        <v>28</v>
      </c>
      <c r="B39" s="139"/>
      <c r="C39" s="139"/>
      <c r="D39" s="137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47"/>
      <c r="T39" s="147"/>
      <c r="U39" s="150"/>
      <c r="V39" s="149"/>
      <c r="X39" s="72" t="s">
        <v>500</v>
      </c>
    </row>
    <row r="40" spans="1:49" ht="11.1" customHeight="1">
      <c r="A40" s="135">
        <v>29</v>
      </c>
      <c r="B40" s="139"/>
      <c r="C40" s="139"/>
      <c r="D40" s="137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47"/>
      <c r="T40" s="147"/>
      <c r="U40" s="150"/>
      <c r="V40" s="149"/>
    </row>
    <row r="41" spans="1:49" ht="11.1" customHeight="1">
      <c r="A41" s="135">
        <v>32</v>
      </c>
      <c r="B41" s="140"/>
      <c r="C41" s="140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47"/>
      <c r="T41" s="147"/>
      <c r="U41" s="138"/>
      <c r="V41" s="149"/>
    </row>
    <row r="42" spans="1:49" ht="11.1" customHeight="1"/>
    <row r="43" spans="1:49">
      <c r="B43" s="72" t="s">
        <v>171</v>
      </c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T43" s="154" t="s">
        <v>501</v>
      </c>
      <c r="AK43" s="146"/>
      <c r="AL43" s="146"/>
    </row>
    <row r="44" spans="1:49">
      <c r="B44" s="72" t="s">
        <v>172</v>
      </c>
      <c r="T44" s="154" t="s">
        <v>178</v>
      </c>
      <c r="AL44" s="144"/>
    </row>
    <row r="45" spans="1:49">
      <c r="T45" s="154"/>
      <c r="AL45" s="144"/>
    </row>
    <row r="46" spans="1:49">
      <c r="T46" s="154"/>
      <c r="AK46" s="144"/>
      <c r="AL46" s="144"/>
      <c r="AW46" s="72" t="s">
        <v>502</v>
      </c>
    </row>
    <row r="47" spans="1:49">
      <c r="B47" s="142" t="str">
        <f>'Prhtngn Mingg Ef(3)'!B95</f>
        <v>WIDADA, S.Pd., M.Pd.</v>
      </c>
      <c r="T47" s="154" t="str">
        <f>'Prhtngn Mingg Ef(3)'!F37</f>
        <v>Hermawan Rochmadi, S. Pd.</v>
      </c>
      <c r="AK47" s="144"/>
      <c r="AL47" s="144"/>
    </row>
    <row r="48" spans="1:49">
      <c r="B48" s="142" t="str">
        <f>'Prhtngn Mingg Ef(3)'!B96</f>
        <v>NIP. 19690212 200012 1 002</v>
      </c>
      <c r="T48" s="403" t="str">
        <f>'Prhtngn Mingg Ef(3)'!G88</f>
        <v>NIP. 19920317 201903 1 009</v>
      </c>
    </row>
    <row r="49" spans="2:47">
      <c r="AU49" s="72" t="s">
        <v>503</v>
      </c>
    </row>
    <row r="51" spans="2:47">
      <c r="G51" s="143"/>
      <c r="H51" s="143"/>
      <c r="I51" s="143"/>
      <c r="J51" s="143"/>
      <c r="K51" s="143"/>
    </row>
    <row r="52" spans="2:47">
      <c r="G52" s="144"/>
      <c r="H52" s="144"/>
      <c r="I52" s="144"/>
      <c r="J52" s="144"/>
      <c r="K52" s="144"/>
    </row>
    <row r="53" spans="2:47">
      <c r="G53" s="144"/>
      <c r="H53" s="144"/>
      <c r="I53" s="144"/>
      <c r="J53" s="144"/>
      <c r="K53" s="144"/>
    </row>
    <row r="54" spans="2:47">
      <c r="B54" s="145"/>
      <c r="C54" s="145"/>
      <c r="G54" s="144"/>
      <c r="H54" s="144"/>
      <c r="I54" s="144"/>
      <c r="J54" s="144"/>
      <c r="K54" s="144"/>
    </row>
    <row r="55" spans="2:47">
      <c r="G55" s="143"/>
      <c r="H55" s="143"/>
      <c r="I55" s="143"/>
      <c r="J55" s="143"/>
      <c r="K55" s="143"/>
    </row>
    <row r="56" spans="2:47">
      <c r="G56" s="143"/>
      <c r="H56" s="143"/>
      <c r="I56" s="143"/>
      <c r="J56" s="143"/>
      <c r="K56" s="143"/>
    </row>
    <row r="57" spans="2:47">
      <c r="G57" s="143"/>
      <c r="H57" s="143"/>
      <c r="I57" s="143"/>
      <c r="J57" s="143"/>
      <c r="K57" s="143"/>
    </row>
  </sheetData>
  <mergeCells count="11">
    <mergeCell ref="X19:AD20"/>
    <mergeCell ref="AB1:AD1"/>
    <mergeCell ref="AB2:AD2"/>
    <mergeCell ref="A3:V3"/>
    <mergeCell ref="C9:R9"/>
    <mergeCell ref="A9:A11"/>
    <mergeCell ref="B9:B11"/>
    <mergeCell ref="S9:S11"/>
    <mergeCell ref="T9:T11"/>
    <mergeCell ref="U9:U11"/>
    <mergeCell ref="V9:V11"/>
  </mergeCells>
  <pageMargins left="0.70866141732283505" right="1.4173228346456701" top="0.35433070866141703" bottom="0.39370078740157499" header="0.31496062992126" footer="0.31496062992126"/>
  <pageSetup paperSize="5" scale="95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I69"/>
  <sheetViews>
    <sheetView workbookViewId="0">
      <selection activeCell="C13" sqref="C13"/>
    </sheetView>
  </sheetViews>
  <sheetFormatPr defaultColWidth="9.140625" defaultRowHeight="15.75"/>
  <cols>
    <col min="1" max="2" width="9.140625" style="66"/>
    <col min="3" max="3" width="13" style="66" customWidth="1"/>
    <col min="4" max="16384" width="9.140625" style="66"/>
  </cols>
  <sheetData>
    <row r="1" spans="1:9">
      <c r="H1" s="637" t="s">
        <v>504</v>
      </c>
      <c r="I1" s="637"/>
    </row>
    <row r="2" spans="1:9">
      <c r="H2" s="789">
        <v>45117</v>
      </c>
      <c r="I2" s="789"/>
    </row>
    <row r="3" spans="1:9">
      <c r="A3" s="790" t="s">
        <v>505</v>
      </c>
      <c r="B3" s="790"/>
      <c r="C3" s="790"/>
      <c r="D3" s="790"/>
      <c r="E3" s="790"/>
      <c r="F3" s="790"/>
      <c r="G3" s="790"/>
      <c r="H3" s="790"/>
      <c r="I3" s="790"/>
    </row>
    <row r="4" spans="1:9">
      <c r="A4" s="66" t="s">
        <v>506</v>
      </c>
    </row>
    <row r="5" spans="1:9">
      <c r="A5" s="66" t="s">
        <v>507</v>
      </c>
    </row>
    <row r="6" spans="1:9">
      <c r="A6" s="66" t="s">
        <v>508</v>
      </c>
    </row>
    <row r="7" spans="1:9">
      <c r="A7" s="66" t="s">
        <v>509</v>
      </c>
    </row>
    <row r="8" spans="1:9">
      <c r="A8" s="66" t="s">
        <v>510</v>
      </c>
    </row>
    <row r="9" spans="1:9" ht="4.5" customHeight="1">
      <c r="A9" s="106"/>
    </row>
    <row r="10" spans="1:9">
      <c r="A10" s="66" t="s">
        <v>511</v>
      </c>
    </row>
    <row r="11" spans="1:9">
      <c r="A11" s="66" t="s">
        <v>512</v>
      </c>
      <c r="C11" s="66" t="str">
        <f>'COVER '!E28</f>
        <v>: Mata Pelajaran Pilihan (CAM)</v>
      </c>
    </row>
    <row r="12" spans="1:9">
      <c r="A12" s="66" t="s">
        <v>514</v>
      </c>
      <c r="C12" s="66" t="str">
        <f>'COVER '!E30</f>
        <v>: XI TM3</v>
      </c>
    </row>
    <row r="13" spans="1:9">
      <c r="A13" s="66" t="s">
        <v>515</v>
      </c>
      <c r="C13" s="66" t="s">
        <v>513</v>
      </c>
    </row>
    <row r="14" spans="1:9">
      <c r="A14" s="66" t="s">
        <v>516</v>
      </c>
      <c r="C14" s="66" t="s">
        <v>513</v>
      </c>
    </row>
    <row r="15" spans="1:9" ht="5.25" customHeight="1"/>
    <row r="16" spans="1:9">
      <c r="B16" s="791" t="s">
        <v>517</v>
      </c>
      <c r="C16" s="662"/>
      <c r="D16" s="662" t="s">
        <v>518</v>
      </c>
      <c r="E16" s="662"/>
      <c r="F16" s="662" t="s">
        <v>386</v>
      </c>
      <c r="G16" s="662"/>
      <c r="H16" s="792"/>
    </row>
    <row r="17" spans="1:9">
      <c r="B17" s="793" t="s">
        <v>519</v>
      </c>
      <c r="C17" s="794"/>
      <c r="D17" s="794"/>
      <c r="E17" s="794"/>
      <c r="F17" s="794" t="s">
        <v>520</v>
      </c>
      <c r="G17" s="794"/>
      <c r="H17" s="795"/>
    </row>
    <row r="18" spans="1:9">
      <c r="B18" s="796" t="s">
        <v>521</v>
      </c>
      <c r="C18" s="797"/>
      <c r="D18" s="798"/>
      <c r="E18" s="798"/>
      <c r="F18" s="798" t="s">
        <v>522</v>
      </c>
      <c r="G18" s="798"/>
      <c r="H18" s="799"/>
    </row>
    <row r="19" spans="1:9" ht="7.5" customHeight="1"/>
    <row r="20" spans="1:9" ht="6" customHeight="1"/>
    <row r="21" spans="1:9">
      <c r="A21" s="66" t="s">
        <v>523</v>
      </c>
    </row>
    <row r="22" spans="1:9" ht="5.25" customHeight="1"/>
    <row r="23" spans="1:9">
      <c r="A23" s="121" t="s">
        <v>205</v>
      </c>
      <c r="B23" s="800" t="s">
        <v>288</v>
      </c>
      <c r="C23" s="800"/>
      <c r="D23" s="122" t="s">
        <v>317</v>
      </c>
      <c r="E23" s="800" t="s">
        <v>524</v>
      </c>
      <c r="F23" s="800"/>
      <c r="G23" s="800"/>
      <c r="H23" s="800" t="s">
        <v>386</v>
      </c>
      <c r="I23" s="801"/>
    </row>
    <row r="24" spans="1:9">
      <c r="A24" s="123">
        <v>1</v>
      </c>
      <c r="B24" s="794"/>
      <c r="C24" s="794"/>
      <c r="D24" s="113"/>
      <c r="E24" s="794"/>
      <c r="F24" s="794"/>
      <c r="G24" s="794"/>
      <c r="H24" s="794"/>
      <c r="I24" s="795"/>
    </row>
    <row r="25" spans="1:9">
      <c r="A25" s="123">
        <v>2</v>
      </c>
      <c r="B25" s="794"/>
      <c r="C25" s="794"/>
      <c r="D25" s="113"/>
      <c r="E25" s="794"/>
      <c r="F25" s="794"/>
      <c r="G25" s="794"/>
      <c r="H25" s="794"/>
      <c r="I25" s="795"/>
    </row>
    <row r="26" spans="1:9">
      <c r="A26" s="123">
        <v>3</v>
      </c>
      <c r="B26" s="802"/>
      <c r="C26" s="803"/>
      <c r="D26" s="113"/>
      <c r="E26" s="802"/>
      <c r="F26" s="804"/>
      <c r="G26" s="803"/>
      <c r="H26" s="802"/>
      <c r="I26" s="805"/>
    </row>
    <row r="27" spans="1:9">
      <c r="A27" s="123">
        <v>4</v>
      </c>
      <c r="B27" s="802"/>
      <c r="C27" s="803"/>
      <c r="D27" s="113"/>
      <c r="E27" s="802"/>
      <c r="F27" s="804"/>
      <c r="G27" s="803"/>
      <c r="H27" s="802"/>
      <c r="I27" s="805"/>
    </row>
    <row r="28" spans="1:9">
      <c r="A28" s="123">
        <v>5</v>
      </c>
      <c r="B28" s="802"/>
      <c r="C28" s="803"/>
      <c r="D28" s="113"/>
      <c r="E28" s="802"/>
      <c r="F28" s="804"/>
      <c r="G28" s="803"/>
      <c r="H28" s="802"/>
      <c r="I28" s="805"/>
    </row>
    <row r="29" spans="1:9">
      <c r="A29" s="123">
        <v>6</v>
      </c>
      <c r="B29" s="802"/>
      <c r="C29" s="803"/>
      <c r="D29" s="113"/>
      <c r="E29" s="802"/>
      <c r="F29" s="804"/>
      <c r="G29" s="803"/>
      <c r="H29" s="802"/>
      <c r="I29" s="805"/>
    </row>
    <row r="30" spans="1:9">
      <c r="A30" s="123">
        <v>7</v>
      </c>
      <c r="B30" s="802"/>
      <c r="C30" s="803"/>
      <c r="D30" s="113"/>
      <c r="E30" s="802"/>
      <c r="F30" s="804"/>
      <c r="G30" s="803"/>
      <c r="H30" s="802"/>
      <c r="I30" s="805"/>
    </row>
    <row r="31" spans="1:9">
      <c r="A31" s="123">
        <v>8</v>
      </c>
      <c r="B31" s="802"/>
      <c r="C31" s="803"/>
      <c r="D31" s="113"/>
      <c r="E31" s="802"/>
      <c r="F31" s="804"/>
      <c r="G31" s="803"/>
      <c r="H31" s="802"/>
      <c r="I31" s="805"/>
    </row>
    <row r="32" spans="1:9">
      <c r="A32" s="123">
        <v>9</v>
      </c>
      <c r="B32" s="794"/>
      <c r="C32" s="794"/>
      <c r="D32" s="113"/>
      <c r="E32" s="794"/>
      <c r="F32" s="794"/>
      <c r="G32" s="794"/>
      <c r="H32" s="794"/>
      <c r="I32" s="795"/>
    </row>
    <row r="33" spans="1:9">
      <c r="A33" s="123">
        <v>10</v>
      </c>
      <c r="B33" s="802"/>
      <c r="C33" s="803"/>
      <c r="D33" s="113"/>
      <c r="E33" s="802"/>
      <c r="F33" s="804"/>
      <c r="G33" s="803"/>
      <c r="H33" s="802"/>
      <c r="I33" s="805"/>
    </row>
    <row r="34" spans="1:9">
      <c r="A34" s="123">
        <v>11</v>
      </c>
      <c r="B34" s="802"/>
      <c r="C34" s="803"/>
      <c r="D34" s="113"/>
      <c r="E34" s="802"/>
      <c r="F34" s="804"/>
      <c r="G34" s="803"/>
      <c r="H34" s="802"/>
      <c r="I34" s="805"/>
    </row>
    <row r="35" spans="1:9">
      <c r="A35" s="123">
        <v>12</v>
      </c>
      <c r="B35" s="802"/>
      <c r="C35" s="803"/>
      <c r="D35" s="113"/>
      <c r="E35" s="802"/>
      <c r="F35" s="804"/>
      <c r="G35" s="803"/>
      <c r="H35" s="802"/>
      <c r="I35" s="805"/>
    </row>
    <row r="36" spans="1:9">
      <c r="A36" s="123">
        <v>13</v>
      </c>
      <c r="B36" s="802"/>
      <c r="C36" s="803"/>
      <c r="D36" s="113"/>
      <c r="E36" s="802"/>
      <c r="F36" s="804"/>
      <c r="G36" s="803"/>
      <c r="H36" s="802"/>
      <c r="I36" s="805"/>
    </row>
    <row r="37" spans="1:9">
      <c r="A37" s="109">
        <v>14</v>
      </c>
      <c r="B37" s="798"/>
      <c r="C37" s="798"/>
      <c r="D37" s="124"/>
      <c r="E37" s="798"/>
      <c r="F37" s="798"/>
      <c r="G37" s="798"/>
      <c r="H37" s="798"/>
      <c r="I37" s="799"/>
    </row>
    <row r="38" spans="1:9">
      <c r="A38" s="66" t="s">
        <v>525</v>
      </c>
    </row>
    <row r="39" spans="1:9">
      <c r="A39" s="66" t="s">
        <v>526</v>
      </c>
    </row>
    <row r="40" spans="1:9">
      <c r="A40" s="66" t="s">
        <v>527</v>
      </c>
    </row>
    <row r="41" spans="1:9">
      <c r="A41" s="66" t="s">
        <v>528</v>
      </c>
    </row>
    <row r="42" spans="1:9">
      <c r="A42" s="66" t="s">
        <v>529</v>
      </c>
    </row>
    <row r="43" spans="1:9">
      <c r="A43" s="66" t="s">
        <v>530</v>
      </c>
    </row>
    <row r="44" spans="1:9">
      <c r="A44" s="66" t="s">
        <v>531</v>
      </c>
    </row>
    <row r="45" spans="1:9" ht="5.25" customHeight="1"/>
    <row r="46" spans="1:9">
      <c r="A46" s="810" t="s">
        <v>205</v>
      </c>
      <c r="B46" s="814" t="s">
        <v>288</v>
      </c>
      <c r="C46" s="815"/>
      <c r="D46" s="806" t="s">
        <v>317</v>
      </c>
      <c r="E46" s="806"/>
      <c r="F46" s="806"/>
      <c r="G46" s="806"/>
      <c r="H46" s="814" t="s">
        <v>386</v>
      </c>
      <c r="I46" s="820"/>
    </row>
    <row r="47" spans="1:9">
      <c r="A47" s="811"/>
      <c r="B47" s="816"/>
      <c r="C47" s="817"/>
      <c r="D47" s="813" t="s">
        <v>532</v>
      </c>
      <c r="E47" s="662" t="s">
        <v>533</v>
      </c>
      <c r="F47" s="662"/>
      <c r="G47" s="662"/>
      <c r="H47" s="816"/>
      <c r="I47" s="821"/>
    </row>
    <row r="48" spans="1:9">
      <c r="A48" s="812"/>
      <c r="B48" s="818"/>
      <c r="C48" s="819"/>
      <c r="D48" s="813"/>
      <c r="E48" s="118" t="s">
        <v>534</v>
      </c>
      <c r="F48" s="118" t="s">
        <v>534</v>
      </c>
      <c r="G48" s="118" t="s">
        <v>534</v>
      </c>
      <c r="H48" s="818"/>
      <c r="I48" s="822"/>
    </row>
    <row r="49" spans="1:9">
      <c r="A49" s="108">
        <v>1</v>
      </c>
      <c r="B49" s="794"/>
      <c r="C49" s="794"/>
      <c r="D49" s="113"/>
      <c r="E49" s="113"/>
      <c r="F49" s="113"/>
      <c r="G49" s="113"/>
      <c r="H49" s="794"/>
      <c r="I49" s="795"/>
    </row>
    <row r="50" spans="1:9">
      <c r="A50" s="108">
        <v>2</v>
      </c>
      <c r="B50" s="802"/>
      <c r="C50" s="803"/>
      <c r="D50" s="113"/>
      <c r="E50" s="113"/>
      <c r="F50" s="113"/>
      <c r="G50" s="113"/>
      <c r="H50" s="802"/>
      <c r="I50" s="805"/>
    </row>
    <row r="51" spans="1:9">
      <c r="A51" s="108">
        <v>3</v>
      </c>
      <c r="B51" s="802"/>
      <c r="C51" s="803"/>
      <c r="D51" s="113"/>
      <c r="E51" s="113"/>
      <c r="F51" s="113"/>
      <c r="G51" s="113"/>
      <c r="H51" s="802"/>
      <c r="I51" s="805"/>
    </row>
    <row r="52" spans="1:9">
      <c r="A52" s="108">
        <v>4</v>
      </c>
      <c r="B52" s="802"/>
      <c r="C52" s="803"/>
      <c r="D52" s="113"/>
      <c r="E52" s="113"/>
      <c r="F52" s="113"/>
      <c r="G52" s="113"/>
      <c r="H52" s="802"/>
      <c r="I52" s="805"/>
    </row>
    <row r="53" spans="1:9">
      <c r="A53" s="108">
        <v>5</v>
      </c>
      <c r="B53" s="802"/>
      <c r="C53" s="803"/>
      <c r="D53" s="113"/>
      <c r="E53" s="113"/>
      <c r="F53" s="113"/>
      <c r="G53" s="113"/>
      <c r="H53" s="802"/>
      <c r="I53" s="805"/>
    </row>
    <row r="54" spans="1:9">
      <c r="A54" s="108">
        <v>6</v>
      </c>
      <c r="B54" s="802"/>
      <c r="C54" s="803"/>
      <c r="D54" s="113"/>
      <c r="E54" s="113"/>
      <c r="F54" s="113"/>
      <c r="G54" s="113"/>
      <c r="H54" s="802"/>
      <c r="I54" s="805"/>
    </row>
    <row r="55" spans="1:9">
      <c r="A55" s="108">
        <v>7</v>
      </c>
      <c r="B55" s="794"/>
      <c r="C55" s="794"/>
      <c r="D55" s="113"/>
      <c r="E55" s="113"/>
      <c r="F55" s="113"/>
      <c r="G55" s="113"/>
      <c r="H55" s="794"/>
      <c r="I55" s="795"/>
    </row>
    <row r="56" spans="1:9">
      <c r="A56" s="108">
        <v>8</v>
      </c>
      <c r="B56" s="802"/>
      <c r="C56" s="803"/>
      <c r="D56" s="113"/>
      <c r="E56" s="113"/>
      <c r="F56" s="113"/>
      <c r="G56" s="113"/>
      <c r="H56" s="802"/>
      <c r="I56" s="805"/>
    </row>
    <row r="57" spans="1:9">
      <c r="A57" s="108">
        <v>9</v>
      </c>
      <c r="B57" s="794"/>
      <c r="C57" s="794"/>
      <c r="D57" s="113"/>
      <c r="E57" s="113"/>
      <c r="F57" s="113"/>
      <c r="G57" s="113"/>
      <c r="H57" s="794"/>
      <c r="I57" s="795"/>
    </row>
    <row r="58" spans="1:9">
      <c r="A58" s="108">
        <v>10</v>
      </c>
      <c r="B58" s="794"/>
      <c r="C58" s="794"/>
      <c r="D58" s="113"/>
      <c r="E58" s="113"/>
      <c r="F58" s="113"/>
      <c r="G58" s="113"/>
      <c r="H58" s="794"/>
      <c r="I58" s="795"/>
    </row>
    <row r="59" spans="1:9">
      <c r="A59" s="108">
        <v>11</v>
      </c>
      <c r="B59" s="794"/>
      <c r="C59" s="794"/>
      <c r="D59" s="113"/>
      <c r="E59" s="113"/>
      <c r="F59" s="113"/>
      <c r="G59" s="113"/>
      <c r="H59" s="794"/>
      <c r="I59" s="795"/>
    </row>
    <row r="60" spans="1:9">
      <c r="A60" s="108">
        <v>12</v>
      </c>
      <c r="B60" s="114"/>
      <c r="C60" s="115"/>
      <c r="D60" s="113"/>
      <c r="E60" s="113"/>
      <c r="F60" s="113"/>
      <c r="G60" s="113"/>
      <c r="H60" s="114"/>
      <c r="I60" s="119"/>
    </row>
    <row r="61" spans="1:9">
      <c r="A61" s="108">
        <v>13</v>
      </c>
      <c r="B61" s="114"/>
      <c r="C61" s="115"/>
      <c r="D61" s="113"/>
      <c r="E61" s="113"/>
      <c r="F61" s="113"/>
      <c r="G61" s="113"/>
      <c r="H61" s="114"/>
      <c r="I61" s="119"/>
    </row>
    <row r="62" spans="1:9">
      <c r="A62" s="125">
        <v>14</v>
      </c>
      <c r="B62" s="807"/>
      <c r="C62" s="808"/>
      <c r="D62" s="124"/>
      <c r="E62" s="124"/>
      <c r="F62" s="124"/>
      <c r="G62" s="124"/>
      <c r="H62" s="807"/>
      <c r="I62" s="809"/>
    </row>
    <row r="63" spans="1:9" ht="6.75" customHeight="1"/>
    <row r="64" spans="1:9">
      <c r="B64" s="66" t="s">
        <v>179</v>
      </c>
      <c r="G64" s="66" t="s">
        <v>535</v>
      </c>
    </row>
    <row r="65" spans="2:7">
      <c r="B65" s="66" t="s">
        <v>536</v>
      </c>
      <c r="G65" s="66" t="s">
        <v>276</v>
      </c>
    </row>
    <row r="68" spans="2:7">
      <c r="B68" s="95" t="str">
        <f>'Prhtngn Mingg Ef(3)'!B95</f>
        <v>WIDADA, S.Pd., M.Pd.</v>
      </c>
      <c r="G68" s="120" t="str">
        <f>'Prhtngn Mingg Ef(3)'!G87</f>
        <v>Hermawan Rochmadi, S. Pd.</v>
      </c>
    </row>
    <row r="69" spans="2:7">
      <c r="B69" s="95" t="str">
        <f>'Prhtngn Mingg Ef(3)'!B96</f>
        <v>NIP. 19690212 200012 1 002</v>
      </c>
      <c r="G69" s="66" t="str">
        <f>'Prhtngn Mingg Ef(3)'!G88</f>
        <v>NIP. 19920317 201903 1 009</v>
      </c>
    </row>
  </sheetData>
  <mergeCells count="87">
    <mergeCell ref="A46:A48"/>
    <mergeCell ref="D47:D48"/>
    <mergeCell ref="B46:C48"/>
    <mergeCell ref="H46:I48"/>
    <mergeCell ref="B58:C58"/>
    <mergeCell ref="H58:I58"/>
    <mergeCell ref="B52:C52"/>
    <mergeCell ref="H52:I52"/>
    <mergeCell ref="B53:C53"/>
    <mergeCell ref="H53:I53"/>
    <mergeCell ref="B54:C54"/>
    <mergeCell ref="H54:I54"/>
    <mergeCell ref="B49:C49"/>
    <mergeCell ref="H49:I49"/>
    <mergeCell ref="B50:C50"/>
    <mergeCell ref="H50:I50"/>
    <mergeCell ref="B59:C59"/>
    <mergeCell ref="H59:I59"/>
    <mergeCell ref="B62:C62"/>
    <mergeCell ref="H62:I62"/>
    <mergeCell ref="B55:C55"/>
    <mergeCell ref="H55:I55"/>
    <mergeCell ref="B56:C56"/>
    <mergeCell ref="H56:I56"/>
    <mergeCell ref="B57:C57"/>
    <mergeCell ref="H57:I57"/>
    <mergeCell ref="B51:C51"/>
    <mergeCell ref="H51:I51"/>
    <mergeCell ref="B37:C37"/>
    <mergeCell ref="E37:G37"/>
    <mergeCell ref="H37:I37"/>
    <mergeCell ref="D46:G46"/>
    <mergeCell ref="E47:G47"/>
    <mergeCell ref="B35:C35"/>
    <mergeCell ref="E35:G35"/>
    <mergeCell ref="H35:I35"/>
    <mergeCell ref="B36:C36"/>
    <mergeCell ref="E36:G36"/>
    <mergeCell ref="H36:I36"/>
    <mergeCell ref="B33:C33"/>
    <mergeCell ref="E33:G33"/>
    <mergeCell ref="H33:I33"/>
    <mergeCell ref="B34:C34"/>
    <mergeCell ref="E34:G34"/>
    <mergeCell ref="H34:I34"/>
    <mergeCell ref="B31:C31"/>
    <mergeCell ref="E31:G31"/>
    <mergeCell ref="H31:I31"/>
    <mergeCell ref="B32:C32"/>
    <mergeCell ref="E32:G32"/>
    <mergeCell ref="H32:I32"/>
    <mergeCell ref="B29:C29"/>
    <mergeCell ref="E29:G29"/>
    <mergeCell ref="H29:I29"/>
    <mergeCell ref="B30:C30"/>
    <mergeCell ref="E30:G30"/>
    <mergeCell ref="H30:I30"/>
    <mergeCell ref="B27:C27"/>
    <mergeCell ref="E27:G27"/>
    <mergeCell ref="H27:I27"/>
    <mergeCell ref="B28:C28"/>
    <mergeCell ref="E28:G28"/>
    <mergeCell ref="H28:I28"/>
    <mergeCell ref="B25:C25"/>
    <mergeCell ref="E25:G25"/>
    <mergeCell ref="H25:I25"/>
    <mergeCell ref="B26:C26"/>
    <mergeCell ref="E26:G26"/>
    <mergeCell ref="H26:I26"/>
    <mergeCell ref="B23:C23"/>
    <mergeCell ref="E23:G23"/>
    <mergeCell ref="H23:I23"/>
    <mergeCell ref="B24:C24"/>
    <mergeCell ref="E24:G24"/>
    <mergeCell ref="H24:I24"/>
    <mergeCell ref="B17:C17"/>
    <mergeCell ref="D17:E17"/>
    <mergeCell ref="F17:H17"/>
    <mergeCell ref="B18:C18"/>
    <mergeCell ref="D18:E18"/>
    <mergeCell ref="F18:H18"/>
    <mergeCell ref="H1:I1"/>
    <mergeCell ref="H2:I2"/>
    <mergeCell ref="A3:I3"/>
    <mergeCell ref="B16:C16"/>
    <mergeCell ref="D16:E16"/>
    <mergeCell ref="F16:H16"/>
  </mergeCells>
  <pageMargins left="1.1811023622047201" right="0.39370078740157499" top="0.39370078740157499" bottom="1.37795275590551" header="0.31496062992126" footer="0.31496062992126"/>
  <pageSetup paperSize="5" scale="90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67"/>
  <sheetViews>
    <sheetView workbookViewId="0">
      <selection activeCell="C13" sqref="C13"/>
    </sheetView>
  </sheetViews>
  <sheetFormatPr defaultColWidth="9.140625" defaultRowHeight="15.75"/>
  <cols>
    <col min="1" max="1" width="5.140625" style="66" customWidth="1"/>
    <col min="2" max="2" width="14" style="66" customWidth="1"/>
    <col min="3" max="3" width="23.140625" style="66" customWidth="1"/>
    <col min="4" max="6" width="9.140625" style="66"/>
    <col min="7" max="7" width="10.140625" style="66" customWidth="1"/>
    <col min="8" max="8" width="9.140625" style="66"/>
    <col min="9" max="9" width="17.42578125" style="66" customWidth="1"/>
    <col min="10" max="16384" width="9.140625" style="66"/>
  </cols>
  <sheetData>
    <row r="1" spans="1:9">
      <c r="H1" s="637" t="s">
        <v>537</v>
      </c>
      <c r="I1" s="637"/>
    </row>
    <row r="2" spans="1:9">
      <c r="H2" s="789">
        <v>45117</v>
      </c>
      <c r="I2" s="789"/>
    </row>
    <row r="3" spans="1:9" ht="13.5" customHeight="1">
      <c r="A3" s="823" t="s">
        <v>538</v>
      </c>
      <c r="B3" s="823"/>
      <c r="C3" s="823"/>
      <c r="D3" s="823"/>
      <c r="E3" s="823"/>
      <c r="F3" s="823"/>
      <c r="G3" s="823"/>
      <c r="H3" s="823"/>
      <c r="I3" s="823"/>
    </row>
    <row r="4" spans="1:9">
      <c r="A4" s="66" t="s">
        <v>506</v>
      </c>
    </row>
    <row r="5" spans="1:9">
      <c r="A5" s="66" t="s">
        <v>507</v>
      </c>
    </row>
    <row r="6" spans="1:9">
      <c r="A6" s="66" t="s">
        <v>508</v>
      </c>
    </row>
    <row r="7" spans="1:9">
      <c r="A7" s="66" t="s">
        <v>509</v>
      </c>
    </row>
    <row r="8" spans="1:9">
      <c r="A8" s="66" t="s">
        <v>510</v>
      </c>
    </row>
    <row r="9" spans="1:9">
      <c r="A9" s="106"/>
    </row>
    <row r="10" spans="1:9">
      <c r="A10" s="66" t="s">
        <v>511</v>
      </c>
    </row>
    <row r="11" spans="1:9">
      <c r="A11" s="824" t="s">
        <v>512</v>
      </c>
      <c r="B11" s="824"/>
      <c r="C11" s="66" t="str">
        <f>'COVER '!E28</f>
        <v>: Mata Pelajaran Pilihan (CAM)</v>
      </c>
    </row>
    <row r="12" spans="1:9">
      <c r="A12" s="824" t="s">
        <v>514</v>
      </c>
      <c r="B12" s="824"/>
      <c r="C12" s="66" t="str">
        <f>'COVER '!E30</f>
        <v>: XI TM3</v>
      </c>
    </row>
    <row r="13" spans="1:9">
      <c r="A13" s="824" t="s">
        <v>515</v>
      </c>
      <c r="B13" s="824"/>
      <c r="C13" s="66" t="s">
        <v>513</v>
      </c>
    </row>
    <row r="14" spans="1:9">
      <c r="A14" s="66" t="s">
        <v>516</v>
      </c>
      <c r="C14" s="66" t="s">
        <v>513</v>
      </c>
    </row>
    <row r="16" spans="1:9">
      <c r="B16" s="791" t="s">
        <v>517</v>
      </c>
      <c r="C16" s="662"/>
      <c r="D16" s="662" t="s">
        <v>518</v>
      </c>
      <c r="E16" s="662"/>
      <c r="F16" s="662" t="s">
        <v>386</v>
      </c>
      <c r="G16" s="662"/>
      <c r="H16" s="792"/>
    </row>
    <row r="17" spans="1:9">
      <c r="B17" s="793" t="s">
        <v>519</v>
      </c>
      <c r="C17" s="794"/>
      <c r="D17" s="794"/>
      <c r="E17" s="794"/>
      <c r="F17" s="794" t="s">
        <v>520</v>
      </c>
      <c r="G17" s="794"/>
      <c r="H17" s="795"/>
    </row>
    <row r="18" spans="1:9">
      <c r="B18" s="796" t="s">
        <v>521</v>
      </c>
      <c r="C18" s="797"/>
      <c r="D18" s="798"/>
      <c r="E18" s="798"/>
      <c r="F18" s="798" t="s">
        <v>522</v>
      </c>
      <c r="G18" s="798"/>
      <c r="H18" s="799"/>
    </row>
    <row r="20" spans="1:9">
      <c r="A20" s="66" t="s">
        <v>539</v>
      </c>
    </row>
    <row r="22" spans="1:9" ht="23.25" customHeight="1">
      <c r="A22" s="110" t="s">
        <v>205</v>
      </c>
      <c r="B22" s="825" t="s">
        <v>288</v>
      </c>
      <c r="C22" s="826"/>
      <c r="D22" s="111" t="s">
        <v>317</v>
      </c>
      <c r="E22" s="827" t="s">
        <v>540</v>
      </c>
      <c r="F22" s="828"/>
      <c r="G22" s="829"/>
      <c r="H22" s="825" t="s">
        <v>386</v>
      </c>
      <c r="I22" s="830"/>
    </row>
    <row r="23" spans="1:9">
      <c r="A23" s="112">
        <v>1</v>
      </c>
      <c r="B23" s="794"/>
      <c r="C23" s="794"/>
      <c r="D23" s="113"/>
      <c r="E23" s="794"/>
      <c r="F23" s="794"/>
      <c r="G23" s="794"/>
      <c r="H23" s="794"/>
      <c r="I23" s="794"/>
    </row>
    <row r="24" spans="1:9">
      <c r="A24" s="112">
        <v>2</v>
      </c>
      <c r="B24" s="794"/>
      <c r="C24" s="794"/>
      <c r="D24" s="113"/>
      <c r="E24" s="794"/>
      <c r="F24" s="794"/>
      <c r="G24" s="794"/>
      <c r="H24" s="794"/>
      <c r="I24" s="794"/>
    </row>
    <row r="25" spans="1:9">
      <c r="A25" s="112">
        <v>3</v>
      </c>
      <c r="B25" s="802"/>
      <c r="C25" s="803"/>
      <c r="D25" s="113"/>
      <c r="E25" s="802"/>
      <c r="F25" s="804"/>
      <c r="G25" s="803"/>
      <c r="H25" s="802"/>
      <c r="I25" s="803"/>
    </row>
    <row r="26" spans="1:9">
      <c r="A26" s="112">
        <v>4</v>
      </c>
      <c r="B26" s="802"/>
      <c r="C26" s="803"/>
      <c r="D26" s="113"/>
      <c r="E26" s="802"/>
      <c r="F26" s="804"/>
      <c r="G26" s="803"/>
      <c r="H26" s="802"/>
      <c r="I26" s="803"/>
    </row>
    <row r="27" spans="1:9">
      <c r="A27" s="112">
        <v>5</v>
      </c>
      <c r="B27" s="802"/>
      <c r="C27" s="803"/>
      <c r="D27" s="113"/>
      <c r="E27" s="802"/>
      <c r="F27" s="804"/>
      <c r="G27" s="803"/>
      <c r="H27" s="802"/>
      <c r="I27" s="803"/>
    </row>
    <row r="28" spans="1:9">
      <c r="A28" s="112">
        <v>6</v>
      </c>
      <c r="B28" s="802"/>
      <c r="C28" s="803"/>
      <c r="D28" s="113"/>
      <c r="E28" s="802"/>
      <c r="F28" s="804"/>
      <c r="G28" s="803"/>
      <c r="H28" s="802"/>
      <c r="I28" s="803"/>
    </row>
    <row r="29" spans="1:9">
      <c r="A29" s="112">
        <v>7</v>
      </c>
      <c r="B29" s="802"/>
      <c r="C29" s="803"/>
      <c r="D29" s="113"/>
      <c r="E29" s="802"/>
      <c r="F29" s="804"/>
      <c r="G29" s="803"/>
      <c r="H29" s="802"/>
      <c r="I29" s="803"/>
    </row>
    <row r="30" spans="1:9">
      <c r="A30" s="112">
        <v>8</v>
      </c>
      <c r="B30" s="802"/>
      <c r="C30" s="803"/>
      <c r="D30" s="113"/>
      <c r="E30" s="802"/>
      <c r="F30" s="804"/>
      <c r="G30" s="803"/>
      <c r="H30" s="802"/>
      <c r="I30" s="803"/>
    </row>
    <row r="31" spans="1:9">
      <c r="A31" s="112">
        <v>9</v>
      </c>
      <c r="B31" s="794"/>
      <c r="C31" s="794"/>
      <c r="D31" s="113"/>
      <c r="E31" s="794"/>
      <c r="F31" s="794"/>
      <c r="G31" s="794"/>
      <c r="H31" s="794"/>
      <c r="I31" s="794"/>
    </row>
    <row r="32" spans="1:9">
      <c r="A32" s="112">
        <v>10</v>
      </c>
      <c r="B32" s="802"/>
      <c r="C32" s="803"/>
      <c r="D32" s="113"/>
      <c r="E32" s="802"/>
      <c r="F32" s="804"/>
      <c r="G32" s="803"/>
      <c r="H32" s="802"/>
      <c r="I32" s="803"/>
    </row>
    <row r="33" spans="1:9">
      <c r="A33" s="112">
        <v>11</v>
      </c>
      <c r="B33" s="114"/>
      <c r="C33" s="115"/>
      <c r="D33" s="113"/>
      <c r="E33" s="114"/>
      <c r="F33" s="116"/>
      <c r="G33" s="115"/>
      <c r="H33" s="114"/>
      <c r="I33" s="115"/>
    </row>
    <row r="34" spans="1:9">
      <c r="A34" s="112">
        <v>12</v>
      </c>
      <c r="B34" s="114"/>
      <c r="C34" s="115"/>
      <c r="D34" s="113"/>
      <c r="E34" s="114"/>
      <c r="F34" s="116"/>
      <c r="G34" s="115"/>
      <c r="H34" s="114"/>
      <c r="I34" s="115"/>
    </row>
    <row r="35" spans="1:9">
      <c r="A35" s="112">
        <v>13</v>
      </c>
      <c r="B35" s="802"/>
      <c r="C35" s="803"/>
      <c r="D35" s="113"/>
      <c r="E35" s="802"/>
      <c r="F35" s="804"/>
      <c r="G35" s="803"/>
      <c r="H35" s="802"/>
      <c r="I35" s="803"/>
    </row>
    <row r="36" spans="1:9">
      <c r="A36" s="112">
        <v>14</v>
      </c>
      <c r="B36" s="794"/>
      <c r="C36" s="794"/>
      <c r="D36" s="113"/>
      <c r="E36" s="794"/>
      <c r="F36" s="794"/>
      <c r="G36" s="794"/>
      <c r="H36" s="794"/>
      <c r="I36" s="794"/>
    </row>
    <row r="37" spans="1:9">
      <c r="A37" s="66" t="s">
        <v>525</v>
      </c>
    </row>
    <row r="38" spans="1:9">
      <c r="A38" s="66" t="s">
        <v>541</v>
      </c>
    </row>
    <row r="39" spans="1:9">
      <c r="A39" s="66" t="s">
        <v>542</v>
      </c>
    </row>
    <row r="40" spans="1:9">
      <c r="A40" s="66" t="s">
        <v>543</v>
      </c>
    </row>
    <row r="41" spans="1:9">
      <c r="A41" s="66" t="s">
        <v>530</v>
      </c>
    </row>
    <row r="42" spans="1:9">
      <c r="A42" s="66" t="s">
        <v>544</v>
      </c>
    </row>
    <row r="43" spans="1:9" ht="7.5" customHeight="1"/>
    <row r="44" spans="1:9">
      <c r="A44" s="810" t="s">
        <v>205</v>
      </c>
      <c r="B44" s="814" t="s">
        <v>288</v>
      </c>
      <c r="C44" s="815"/>
      <c r="D44" s="806" t="s">
        <v>317</v>
      </c>
      <c r="E44" s="806"/>
      <c r="F44" s="806"/>
      <c r="G44" s="806"/>
      <c r="H44" s="814" t="s">
        <v>386</v>
      </c>
      <c r="I44" s="820"/>
    </row>
    <row r="45" spans="1:9">
      <c r="A45" s="811"/>
      <c r="B45" s="816"/>
      <c r="C45" s="817"/>
      <c r="D45" s="813" t="s">
        <v>532</v>
      </c>
      <c r="E45" s="662" t="s">
        <v>533</v>
      </c>
      <c r="F45" s="662"/>
      <c r="G45" s="662"/>
      <c r="H45" s="816"/>
      <c r="I45" s="821"/>
    </row>
    <row r="46" spans="1:9">
      <c r="A46" s="812"/>
      <c r="B46" s="818"/>
      <c r="C46" s="819"/>
      <c r="D46" s="813"/>
      <c r="E46" s="118" t="s">
        <v>534</v>
      </c>
      <c r="F46" s="118" t="s">
        <v>534</v>
      </c>
      <c r="G46" s="118" t="s">
        <v>534</v>
      </c>
      <c r="H46" s="818"/>
      <c r="I46" s="822"/>
    </row>
    <row r="47" spans="1:9">
      <c r="A47" s="108">
        <v>1</v>
      </c>
      <c r="B47" s="794"/>
      <c r="C47" s="794"/>
      <c r="D47" s="113"/>
      <c r="E47" s="113"/>
      <c r="F47" s="113"/>
      <c r="G47" s="113"/>
      <c r="H47" s="794"/>
      <c r="I47" s="795"/>
    </row>
    <row r="48" spans="1:9">
      <c r="A48" s="108">
        <v>2</v>
      </c>
      <c r="B48" s="802"/>
      <c r="C48" s="803"/>
      <c r="D48" s="113"/>
      <c r="E48" s="113"/>
      <c r="F48" s="113"/>
      <c r="G48" s="113"/>
      <c r="H48" s="802"/>
      <c r="I48" s="805"/>
    </row>
    <row r="49" spans="1:9">
      <c r="A49" s="108">
        <v>3</v>
      </c>
      <c r="B49" s="802"/>
      <c r="C49" s="803"/>
      <c r="D49" s="113"/>
      <c r="E49" s="113"/>
      <c r="F49" s="113"/>
      <c r="G49" s="113"/>
      <c r="H49" s="802"/>
      <c r="I49" s="805"/>
    </row>
    <row r="50" spans="1:9">
      <c r="A50" s="108">
        <v>4</v>
      </c>
      <c r="B50" s="802"/>
      <c r="C50" s="803"/>
      <c r="D50" s="113"/>
      <c r="E50" s="113"/>
      <c r="F50" s="113"/>
      <c r="G50" s="113"/>
      <c r="H50" s="802"/>
      <c r="I50" s="805"/>
    </row>
    <row r="51" spans="1:9">
      <c r="A51" s="108">
        <v>5</v>
      </c>
      <c r="B51" s="802"/>
      <c r="C51" s="803"/>
      <c r="D51" s="113"/>
      <c r="E51" s="113"/>
      <c r="F51" s="113"/>
      <c r="G51" s="113"/>
      <c r="H51" s="802"/>
      <c r="I51" s="805"/>
    </row>
    <row r="52" spans="1:9">
      <c r="A52" s="108">
        <v>6</v>
      </c>
      <c r="B52" s="802"/>
      <c r="C52" s="803"/>
      <c r="D52" s="113"/>
      <c r="E52" s="113"/>
      <c r="F52" s="113"/>
      <c r="G52" s="113"/>
      <c r="H52" s="802"/>
      <c r="I52" s="805"/>
    </row>
    <row r="53" spans="1:9">
      <c r="A53" s="108">
        <v>7</v>
      </c>
      <c r="B53" s="794"/>
      <c r="C53" s="794"/>
      <c r="D53" s="113"/>
      <c r="E53" s="113"/>
      <c r="F53" s="113"/>
      <c r="G53" s="113"/>
      <c r="H53" s="794"/>
      <c r="I53" s="795"/>
    </row>
    <row r="54" spans="1:9">
      <c r="A54" s="108">
        <v>8</v>
      </c>
      <c r="B54" s="802"/>
      <c r="C54" s="803"/>
      <c r="D54" s="113"/>
      <c r="E54" s="113"/>
      <c r="F54" s="113"/>
      <c r="G54" s="113"/>
      <c r="H54" s="802"/>
      <c r="I54" s="805"/>
    </row>
    <row r="55" spans="1:9">
      <c r="A55" s="108">
        <v>9</v>
      </c>
      <c r="B55" s="794"/>
      <c r="C55" s="794"/>
      <c r="D55" s="113"/>
      <c r="E55" s="113"/>
      <c r="F55" s="113"/>
      <c r="G55" s="113"/>
      <c r="H55" s="794"/>
      <c r="I55" s="795"/>
    </row>
    <row r="56" spans="1:9">
      <c r="A56" s="108">
        <v>10</v>
      </c>
      <c r="B56" s="794"/>
      <c r="C56" s="794"/>
      <c r="D56" s="113"/>
      <c r="E56" s="113"/>
      <c r="F56" s="113"/>
      <c r="G56" s="113"/>
      <c r="H56" s="794"/>
      <c r="I56" s="795"/>
    </row>
    <row r="57" spans="1:9">
      <c r="A57" s="108">
        <v>11</v>
      </c>
      <c r="B57" s="794"/>
      <c r="C57" s="794"/>
      <c r="D57" s="113"/>
      <c r="E57" s="113"/>
      <c r="F57" s="113"/>
      <c r="G57" s="113"/>
      <c r="H57" s="794"/>
      <c r="I57" s="795"/>
    </row>
    <row r="58" spans="1:9">
      <c r="A58" s="108">
        <v>12</v>
      </c>
      <c r="B58" s="114"/>
      <c r="C58" s="115"/>
      <c r="D58" s="113"/>
      <c r="E58" s="113"/>
      <c r="F58" s="113"/>
      <c r="G58" s="113"/>
      <c r="H58" s="114"/>
      <c r="I58" s="119"/>
    </row>
    <row r="59" spans="1:9">
      <c r="A59" s="108">
        <v>13</v>
      </c>
      <c r="B59" s="114"/>
      <c r="C59" s="115"/>
      <c r="D59" s="113"/>
      <c r="E59" s="113"/>
      <c r="F59" s="113"/>
      <c r="G59" s="113"/>
      <c r="H59" s="114"/>
      <c r="I59" s="119"/>
    </row>
    <row r="60" spans="1:9">
      <c r="A60" s="108">
        <v>14</v>
      </c>
      <c r="B60" s="802"/>
      <c r="C60" s="803"/>
      <c r="D60" s="113"/>
      <c r="E60" s="113"/>
      <c r="F60" s="113"/>
      <c r="G60" s="113"/>
      <c r="H60" s="802"/>
      <c r="I60" s="805"/>
    </row>
    <row r="61" spans="1:9" ht="6.75" customHeight="1"/>
    <row r="62" spans="1:9">
      <c r="B62" s="66" t="s">
        <v>179</v>
      </c>
      <c r="G62" s="66" t="s">
        <v>535</v>
      </c>
    </row>
    <row r="63" spans="1:9">
      <c r="B63" s="66" t="s">
        <v>536</v>
      </c>
      <c r="G63" s="66" t="s">
        <v>276</v>
      </c>
    </row>
    <row r="66" spans="2:7">
      <c r="B66" s="95" t="str">
        <f>'Prhtngn Mingg Ef(3)'!B95</f>
        <v>WIDADA, S.Pd., M.Pd.</v>
      </c>
      <c r="C66" s="95"/>
      <c r="G66" s="120" t="str">
        <f>'Prhtngn Mingg Ef(3)'!G87</f>
        <v>Hermawan Rochmadi, S. Pd.</v>
      </c>
    </row>
    <row r="67" spans="2:7">
      <c r="B67" s="95" t="str">
        <f>'Prhtngn Mingg Ef(3)'!B96</f>
        <v>NIP. 19690212 200012 1 002</v>
      </c>
      <c r="C67" s="95"/>
      <c r="G67" s="66" t="str">
        <f>'Prhtngn Mingg Ef(3)'!G88</f>
        <v>NIP. 19920317 201903 1 009</v>
      </c>
    </row>
  </sheetData>
  <mergeCells count="84">
    <mergeCell ref="B60:C60"/>
    <mergeCell ref="H60:I60"/>
    <mergeCell ref="A44:A46"/>
    <mergeCell ref="D45:D46"/>
    <mergeCell ref="B44:C46"/>
    <mergeCell ref="H44:I46"/>
    <mergeCell ref="B55:C55"/>
    <mergeCell ref="H55:I55"/>
    <mergeCell ref="B56:C56"/>
    <mergeCell ref="H56:I56"/>
    <mergeCell ref="B57:C57"/>
    <mergeCell ref="H57:I57"/>
    <mergeCell ref="B52:C52"/>
    <mergeCell ref="H52:I52"/>
    <mergeCell ref="B53:C53"/>
    <mergeCell ref="H53:I53"/>
    <mergeCell ref="B54:C54"/>
    <mergeCell ref="H54:I54"/>
    <mergeCell ref="B49:C49"/>
    <mergeCell ref="H49:I49"/>
    <mergeCell ref="B50:C50"/>
    <mergeCell ref="H50:I50"/>
    <mergeCell ref="B51:C51"/>
    <mergeCell ref="H51:I51"/>
    <mergeCell ref="D44:G44"/>
    <mergeCell ref="E45:G45"/>
    <mergeCell ref="B47:C47"/>
    <mergeCell ref="H47:I47"/>
    <mergeCell ref="B48:C48"/>
    <mergeCell ref="H48:I48"/>
    <mergeCell ref="B35:C35"/>
    <mergeCell ref="E35:G35"/>
    <mergeCell ref="H35:I35"/>
    <mergeCell ref="B36:C36"/>
    <mergeCell ref="E36:G36"/>
    <mergeCell ref="H36:I36"/>
    <mergeCell ref="B31:C31"/>
    <mergeCell ref="E31:G31"/>
    <mergeCell ref="H31:I31"/>
    <mergeCell ref="B32:C32"/>
    <mergeCell ref="E32:G32"/>
    <mergeCell ref="H32:I32"/>
    <mergeCell ref="B29:C29"/>
    <mergeCell ref="E29:G29"/>
    <mergeCell ref="H29:I29"/>
    <mergeCell ref="B30:C30"/>
    <mergeCell ref="E30:G30"/>
    <mergeCell ref="H30:I30"/>
    <mergeCell ref="B27:C27"/>
    <mergeCell ref="E27:G27"/>
    <mergeCell ref="H27:I27"/>
    <mergeCell ref="B28:C28"/>
    <mergeCell ref="E28:G28"/>
    <mergeCell ref="H28:I28"/>
    <mergeCell ref="B25:C25"/>
    <mergeCell ref="E25:G25"/>
    <mergeCell ref="H25:I25"/>
    <mergeCell ref="B26:C26"/>
    <mergeCell ref="E26:G26"/>
    <mergeCell ref="H26:I26"/>
    <mergeCell ref="B23:C23"/>
    <mergeCell ref="E23:G23"/>
    <mergeCell ref="H23:I23"/>
    <mergeCell ref="B24:C24"/>
    <mergeCell ref="E24:G24"/>
    <mergeCell ref="H24:I24"/>
    <mergeCell ref="B18:C18"/>
    <mergeCell ref="D18:E18"/>
    <mergeCell ref="F18:H18"/>
    <mergeCell ref="B22:C22"/>
    <mergeCell ref="E22:G22"/>
    <mergeCell ref="H22:I22"/>
    <mergeCell ref="A13:B13"/>
    <mergeCell ref="B16:C16"/>
    <mergeCell ref="D16:E16"/>
    <mergeCell ref="F16:H16"/>
    <mergeCell ref="B17:C17"/>
    <mergeCell ref="D17:E17"/>
    <mergeCell ref="F17:H17"/>
    <mergeCell ref="H1:I1"/>
    <mergeCell ref="H2:I2"/>
    <mergeCell ref="A3:I3"/>
    <mergeCell ref="A11:B11"/>
    <mergeCell ref="A12:B12"/>
  </mergeCells>
  <pageMargins left="0.70866141732283505" right="0.59055118110236204" top="0.35433070866141703" bottom="1.33858267716535" header="0.31496062992126" footer="0.31496062992126"/>
  <pageSetup paperSize="5" scale="85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G113"/>
  <sheetViews>
    <sheetView workbookViewId="0">
      <selection activeCell="E114" sqref="E114"/>
    </sheetView>
  </sheetViews>
  <sheetFormatPr defaultColWidth="9.140625" defaultRowHeight="15"/>
  <cols>
    <col min="1" max="1" width="12.85546875" style="6" customWidth="1"/>
    <col min="2" max="2" width="9.7109375" style="6" customWidth="1"/>
    <col min="3" max="3" width="6.28515625" style="6" customWidth="1"/>
    <col min="4" max="4" width="41" style="6" customWidth="1"/>
    <col min="5" max="5" width="15.28515625" style="6" customWidth="1"/>
    <col min="6" max="6" width="21.5703125" style="6" customWidth="1"/>
    <col min="7" max="7" width="2.140625" style="6" customWidth="1"/>
    <col min="8" max="16384" width="9.140625" style="6"/>
  </cols>
  <sheetData>
    <row r="1" spans="1:6">
      <c r="F1" s="86" t="s">
        <v>545</v>
      </c>
    </row>
    <row r="2" spans="1:6" ht="21.75" customHeight="1">
      <c r="A2" s="636" t="s">
        <v>546</v>
      </c>
      <c r="B2" s="636"/>
      <c r="C2" s="636"/>
      <c r="D2" s="636"/>
      <c r="E2" s="831"/>
      <c r="F2" s="87">
        <v>45117</v>
      </c>
    </row>
    <row r="3" spans="1:6" ht="16.5" customHeight="1">
      <c r="B3" s="94"/>
      <c r="C3" s="94"/>
      <c r="D3" s="94"/>
      <c r="E3" s="94"/>
    </row>
    <row r="4" spans="1:6" ht="20.100000000000001" customHeight="1">
      <c r="A4" s="6" t="s">
        <v>547</v>
      </c>
      <c r="B4" s="53"/>
      <c r="C4" s="6" t="s">
        <v>392</v>
      </c>
      <c r="D4" s="95" t="str">
        <f>'COVER '!F34</f>
        <v>Hermawan Rochmadi, S. Pd.</v>
      </c>
      <c r="E4" s="6" t="s">
        <v>548</v>
      </c>
      <c r="F4" s="6" t="str">
        <f>'COVER '!E30</f>
        <v>: XI TM3</v>
      </c>
    </row>
    <row r="5" spans="1:6" ht="20.100000000000001" customHeight="1">
      <c r="A5" s="6" t="s">
        <v>549</v>
      </c>
      <c r="B5" s="53"/>
      <c r="C5" s="6" t="s">
        <v>392</v>
      </c>
      <c r="D5" s="404" t="str">
        <f>'COVER '!F35</f>
        <v>19920317 201903 1 009</v>
      </c>
      <c r="E5" s="6" t="s">
        <v>550</v>
      </c>
      <c r="F5" s="6" t="str">
        <f>'COVER '!E32</f>
        <v>: 2025/2026</v>
      </c>
    </row>
    <row r="6" spans="1:6" ht="20.100000000000001" customHeight="1">
      <c r="A6" s="6" t="s">
        <v>5</v>
      </c>
      <c r="B6" s="53"/>
      <c r="C6" s="6" t="s">
        <v>392</v>
      </c>
      <c r="D6" s="95" t="str">
        <f>'COVER '!E28</f>
        <v>: Mata Pelajaran Pilihan (CAM)</v>
      </c>
    </row>
    <row r="7" spans="1:6" ht="12.75" customHeight="1">
      <c r="A7" s="53"/>
      <c r="B7" s="53"/>
      <c r="D7" s="95"/>
      <c r="E7" s="95"/>
    </row>
    <row r="8" spans="1:6" s="93" customFormat="1" ht="21.75" customHeight="1">
      <c r="A8" s="96" t="s">
        <v>551</v>
      </c>
      <c r="B8" s="96" t="s">
        <v>7</v>
      </c>
      <c r="C8" s="96" t="s">
        <v>552</v>
      </c>
      <c r="D8" s="96" t="s">
        <v>553</v>
      </c>
      <c r="E8" s="96" t="s">
        <v>554</v>
      </c>
      <c r="F8" s="97" t="s">
        <v>555</v>
      </c>
    </row>
    <row r="9" spans="1:6" ht="18" customHeight="1">
      <c r="A9" s="57"/>
      <c r="B9" s="57"/>
      <c r="C9" s="98"/>
      <c r="D9" s="99"/>
      <c r="E9" s="57"/>
      <c r="F9" s="57"/>
    </row>
    <row r="10" spans="1:6" ht="18" customHeight="1">
      <c r="A10" s="56"/>
      <c r="B10" s="56"/>
      <c r="C10" s="100"/>
      <c r="D10" s="101"/>
      <c r="E10" s="56"/>
      <c r="F10" s="56"/>
    </row>
    <row r="11" spans="1:6" ht="18" customHeight="1">
      <c r="A11" s="56"/>
      <c r="B11" s="56"/>
      <c r="C11" s="100"/>
      <c r="D11" s="56"/>
      <c r="E11" s="56"/>
      <c r="F11" s="56"/>
    </row>
    <row r="12" spans="1:6" ht="18" customHeight="1">
      <c r="A12" s="56"/>
      <c r="B12" s="56"/>
      <c r="C12" s="56"/>
      <c r="D12" s="56"/>
      <c r="E12" s="56"/>
      <c r="F12" s="56"/>
    </row>
    <row r="13" spans="1:6" ht="18" customHeight="1">
      <c r="A13" s="56"/>
      <c r="B13" s="56"/>
      <c r="C13" s="56"/>
      <c r="D13" s="56"/>
      <c r="E13" s="56"/>
      <c r="F13" s="56"/>
    </row>
    <row r="14" spans="1:6" ht="18" customHeight="1">
      <c r="A14" s="56"/>
      <c r="B14" s="56"/>
      <c r="C14" s="56"/>
      <c r="D14" s="56"/>
      <c r="E14" s="56"/>
      <c r="F14" s="56"/>
    </row>
    <row r="15" spans="1:6" ht="18" customHeight="1">
      <c r="A15" s="56"/>
      <c r="B15" s="56"/>
      <c r="C15" s="56"/>
      <c r="D15" s="56"/>
      <c r="E15" s="56"/>
      <c r="F15" s="56"/>
    </row>
    <row r="16" spans="1:6" ht="18" customHeight="1">
      <c r="A16" s="56"/>
      <c r="B16" s="56"/>
      <c r="C16" s="56"/>
      <c r="D16" s="56"/>
      <c r="E16" s="56"/>
      <c r="F16" s="56"/>
    </row>
    <row r="17" spans="1:6" ht="18" customHeight="1">
      <c r="A17" s="56"/>
      <c r="B17" s="56"/>
      <c r="C17" s="56"/>
      <c r="D17" s="56"/>
      <c r="E17" s="56"/>
      <c r="F17" s="56"/>
    </row>
    <row r="18" spans="1:6" ht="18" customHeight="1">
      <c r="A18" s="56"/>
      <c r="B18" s="56"/>
      <c r="C18" s="56"/>
      <c r="D18" s="56"/>
      <c r="E18" s="56"/>
      <c r="F18" s="56"/>
    </row>
    <row r="19" spans="1:6" ht="18" customHeight="1">
      <c r="A19" s="56"/>
      <c r="B19" s="56"/>
      <c r="C19" s="56"/>
      <c r="D19" s="56"/>
      <c r="E19" s="56"/>
      <c r="F19" s="56"/>
    </row>
    <row r="20" spans="1:6" ht="18" customHeight="1">
      <c r="A20" s="56"/>
      <c r="B20" s="56"/>
      <c r="C20" s="56"/>
      <c r="D20" s="56"/>
      <c r="E20" s="56"/>
      <c r="F20" s="56"/>
    </row>
    <row r="21" spans="1:6" ht="18" customHeight="1">
      <c r="A21" s="56"/>
      <c r="B21" s="56"/>
      <c r="C21" s="56"/>
      <c r="D21" s="56"/>
      <c r="E21" s="56"/>
      <c r="F21" s="56"/>
    </row>
    <row r="22" spans="1:6" ht="18" customHeight="1">
      <c r="A22" s="56"/>
      <c r="B22" s="56"/>
      <c r="C22" s="56"/>
      <c r="D22" s="56"/>
      <c r="E22" s="56"/>
      <c r="F22" s="56"/>
    </row>
    <row r="23" spans="1:6" ht="18" customHeight="1">
      <c r="A23" s="56"/>
      <c r="B23" s="56"/>
      <c r="C23" s="56"/>
      <c r="D23" s="56"/>
      <c r="E23" s="56"/>
      <c r="F23" s="56"/>
    </row>
    <row r="24" spans="1:6" ht="18" customHeight="1">
      <c r="A24" s="56"/>
      <c r="B24" s="56"/>
      <c r="C24" s="56"/>
      <c r="D24" s="56"/>
      <c r="E24" s="56"/>
      <c r="F24" s="56"/>
    </row>
    <row r="25" spans="1:6" ht="18" customHeight="1">
      <c r="A25" s="56"/>
      <c r="B25" s="56"/>
      <c r="C25" s="56"/>
      <c r="D25" s="56"/>
      <c r="E25" s="56"/>
      <c r="F25" s="56"/>
    </row>
    <row r="26" spans="1:6" ht="18" customHeight="1">
      <c r="A26" s="56"/>
      <c r="B26" s="56"/>
      <c r="C26" s="56"/>
      <c r="D26" s="56"/>
      <c r="E26" s="56"/>
      <c r="F26" s="56"/>
    </row>
    <row r="27" spans="1:6" ht="18" customHeight="1">
      <c r="A27" s="56"/>
      <c r="B27" s="56"/>
      <c r="C27" s="56"/>
      <c r="D27" s="56"/>
      <c r="E27" s="56"/>
      <c r="F27" s="56"/>
    </row>
    <row r="28" spans="1:6" ht="18" customHeight="1">
      <c r="A28" s="56"/>
      <c r="B28" s="56"/>
      <c r="C28" s="56"/>
      <c r="D28" s="56"/>
      <c r="E28" s="56"/>
      <c r="F28" s="56"/>
    </row>
    <row r="29" spans="1:6" ht="18" customHeight="1">
      <c r="A29" s="56"/>
      <c r="B29" s="56"/>
      <c r="C29" s="56"/>
      <c r="D29" s="56"/>
      <c r="E29" s="56"/>
      <c r="F29" s="56"/>
    </row>
    <row r="30" spans="1:6" ht="18" customHeight="1">
      <c r="A30" s="56"/>
      <c r="B30" s="56"/>
      <c r="C30" s="56"/>
      <c r="D30" s="56"/>
      <c r="E30" s="56"/>
      <c r="F30" s="56"/>
    </row>
    <row r="31" spans="1:6" ht="18" customHeight="1">
      <c r="A31" s="56"/>
      <c r="B31" s="56"/>
      <c r="C31" s="100"/>
      <c r="D31" s="101"/>
      <c r="E31" s="56"/>
      <c r="F31" s="56"/>
    </row>
    <row r="32" spans="1:6" ht="18" customHeight="1">
      <c r="A32" s="56"/>
      <c r="B32" s="56"/>
      <c r="C32" s="100"/>
      <c r="D32" s="56"/>
      <c r="E32" s="56"/>
      <c r="F32" s="56"/>
    </row>
    <row r="33" spans="1:6" ht="18" customHeight="1">
      <c r="A33" s="56"/>
      <c r="B33" s="56"/>
      <c r="C33" s="56"/>
      <c r="D33" s="56"/>
      <c r="E33" s="56"/>
      <c r="F33" s="56"/>
    </row>
    <row r="34" spans="1:6" ht="18" customHeight="1">
      <c r="A34" s="56"/>
      <c r="B34" s="56"/>
      <c r="C34" s="56"/>
      <c r="D34" s="56"/>
      <c r="E34" s="56"/>
      <c r="F34" s="56"/>
    </row>
    <row r="35" spans="1:6" ht="18" customHeight="1">
      <c r="A35" s="56"/>
      <c r="B35" s="56"/>
      <c r="C35" s="56"/>
      <c r="D35" s="56"/>
      <c r="E35" s="56"/>
      <c r="F35" s="56"/>
    </row>
    <row r="36" spans="1:6" ht="18" customHeight="1">
      <c r="A36" s="56"/>
      <c r="B36" s="56"/>
      <c r="C36" s="56"/>
      <c r="D36" s="56"/>
      <c r="E36" s="56"/>
      <c r="F36" s="56"/>
    </row>
    <row r="37" spans="1:6" ht="18" customHeight="1">
      <c r="A37" s="56"/>
      <c r="B37" s="56"/>
      <c r="C37" s="56"/>
      <c r="D37" s="56"/>
      <c r="E37" s="56"/>
      <c r="F37" s="56"/>
    </row>
    <row r="38" spans="1:6" ht="18" customHeight="1">
      <c r="A38" s="56"/>
      <c r="B38" s="56"/>
      <c r="C38" s="56"/>
      <c r="D38" s="56"/>
      <c r="E38" s="56"/>
      <c r="F38" s="56"/>
    </row>
    <row r="39" spans="1:6" ht="18" customHeight="1">
      <c r="A39" s="56"/>
      <c r="B39" s="56"/>
      <c r="C39" s="56"/>
      <c r="D39" s="56"/>
      <c r="E39" s="56"/>
      <c r="F39" s="56"/>
    </row>
    <row r="40" spans="1:6" ht="18" customHeight="1">
      <c r="A40" s="56"/>
      <c r="B40" s="56"/>
      <c r="C40" s="56"/>
      <c r="D40" s="56"/>
      <c r="E40" s="56"/>
      <c r="F40" s="56"/>
    </row>
    <row r="41" spans="1:6" ht="18" customHeight="1">
      <c r="A41" s="56"/>
      <c r="B41" s="56"/>
      <c r="C41" s="56"/>
      <c r="D41" s="56"/>
      <c r="E41" s="56"/>
      <c r="F41" s="56"/>
    </row>
    <row r="42" spans="1:6" ht="18" customHeight="1">
      <c r="A42" s="56"/>
      <c r="B42" s="56"/>
      <c r="C42" s="56"/>
      <c r="D42" s="56"/>
      <c r="E42" s="56"/>
      <c r="F42" s="56"/>
    </row>
    <row r="43" spans="1:6" ht="18" customHeight="1">
      <c r="A43" s="56"/>
      <c r="B43" s="56"/>
      <c r="C43" s="56"/>
      <c r="D43" s="56"/>
      <c r="E43" s="56"/>
      <c r="F43" s="56"/>
    </row>
    <row r="44" spans="1:6" ht="18" customHeight="1">
      <c r="A44" s="56"/>
      <c r="B44" s="56"/>
      <c r="C44" s="56"/>
      <c r="D44" s="56"/>
      <c r="E44" s="56"/>
      <c r="F44" s="56"/>
    </row>
    <row r="45" spans="1:6" ht="18" customHeight="1">
      <c r="A45" s="56"/>
      <c r="B45" s="56"/>
      <c r="C45" s="56"/>
      <c r="D45" s="56"/>
      <c r="E45" s="56"/>
      <c r="F45" s="56"/>
    </row>
    <row r="46" spans="1:6" ht="18" customHeight="1">
      <c r="A46" s="56"/>
      <c r="B46" s="56"/>
      <c r="C46" s="56"/>
      <c r="D46" s="56"/>
      <c r="E46" s="56"/>
      <c r="F46" s="56"/>
    </row>
    <row r="47" spans="1:6" ht="18" customHeight="1">
      <c r="A47" s="56"/>
      <c r="B47" s="56"/>
      <c r="C47" s="56"/>
      <c r="D47" s="56"/>
      <c r="E47" s="56"/>
      <c r="F47" s="56"/>
    </row>
    <row r="48" spans="1:6" ht="18" customHeight="1">
      <c r="A48" s="56"/>
      <c r="B48" s="56"/>
      <c r="C48" s="56"/>
      <c r="D48" s="56"/>
      <c r="E48" s="56"/>
      <c r="F48" s="56"/>
    </row>
    <row r="49" spans="1:7" ht="18" customHeight="1">
      <c r="A49" s="56"/>
      <c r="B49" s="56"/>
      <c r="C49" s="56"/>
      <c r="D49" s="56"/>
      <c r="E49" s="56"/>
      <c r="F49" s="56"/>
    </row>
    <row r="50" spans="1:7" ht="18" customHeight="1">
      <c r="A50" s="56"/>
      <c r="B50" s="56"/>
      <c r="C50" s="56"/>
      <c r="D50" s="56"/>
      <c r="E50" s="56"/>
      <c r="F50" s="56"/>
    </row>
    <row r="51" spans="1:7" ht="18" customHeight="1">
      <c r="A51" s="56"/>
      <c r="B51" s="56"/>
      <c r="C51" s="56"/>
      <c r="D51" s="56"/>
      <c r="E51" s="56"/>
      <c r="F51" s="56"/>
    </row>
    <row r="52" spans="1:7" ht="18" customHeight="1">
      <c r="A52" s="56"/>
      <c r="B52" s="56"/>
      <c r="C52" s="56"/>
      <c r="D52" s="56"/>
      <c r="E52" s="56"/>
      <c r="F52" s="56"/>
    </row>
    <row r="53" spans="1:7" ht="18" customHeight="1">
      <c r="A53" s="56"/>
      <c r="B53" s="56"/>
      <c r="C53" s="56"/>
      <c r="D53" s="56"/>
      <c r="E53" s="56"/>
      <c r="F53" s="56"/>
    </row>
    <row r="54" spans="1:7" ht="18" customHeight="1">
      <c r="A54" s="56"/>
      <c r="B54" s="56"/>
      <c r="C54" s="56"/>
      <c r="D54" s="56"/>
      <c r="E54" s="56"/>
      <c r="F54" s="56"/>
    </row>
    <row r="55" spans="1:7" ht="18" customHeight="1"/>
    <row r="56" spans="1:7" ht="30" customHeight="1">
      <c r="A56" s="96" t="s">
        <v>551</v>
      </c>
      <c r="B56" s="96" t="s">
        <v>7</v>
      </c>
      <c r="C56" s="96" t="s">
        <v>552</v>
      </c>
      <c r="D56" s="96" t="s">
        <v>556</v>
      </c>
      <c r="E56" s="96" t="s">
        <v>554</v>
      </c>
      <c r="F56" s="97" t="s">
        <v>555</v>
      </c>
      <c r="G56" s="93"/>
    </row>
    <row r="57" spans="1:7" ht="19.5" customHeight="1">
      <c r="A57" s="57"/>
      <c r="B57" s="57"/>
      <c r="C57" s="98"/>
      <c r="D57" s="99"/>
      <c r="E57" s="57"/>
      <c r="F57" s="57"/>
    </row>
    <row r="58" spans="1:7" ht="19.5" customHeight="1">
      <c r="A58" s="56"/>
      <c r="B58" s="56"/>
      <c r="C58" s="100"/>
      <c r="D58" s="101"/>
      <c r="E58" s="56"/>
      <c r="F58" s="56"/>
    </row>
    <row r="59" spans="1:7" ht="19.5" customHeight="1">
      <c r="A59" s="56"/>
      <c r="B59" s="56"/>
      <c r="C59" s="100"/>
      <c r="D59" s="56"/>
      <c r="E59" s="56"/>
      <c r="F59" s="56"/>
    </row>
    <row r="60" spans="1:7" ht="19.5" customHeight="1">
      <c r="A60" s="56"/>
      <c r="B60" s="56"/>
      <c r="C60" s="56"/>
      <c r="D60" s="56"/>
      <c r="E60" s="56"/>
      <c r="F60" s="56"/>
    </row>
    <row r="61" spans="1:7" ht="19.5" customHeight="1">
      <c r="A61" s="56"/>
      <c r="B61" s="56"/>
      <c r="C61" s="56"/>
      <c r="D61" s="56"/>
      <c r="E61" s="56"/>
      <c r="F61" s="56"/>
    </row>
    <row r="62" spans="1:7" ht="19.5" customHeight="1">
      <c r="A62" s="56"/>
      <c r="B62" s="56"/>
      <c r="C62" s="56"/>
      <c r="D62" s="56"/>
      <c r="E62" s="56"/>
      <c r="F62" s="56"/>
    </row>
    <row r="63" spans="1:7" ht="19.5" customHeight="1">
      <c r="A63" s="56"/>
      <c r="B63" s="56"/>
      <c r="C63" s="56"/>
      <c r="D63" s="56"/>
      <c r="E63" s="56"/>
      <c r="F63" s="56"/>
    </row>
    <row r="64" spans="1:7" ht="19.5" customHeight="1">
      <c r="A64" s="56"/>
      <c r="B64" s="56"/>
      <c r="C64" s="56"/>
      <c r="D64" s="56"/>
      <c r="E64" s="56"/>
      <c r="F64" s="56"/>
    </row>
    <row r="65" spans="1:6" ht="19.5" customHeight="1">
      <c r="A65" s="56"/>
      <c r="B65" s="56"/>
      <c r="C65" s="56"/>
      <c r="D65" s="56"/>
      <c r="E65" s="56"/>
      <c r="F65" s="56"/>
    </row>
    <row r="66" spans="1:6" ht="19.5" customHeight="1">
      <c r="A66" s="56"/>
      <c r="B66" s="56"/>
      <c r="C66" s="56"/>
      <c r="D66" s="56"/>
      <c r="E66" s="56"/>
      <c r="F66" s="56"/>
    </row>
    <row r="67" spans="1:6" ht="19.5" customHeight="1">
      <c r="A67" s="56"/>
      <c r="B67" s="56"/>
      <c r="C67" s="56"/>
      <c r="D67" s="56"/>
      <c r="E67" s="56"/>
      <c r="F67" s="56"/>
    </row>
    <row r="68" spans="1:6">
      <c r="A68" s="56"/>
      <c r="B68" s="56"/>
      <c r="C68" s="56"/>
      <c r="D68" s="56"/>
      <c r="E68" s="56"/>
      <c r="F68" s="56"/>
    </row>
    <row r="69" spans="1:6">
      <c r="A69" s="56"/>
      <c r="B69" s="56"/>
      <c r="C69" s="56"/>
      <c r="D69" s="56"/>
      <c r="E69" s="56"/>
      <c r="F69" s="56"/>
    </row>
    <row r="70" spans="1:6">
      <c r="A70" s="56"/>
      <c r="B70" s="56"/>
      <c r="C70" s="56"/>
      <c r="D70" s="56"/>
      <c r="E70" s="56"/>
      <c r="F70" s="56"/>
    </row>
    <row r="71" spans="1:6">
      <c r="A71" s="56"/>
      <c r="B71" s="56"/>
      <c r="C71" s="56"/>
      <c r="D71" s="56"/>
      <c r="E71" s="56"/>
      <c r="F71" s="56"/>
    </row>
    <row r="72" spans="1:6">
      <c r="A72" s="56"/>
      <c r="B72" s="56"/>
      <c r="C72" s="56"/>
      <c r="D72" s="56"/>
      <c r="E72" s="56"/>
      <c r="F72" s="56"/>
    </row>
    <row r="73" spans="1:6">
      <c r="A73" s="56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56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56"/>
      <c r="B77" s="56"/>
      <c r="C77" s="56"/>
      <c r="D77" s="56"/>
      <c r="E77" s="56"/>
      <c r="F77" s="56"/>
    </row>
    <row r="78" spans="1:6">
      <c r="A78" s="56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  <row r="81" spans="1:6">
      <c r="A81" s="56"/>
      <c r="B81" s="56"/>
      <c r="C81" s="56"/>
      <c r="D81" s="56"/>
      <c r="E81" s="56"/>
      <c r="F81" s="56"/>
    </row>
    <row r="82" spans="1:6">
      <c r="A82" s="56"/>
      <c r="B82" s="56"/>
      <c r="C82" s="56"/>
      <c r="D82" s="56"/>
      <c r="E82" s="56"/>
      <c r="F82" s="56"/>
    </row>
    <row r="83" spans="1:6">
      <c r="A83" s="56"/>
      <c r="B83" s="56"/>
      <c r="C83" s="100"/>
      <c r="D83" s="101"/>
      <c r="E83" s="56"/>
      <c r="F83" s="56"/>
    </row>
    <row r="84" spans="1:6">
      <c r="A84" s="56"/>
      <c r="B84" s="56"/>
      <c r="C84" s="56"/>
      <c r="D84" s="56"/>
      <c r="E84" s="56"/>
      <c r="F84" s="56"/>
    </row>
    <row r="85" spans="1:6">
      <c r="A85" s="56"/>
      <c r="B85" s="56"/>
      <c r="C85" s="100"/>
      <c r="D85" s="101"/>
      <c r="E85" s="56"/>
      <c r="F85" s="56"/>
    </row>
    <row r="86" spans="1:6">
      <c r="A86" s="56"/>
      <c r="B86" s="56"/>
      <c r="C86" s="56"/>
      <c r="D86" s="56"/>
      <c r="E86" s="56"/>
      <c r="F86" s="56"/>
    </row>
    <row r="87" spans="1:6">
      <c r="A87" s="56"/>
      <c r="B87" s="56"/>
      <c r="C87" s="100"/>
      <c r="D87" s="101"/>
      <c r="E87" s="56"/>
      <c r="F87" s="56"/>
    </row>
    <row r="88" spans="1:6">
      <c r="A88" s="56"/>
      <c r="B88" s="56"/>
      <c r="C88" s="56"/>
      <c r="D88" s="56"/>
      <c r="E88" s="56"/>
      <c r="F88" s="56"/>
    </row>
    <row r="89" spans="1:6">
      <c r="A89" s="56"/>
      <c r="B89" s="56"/>
      <c r="C89" s="100"/>
      <c r="D89" s="101"/>
      <c r="E89" s="56"/>
      <c r="F89" s="56"/>
    </row>
    <row r="90" spans="1:6">
      <c r="A90" s="56"/>
      <c r="B90" s="56"/>
      <c r="C90" s="56"/>
      <c r="D90" s="56"/>
      <c r="E90" s="56"/>
      <c r="F90" s="56"/>
    </row>
    <row r="91" spans="1:6">
      <c r="A91" s="56"/>
      <c r="B91" s="56"/>
      <c r="C91" s="100"/>
      <c r="D91" s="101"/>
      <c r="E91" s="56"/>
      <c r="F91" s="56"/>
    </row>
    <row r="92" spans="1:6">
      <c r="A92" s="56"/>
      <c r="B92" s="56"/>
      <c r="C92" s="56"/>
      <c r="D92" s="56"/>
      <c r="E92" s="56"/>
      <c r="F92" s="56"/>
    </row>
    <row r="93" spans="1:6">
      <c r="A93" s="56"/>
      <c r="B93" s="56"/>
      <c r="C93" s="100"/>
      <c r="D93" s="101"/>
      <c r="E93" s="56"/>
      <c r="F93" s="56"/>
    </row>
    <row r="94" spans="1:6">
      <c r="C94" s="102"/>
    </row>
    <row r="95" spans="1:6">
      <c r="C95" s="102"/>
    </row>
    <row r="97" spans="1:5">
      <c r="A97" s="7"/>
      <c r="E97" s="62" t="s">
        <v>557</v>
      </c>
    </row>
    <row r="98" spans="1:5">
      <c r="A98" s="7"/>
      <c r="B98" s="7"/>
      <c r="E98" s="7"/>
    </row>
    <row r="99" spans="1:5">
      <c r="A99" s="362" t="s">
        <v>169</v>
      </c>
      <c r="B99" s="7"/>
      <c r="E99" s="62" t="s">
        <v>178</v>
      </c>
    </row>
    <row r="100" spans="1:5">
      <c r="A100" s="7"/>
      <c r="B100" s="7"/>
      <c r="E100" s="62"/>
    </row>
    <row r="101" spans="1:5">
      <c r="A101" s="7"/>
      <c r="B101" s="7"/>
      <c r="E101" s="62"/>
    </row>
    <row r="102" spans="1:5">
      <c r="A102" s="7"/>
      <c r="B102" s="7"/>
      <c r="E102" s="62"/>
    </row>
    <row r="103" spans="1:5">
      <c r="A103" s="12" t="str">
        <f>'Prhtngn Mingg Ef(3)'!B87</f>
        <v>Drs. M. Hasannuddin</v>
      </c>
      <c r="B103" s="7"/>
      <c r="E103" s="12" t="str">
        <f>'COVER '!F34</f>
        <v>Hermawan Rochmadi, S. Pd.</v>
      </c>
    </row>
    <row r="104" spans="1:5">
      <c r="A104" s="62" t="str">
        <f>'Prhtngn Mingg Ef(3)'!B88</f>
        <v>NIP. 19670621 199412 1 003</v>
      </c>
      <c r="B104" s="7"/>
      <c r="E104" s="62" t="str">
        <f>'Prhtngn Mingg Ef(3)'!G88</f>
        <v>NIP. 19920317 201903 1 009</v>
      </c>
    </row>
    <row r="105" spans="1:5">
      <c r="A105" s="103"/>
      <c r="B105" s="7"/>
      <c r="E105" s="62"/>
    </row>
    <row r="106" spans="1:5">
      <c r="A106" s="7"/>
      <c r="B106" s="7"/>
      <c r="E106" s="104"/>
    </row>
    <row r="107" spans="1:5">
      <c r="D107" s="62" t="s">
        <v>171</v>
      </c>
      <c r="E107" s="104"/>
    </row>
    <row r="108" spans="1:5">
      <c r="A108" s="7" t="s">
        <v>172</v>
      </c>
      <c r="B108" s="7"/>
      <c r="E108" s="104" t="s">
        <v>229</v>
      </c>
    </row>
    <row r="109" spans="1:5">
      <c r="A109" s="7"/>
      <c r="B109" s="7"/>
      <c r="E109" s="64"/>
    </row>
    <row r="110" spans="1:5">
      <c r="A110" s="7"/>
      <c r="B110" s="7"/>
      <c r="E110" s="64"/>
    </row>
    <row r="111" spans="1:5">
      <c r="A111" s="7"/>
      <c r="B111" s="7"/>
      <c r="E111" s="64"/>
    </row>
    <row r="112" spans="1:5">
      <c r="A112" s="7" t="str">
        <f>'Prhtngn Mingg Ef(3)'!B95</f>
        <v>WIDADA, S.Pd., M.Pd.</v>
      </c>
      <c r="B112" s="7"/>
      <c r="E112" s="103" t="str">
        <f>'Prhtngn Mingg Ef(3)'!G95</f>
        <v>GUNAWAN, S.Pd., M.M.</v>
      </c>
    </row>
    <row r="113" spans="1:5">
      <c r="A113" s="7" t="str">
        <f>'Prhtngn Mingg Ef(3)'!B96</f>
        <v>NIP. 19690212 200012 1 002</v>
      </c>
      <c r="B113" s="7"/>
      <c r="E113" s="103" t="str">
        <f>'Prhtngn Mingg Ef(3)'!G96</f>
        <v>NIP. 19711213 200501 1 004</v>
      </c>
    </row>
  </sheetData>
  <mergeCells count="1">
    <mergeCell ref="A2:E2"/>
  </mergeCells>
  <pageMargins left="0.98425196850393704" right="0.31496062992126" top="0.31496062992126" bottom="1.49606299212598" header="0.31496062992126" footer="0.31496062992126"/>
  <pageSetup paperSize="5" scale="90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Y56"/>
  <sheetViews>
    <sheetView workbookViewId="0">
      <selection activeCell="B5" sqref="B5:B11"/>
    </sheetView>
  </sheetViews>
  <sheetFormatPr defaultColWidth="9.140625" defaultRowHeight="15"/>
  <cols>
    <col min="1" max="1" width="8.28515625" style="68" customWidth="1"/>
    <col min="2" max="2" width="8.5703125" style="6" customWidth="1"/>
    <col min="3" max="9" width="5.28515625" style="6" customWidth="1"/>
    <col min="10" max="11" width="5.140625" style="6" customWidth="1"/>
    <col min="12" max="12" width="5.85546875" style="6" customWidth="1"/>
    <col min="13" max="16" width="5.28515625" style="6" customWidth="1"/>
    <col min="17" max="18" width="9.140625" style="6"/>
    <col min="19" max="19" width="9.140625" style="6" customWidth="1"/>
    <col min="20" max="22" width="5.28515625" style="6" customWidth="1"/>
    <col min="23" max="16384" width="9.140625" style="6"/>
  </cols>
  <sheetData>
    <row r="1" spans="2:23">
      <c r="M1" s="770" t="s">
        <v>558</v>
      </c>
      <c r="N1" s="770"/>
      <c r="O1" s="770"/>
    </row>
    <row r="2" spans="2:23">
      <c r="M2" s="736">
        <v>45117</v>
      </c>
      <c r="N2" s="736"/>
      <c r="O2" s="736"/>
    </row>
    <row r="3" spans="2:23" ht="18.75">
      <c r="B3" s="561" t="s">
        <v>559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W3" s="7"/>
    </row>
    <row r="4" spans="2:23" ht="15" customHeight="1">
      <c r="W4" s="7"/>
    </row>
    <row r="5" spans="2:23" ht="15" customHeight="1">
      <c r="B5" s="6" t="s">
        <v>3</v>
      </c>
      <c r="D5" s="7"/>
      <c r="E5" s="6" t="str">
        <f>'COVER '!E26</f>
        <v>: Teknik Mesin</v>
      </c>
      <c r="F5" s="7"/>
      <c r="W5" s="7"/>
    </row>
    <row r="6" spans="2:23" ht="15" customHeight="1">
      <c r="B6" s="7" t="s">
        <v>4</v>
      </c>
      <c r="D6" s="7"/>
      <c r="E6" s="7" t="str">
        <f>'COVER '!E27</f>
        <v xml:space="preserve">: Teknik Pemesinan </v>
      </c>
      <c r="F6" s="7"/>
    </row>
    <row r="7" spans="2:23" ht="15" customHeight="1">
      <c r="B7" s="6" t="s">
        <v>5</v>
      </c>
      <c r="D7" s="7"/>
      <c r="E7" s="7" t="str">
        <f>'COVER '!E28</f>
        <v>: Mata Pelajaran Pilihan (CAM)</v>
      </c>
      <c r="F7" s="7"/>
    </row>
    <row r="8" spans="2:23" ht="15" customHeight="1">
      <c r="B8" s="7" t="s">
        <v>6</v>
      </c>
      <c r="D8" s="7"/>
      <c r="E8" s="6" t="str">
        <f>'COVER '!E29</f>
        <v>: F</v>
      </c>
      <c r="F8" s="7"/>
    </row>
    <row r="9" spans="2:23" ht="15" customHeight="1">
      <c r="B9" s="6" t="s">
        <v>7</v>
      </c>
      <c r="D9" s="7"/>
      <c r="E9" s="6" t="str">
        <f>'COVER '!E30</f>
        <v>: XI TM3</v>
      </c>
      <c r="F9" s="7"/>
      <c r="J9" s="6" t="s">
        <v>176</v>
      </c>
    </row>
    <row r="10" spans="2:23" ht="15" customHeight="1">
      <c r="B10" s="6" t="s">
        <v>8</v>
      </c>
      <c r="D10" s="7"/>
      <c r="E10" s="6" t="str">
        <f>'COVER '!E31</f>
        <v>: Gasal</v>
      </c>
      <c r="F10" s="7"/>
    </row>
    <row r="11" spans="2:23" ht="15" customHeight="1">
      <c r="B11" s="6" t="s">
        <v>10</v>
      </c>
      <c r="D11" s="7"/>
      <c r="E11" s="6" t="str">
        <f>'COVER '!E32</f>
        <v>: 2025/2026</v>
      </c>
      <c r="F11" s="7"/>
    </row>
    <row r="12" spans="2:23" ht="15" customHeight="1">
      <c r="B12" s="70"/>
      <c r="C12" s="71">
        <v>100</v>
      </c>
      <c r="D12" s="70"/>
      <c r="E12" s="70"/>
      <c r="F12" s="70"/>
      <c r="G12" s="832" t="s">
        <v>560</v>
      </c>
      <c r="H12" s="832"/>
      <c r="I12" s="70"/>
      <c r="J12" s="70"/>
      <c r="K12" s="70"/>
      <c r="L12" s="70"/>
      <c r="M12" s="70"/>
      <c r="N12" s="74"/>
      <c r="O12" s="74"/>
    </row>
    <row r="13" spans="2:23" ht="15" customHeight="1">
      <c r="B13" s="70"/>
      <c r="C13" s="71">
        <v>95</v>
      </c>
      <c r="D13" s="70"/>
      <c r="E13" s="70"/>
      <c r="F13" s="70"/>
      <c r="G13" s="70"/>
      <c r="H13" s="70"/>
      <c r="I13" s="70"/>
      <c r="J13" s="70"/>
      <c r="K13" s="70"/>
      <c r="L13" s="76"/>
      <c r="M13" s="74"/>
      <c r="N13" s="70"/>
      <c r="O13" s="72"/>
    </row>
    <row r="14" spans="2:23" ht="15" customHeight="1">
      <c r="C14" s="71">
        <v>90</v>
      </c>
      <c r="D14" s="72"/>
      <c r="E14" s="72"/>
      <c r="F14" s="72"/>
      <c r="G14" s="72"/>
      <c r="H14" s="72"/>
      <c r="I14" s="72"/>
      <c r="J14" s="72"/>
      <c r="K14" s="88"/>
      <c r="L14" s="72"/>
      <c r="M14" s="76"/>
      <c r="N14" s="70"/>
      <c r="O14" s="72"/>
    </row>
    <row r="15" spans="2:23" ht="15" customHeight="1">
      <c r="C15" s="71">
        <v>85</v>
      </c>
      <c r="D15" s="72"/>
      <c r="E15" s="72"/>
      <c r="F15" s="72"/>
      <c r="G15" s="72"/>
      <c r="H15" s="72"/>
      <c r="I15" s="72"/>
      <c r="J15" s="72"/>
      <c r="K15" s="89"/>
      <c r="L15" s="72"/>
      <c r="M15" s="72"/>
      <c r="N15" s="70"/>
      <c r="O15" s="72"/>
    </row>
    <row r="16" spans="2:23" ht="15" customHeight="1">
      <c r="C16" s="71">
        <v>80</v>
      </c>
      <c r="D16" s="72"/>
      <c r="E16" s="72"/>
      <c r="F16" s="72"/>
      <c r="G16" s="72"/>
      <c r="H16" s="72"/>
      <c r="I16" s="72"/>
      <c r="J16" s="72"/>
      <c r="K16" s="72"/>
      <c r="L16" s="89"/>
      <c r="M16" s="72"/>
      <c r="N16" s="70"/>
      <c r="O16" s="72"/>
    </row>
    <row r="17" spans="2:25" ht="15" customHeight="1">
      <c r="C17" s="71">
        <v>75</v>
      </c>
      <c r="D17" s="72"/>
      <c r="E17" s="70"/>
      <c r="F17" s="70"/>
      <c r="G17" s="70"/>
      <c r="H17" s="72"/>
      <c r="I17" s="72"/>
      <c r="J17" s="90"/>
      <c r="K17" s="72"/>
      <c r="L17" s="72"/>
      <c r="M17" s="72"/>
      <c r="N17" s="70"/>
      <c r="O17" s="72"/>
    </row>
    <row r="18" spans="2:25" ht="15" customHeight="1">
      <c r="C18" s="71">
        <v>70</v>
      </c>
      <c r="D18" s="72"/>
      <c r="E18" s="70"/>
      <c r="F18" s="70"/>
      <c r="G18" s="70"/>
      <c r="H18" s="73"/>
      <c r="I18" s="73"/>
      <c r="J18" s="73"/>
      <c r="K18" s="89"/>
      <c r="L18" s="72"/>
      <c r="M18" s="72"/>
      <c r="N18" s="70"/>
      <c r="O18" s="72"/>
    </row>
    <row r="19" spans="2:25" ht="15" customHeight="1">
      <c r="C19" s="71">
        <v>65</v>
      </c>
      <c r="D19" s="72"/>
      <c r="E19" s="70"/>
      <c r="F19" s="70"/>
      <c r="G19" s="74"/>
      <c r="H19" s="72"/>
      <c r="I19" s="72"/>
      <c r="J19" s="72"/>
      <c r="K19" s="72"/>
      <c r="L19" s="72"/>
      <c r="M19" s="72"/>
      <c r="N19" s="70"/>
      <c r="O19" s="72"/>
    </row>
    <row r="20" spans="2:25" ht="15" customHeight="1">
      <c r="B20" s="70"/>
      <c r="C20" s="71">
        <v>60</v>
      </c>
      <c r="D20" s="70"/>
      <c r="E20" s="70"/>
      <c r="F20" s="70"/>
      <c r="G20" s="70"/>
      <c r="H20" s="70"/>
      <c r="I20" s="70"/>
      <c r="J20" s="90"/>
      <c r="K20" s="70"/>
      <c r="L20" s="70"/>
      <c r="M20" s="70"/>
      <c r="N20" s="70"/>
      <c r="O20" s="72"/>
      <c r="X20" s="92"/>
      <c r="Y20" s="92"/>
    </row>
    <row r="21" spans="2:25" ht="15" customHeight="1">
      <c r="B21" s="70"/>
      <c r="C21" s="71">
        <v>55</v>
      </c>
      <c r="D21" s="70"/>
      <c r="E21" s="70"/>
      <c r="F21" s="70"/>
      <c r="G21" s="70"/>
      <c r="H21" s="75"/>
      <c r="I21" s="75"/>
      <c r="J21" s="70"/>
      <c r="K21" s="70"/>
      <c r="L21" s="70"/>
      <c r="M21" s="70"/>
      <c r="N21" s="70"/>
      <c r="O21" s="72"/>
      <c r="X21" s="92"/>
      <c r="Y21" s="92"/>
    </row>
    <row r="22" spans="2:25" ht="15" customHeight="1">
      <c r="B22" s="70"/>
      <c r="C22" s="71">
        <v>50</v>
      </c>
      <c r="D22" s="70"/>
      <c r="E22" s="70"/>
      <c r="F22" s="70"/>
      <c r="G22" s="76"/>
      <c r="H22" s="76"/>
      <c r="I22" s="76"/>
      <c r="J22" s="70"/>
      <c r="K22" s="70"/>
      <c r="L22" s="70"/>
      <c r="M22" s="70"/>
      <c r="N22" s="70"/>
      <c r="O22" s="72"/>
      <c r="X22" s="92"/>
      <c r="Y22" s="92"/>
    </row>
    <row r="23" spans="2:25" ht="15" customHeight="1">
      <c r="B23" s="70"/>
      <c r="C23" s="71">
        <v>45</v>
      </c>
      <c r="D23" s="70"/>
      <c r="E23" s="70"/>
      <c r="F23" s="74"/>
      <c r="G23" s="76"/>
      <c r="H23" s="75"/>
      <c r="I23" s="75"/>
      <c r="J23" s="70"/>
      <c r="K23" s="70"/>
      <c r="L23" s="70"/>
      <c r="M23" s="70"/>
      <c r="N23" s="70"/>
      <c r="O23" s="72"/>
      <c r="X23" s="92"/>
      <c r="Y23" s="92"/>
    </row>
    <row r="24" spans="2:25" ht="15" customHeight="1">
      <c r="B24" s="70"/>
      <c r="C24" s="71">
        <v>40</v>
      </c>
      <c r="D24" s="70"/>
      <c r="E24" s="70"/>
      <c r="F24" s="72"/>
      <c r="G24" s="76"/>
      <c r="H24" s="70"/>
      <c r="I24" s="70"/>
      <c r="J24" s="70"/>
      <c r="K24" s="70"/>
      <c r="L24" s="70"/>
      <c r="M24" s="70"/>
      <c r="N24" s="70"/>
      <c r="O24" s="72"/>
      <c r="X24" s="92"/>
      <c r="Y24" s="92"/>
    </row>
    <row r="25" spans="2:25" ht="15" customHeight="1">
      <c r="B25" s="70"/>
      <c r="C25" s="71">
        <v>35</v>
      </c>
      <c r="D25" s="70"/>
      <c r="E25" s="72"/>
      <c r="F25" s="72"/>
      <c r="G25" s="76"/>
      <c r="H25" s="70"/>
      <c r="I25" s="70"/>
      <c r="J25" s="70"/>
      <c r="K25" s="70"/>
      <c r="L25" s="70"/>
      <c r="M25" s="70"/>
      <c r="N25" s="70"/>
      <c r="O25" s="72"/>
      <c r="X25" s="92"/>
      <c r="Y25" s="92"/>
    </row>
    <row r="26" spans="2:25" ht="15" customHeight="1">
      <c r="B26" s="70"/>
      <c r="C26" s="71">
        <v>30</v>
      </c>
      <c r="D26" s="70"/>
      <c r="E26" s="77"/>
      <c r="F26" s="78"/>
      <c r="G26" s="77"/>
      <c r="H26" s="70"/>
      <c r="I26" s="70"/>
      <c r="J26" s="70"/>
      <c r="K26" s="70"/>
      <c r="L26" s="70"/>
      <c r="M26" s="70"/>
      <c r="N26" s="72"/>
      <c r="O26" s="72"/>
      <c r="X26" s="92"/>
      <c r="Y26" s="92"/>
    </row>
    <row r="27" spans="2:25" ht="15" customHeight="1">
      <c r="B27" s="70"/>
      <c r="C27" s="71">
        <v>25</v>
      </c>
      <c r="D27" s="70"/>
      <c r="E27" s="73"/>
      <c r="F27" s="79"/>
      <c r="G27" s="72"/>
      <c r="H27" s="70"/>
      <c r="I27" s="70"/>
      <c r="J27" s="70"/>
      <c r="K27" s="70"/>
      <c r="L27" s="70"/>
      <c r="M27" s="70"/>
      <c r="N27" s="72"/>
      <c r="O27" s="72"/>
      <c r="X27" s="92"/>
      <c r="Y27" s="92"/>
    </row>
    <row r="28" spans="2:25" ht="15" customHeight="1">
      <c r="B28" s="70"/>
      <c r="C28" s="71">
        <v>20</v>
      </c>
      <c r="D28" s="70"/>
      <c r="E28" s="79"/>
      <c r="F28" s="79"/>
      <c r="G28" s="72"/>
      <c r="H28" s="70"/>
      <c r="I28" s="70"/>
      <c r="J28" s="70"/>
      <c r="K28" s="91"/>
      <c r="L28" s="70"/>
      <c r="M28" s="70"/>
      <c r="N28" s="72"/>
      <c r="O28" s="72"/>
      <c r="X28" s="92"/>
      <c r="Y28" s="92"/>
    </row>
    <row r="29" spans="2:25" ht="15" customHeight="1">
      <c r="B29" s="70"/>
      <c r="C29" s="71">
        <v>15</v>
      </c>
      <c r="D29" s="70"/>
      <c r="E29" s="78"/>
      <c r="F29" s="72"/>
      <c r="G29" s="72"/>
      <c r="H29" s="70"/>
      <c r="I29" s="70"/>
      <c r="J29" s="70"/>
      <c r="K29" s="70"/>
      <c r="L29" s="70"/>
      <c r="M29" s="70"/>
      <c r="N29" s="72"/>
      <c r="O29" s="72"/>
      <c r="X29" s="92"/>
      <c r="Y29" s="92"/>
    </row>
    <row r="30" spans="2:25" ht="15" customHeight="1">
      <c r="B30" s="70"/>
      <c r="C30" s="71">
        <v>10</v>
      </c>
      <c r="D30" s="72"/>
      <c r="E30" s="80"/>
      <c r="F30" s="72"/>
      <c r="G30" s="72"/>
      <c r="H30" s="72"/>
      <c r="I30" s="72"/>
      <c r="J30" s="70"/>
      <c r="K30" s="70"/>
      <c r="L30" s="70"/>
      <c r="M30" s="70"/>
      <c r="N30" s="72"/>
      <c r="O30" s="72"/>
      <c r="X30" s="92"/>
      <c r="Y30" s="92"/>
    </row>
    <row r="31" spans="2:25" ht="15" customHeight="1">
      <c r="B31" s="70"/>
      <c r="C31" s="71">
        <v>5</v>
      </c>
      <c r="D31" s="81">
        <v>0.06</v>
      </c>
      <c r="E31" s="72"/>
      <c r="F31" s="72"/>
      <c r="G31" s="72"/>
      <c r="H31" s="77"/>
      <c r="I31" s="77"/>
      <c r="J31" s="70"/>
      <c r="K31" s="70"/>
      <c r="L31" s="70"/>
      <c r="M31" s="70"/>
      <c r="N31" s="72"/>
      <c r="O31" s="72"/>
      <c r="X31" s="92"/>
      <c r="Y31" s="92"/>
    </row>
    <row r="32" spans="2:25" ht="15" customHeight="1">
      <c r="C32" s="71">
        <v>0</v>
      </c>
      <c r="D32" s="82"/>
      <c r="X32" s="92"/>
      <c r="Y32" s="92"/>
    </row>
    <row r="33" spans="2:16" ht="15" customHeight="1">
      <c r="C33" s="77"/>
      <c r="D33" s="77" t="s">
        <v>561</v>
      </c>
      <c r="E33" s="77" t="s">
        <v>562</v>
      </c>
      <c r="F33" s="77" t="s">
        <v>563</v>
      </c>
      <c r="G33" s="77" t="s">
        <v>564</v>
      </c>
      <c r="H33" s="77" t="s">
        <v>565</v>
      </c>
      <c r="I33" s="77" t="s">
        <v>566</v>
      </c>
      <c r="J33" s="77" t="s">
        <v>567</v>
      </c>
      <c r="K33" s="77" t="s">
        <v>568</v>
      </c>
      <c r="L33" s="77" t="s">
        <v>569</v>
      </c>
      <c r="M33" s="77" t="s">
        <v>570</v>
      </c>
      <c r="N33" s="77" t="s">
        <v>201</v>
      </c>
      <c r="O33" s="77" t="s">
        <v>571</v>
      </c>
      <c r="P33" s="77"/>
    </row>
    <row r="34" spans="2:16" ht="15" customHeight="1">
      <c r="B34" s="6" t="s">
        <v>100</v>
      </c>
      <c r="H34" s="83"/>
      <c r="I34" s="83"/>
    </row>
    <row r="35" spans="2:16" ht="15" customHeight="1">
      <c r="B35" s="6" t="s">
        <v>572</v>
      </c>
      <c r="D35" s="72"/>
      <c r="H35" s="83"/>
      <c r="I35" s="64"/>
    </row>
    <row r="36" spans="2:16" ht="15" customHeight="1">
      <c r="B36" s="833" t="s">
        <v>573</v>
      </c>
      <c r="C36" s="834"/>
      <c r="D36" s="834"/>
      <c r="E36" s="834"/>
      <c r="F36" s="834"/>
      <c r="G36" s="834"/>
      <c r="H36" s="834"/>
      <c r="I36" s="834"/>
      <c r="J36" s="834"/>
      <c r="K36" s="840" t="s">
        <v>227</v>
      </c>
      <c r="L36" s="835">
        <v>1</v>
      </c>
      <c r="N36" s="837" t="s">
        <v>574</v>
      </c>
      <c r="O36" s="837"/>
      <c r="P36" s="837"/>
    </row>
    <row r="37" spans="2:16" ht="15" customHeight="1">
      <c r="B37" s="838" t="s">
        <v>575</v>
      </c>
      <c r="C37" s="839"/>
      <c r="D37" s="839"/>
      <c r="E37" s="839"/>
      <c r="F37" s="839"/>
      <c r="G37" s="839"/>
      <c r="H37" s="839"/>
      <c r="I37" s="839"/>
      <c r="J37" s="839"/>
      <c r="K37" s="841"/>
      <c r="L37" s="836"/>
      <c r="N37" s="837"/>
      <c r="O37" s="837"/>
      <c r="P37" s="837"/>
    </row>
    <row r="38" spans="2:16" ht="15" customHeight="1"/>
    <row r="39" spans="2:16" ht="15" customHeight="1">
      <c r="B39" s="6" t="s">
        <v>576</v>
      </c>
    </row>
    <row r="40" spans="2:16" ht="15" customHeight="1">
      <c r="B40" s="833" t="s">
        <v>577</v>
      </c>
      <c r="C40" s="834"/>
      <c r="D40" s="834"/>
      <c r="E40" s="834"/>
      <c r="F40" s="834"/>
      <c r="G40" s="834"/>
      <c r="H40" s="834"/>
      <c r="I40" s="834"/>
      <c r="J40" s="834"/>
      <c r="K40" s="840" t="s">
        <v>227</v>
      </c>
      <c r="L40" s="835">
        <v>1</v>
      </c>
      <c r="N40" s="837" t="s">
        <v>578</v>
      </c>
      <c r="O40" s="837"/>
      <c r="P40" s="837"/>
    </row>
    <row r="41" spans="2:16" ht="15" customHeight="1">
      <c r="B41" s="838" t="s">
        <v>575</v>
      </c>
      <c r="C41" s="839"/>
      <c r="D41" s="839"/>
      <c r="E41" s="839"/>
      <c r="F41" s="839"/>
      <c r="G41" s="839"/>
      <c r="H41" s="839"/>
      <c r="I41" s="839"/>
      <c r="J41" s="839"/>
      <c r="K41" s="841"/>
      <c r="L41" s="836"/>
      <c r="N41" s="837"/>
      <c r="O41" s="837"/>
      <c r="P41" s="837"/>
    </row>
    <row r="42" spans="2:16" ht="15" customHeight="1">
      <c r="B42" s="6" t="s">
        <v>105</v>
      </c>
    </row>
    <row r="43" spans="2:16" ht="9.75" customHeight="1">
      <c r="N43" s="6" t="s">
        <v>176</v>
      </c>
    </row>
    <row r="44" spans="2:16" ht="15" customHeight="1">
      <c r="D44" s="10"/>
      <c r="E44" s="10"/>
      <c r="F44" s="11"/>
      <c r="K44" s="406" t="s">
        <v>959</v>
      </c>
      <c r="L44" s="10"/>
      <c r="M44" s="11"/>
    </row>
    <row r="45" spans="2:16" ht="15" customHeight="1">
      <c r="B45" s="6" t="s">
        <v>171</v>
      </c>
    </row>
    <row r="46" spans="2:16" ht="15" customHeight="1">
      <c r="B46" s="362" t="s">
        <v>188</v>
      </c>
      <c r="K46" s="6" t="s">
        <v>178</v>
      </c>
    </row>
    <row r="47" spans="2:16" ht="15" customHeight="1">
      <c r="B47" s="7"/>
    </row>
    <row r="48" spans="2:16" ht="15" customHeight="1">
      <c r="B48" s="7"/>
    </row>
    <row r="49" spans="2:13" ht="15" customHeight="1">
      <c r="B49" s="84" t="str">
        <f>'Prhtngn Mingg Ef(3)'!B87</f>
        <v>Drs. M. Hasannuddin</v>
      </c>
      <c r="D49" s="84"/>
      <c r="E49" s="85"/>
      <c r="F49" s="85"/>
      <c r="K49" s="84" t="str">
        <f>'Prhtngn Mingg Ef(3)'!G87</f>
        <v>Hermawan Rochmadi, S. Pd.</v>
      </c>
      <c r="L49" s="85"/>
      <c r="M49" s="85"/>
    </row>
    <row r="50" spans="2:13" ht="15" customHeight="1">
      <c r="B50" s="67" t="str">
        <f>'Prhtngn Mingg Ef(3)'!B88</f>
        <v>NIP. 19670621 199412 1 003</v>
      </c>
      <c r="D50" s="67"/>
      <c r="E50" s="85"/>
      <c r="F50" s="85"/>
      <c r="J50" s="8"/>
      <c r="K50" s="67" t="str">
        <f>'Prhtngn Mingg Ef(3)'!G88</f>
        <v>NIP. 19920317 201903 1 009</v>
      </c>
      <c r="L50" s="85"/>
      <c r="M50" s="85"/>
    </row>
    <row r="51" spans="2:13" ht="15" customHeight="1"/>
    <row r="52" spans="2:13" ht="15" customHeight="1">
      <c r="B52" s="10" t="s">
        <v>172</v>
      </c>
      <c r="C52" s="11"/>
      <c r="D52" s="10"/>
      <c r="E52" s="11"/>
      <c r="J52" s="8"/>
      <c r="K52" s="10" t="s">
        <v>277</v>
      </c>
      <c r="L52" s="11"/>
    </row>
    <row r="53" spans="2:13" ht="15" customHeight="1">
      <c r="B53" s="10"/>
      <c r="C53" s="11"/>
      <c r="D53" s="10"/>
      <c r="E53" s="11"/>
      <c r="J53" s="8"/>
      <c r="K53" s="10"/>
      <c r="L53" s="11"/>
    </row>
    <row r="54" spans="2:13" ht="15" customHeight="1">
      <c r="B54" s="7"/>
      <c r="C54" s="7"/>
      <c r="D54" s="7"/>
      <c r="E54" s="7"/>
      <c r="J54" s="8"/>
      <c r="K54" s="7"/>
      <c r="L54" s="7"/>
    </row>
    <row r="55" spans="2:13" ht="15" customHeight="1">
      <c r="B55" s="10" t="str">
        <f>'Prhtngn Mingg Ef(3)'!B95</f>
        <v>WIDADA, S.Pd., M.Pd.</v>
      </c>
      <c r="C55" s="11"/>
      <c r="D55" s="84"/>
      <c r="E55" s="11"/>
      <c r="J55" s="8"/>
      <c r="K55" s="12" t="str">
        <f>'Prhtngn Mingg Ef(3)'!G95</f>
        <v>GUNAWAN, S.Pd., M.M.</v>
      </c>
      <c r="L55" s="11"/>
    </row>
    <row r="56" spans="2:13" ht="15" customHeight="1">
      <c r="B56" s="10" t="str">
        <f>'Prhtngn Mingg Ef(3)'!B96</f>
        <v>NIP. 19690212 200012 1 002</v>
      </c>
      <c r="C56" s="11"/>
      <c r="D56" s="10"/>
      <c r="E56" s="11"/>
      <c r="J56" s="8"/>
      <c r="K56" s="12" t="str">
        <f>'Prhtngn Mingg Ef(3)'!G96</f>
        <v>NIP. 19711213 200501 1 004</v>
      </c>
      <c r="L56" s="11"/>
    </row>
  </sheetData>
  <mergeCells count="14">
    <mergeCell ref="L40:L41"/>
    <mergeCell ref="N36:P37"/>
    <mergeCell ref="N40:P41"/>
    <mergeCell ref="B37:J37"/>
    <mergeCell ref="B40:J40"/>
    <mergeCell ref="B41:J41"/>
    <mergeCell ref="K36:K37"/>
    <mergeCell ref="K40:K41"/>
    <mergeCell ref="M1:O1"/>
    <mergeCell ref="M2:O2"/>
    <mergeCell ref="B3:N3"/>
    <mergeCell ref="G12:H12"/>
    <mergeCell ref="B36:J36"/>
    <mergeCell ref="L36:L37"/>
  </mergeCells>
  <pageMargins left="1.0629921259842501" right="0.27559055118110198" top="0.43307086614173201" bottom="0.74803149606299202" header="0.31496062992126" footer="0.31496062992126"/>
  <pageSetup paperSize="5" scale="90" orientation="portrait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N31"/>
  <sheetViews>
    <sheetView topLeftCell="A2" workbookViewId="0">
      <selection activeCell="B14" sqref="B14"/>
    </sheetView>
  </sheetViews>
  <sheetFormatPr defaultColWidth="9.140625" defaultRowHeight="15"/>
  <cols>
    <col min="1" max="1" width="5.5703125" style="6" customWidth="1"/>
    <col min="2" max="2" width="49.140625" style="6" customWidth="1"/>
    <col min="3" max="3" width="9.85546875" style="6" customWidth="1"/>
    <col min="4" max="4" width="6.42578125" style="6" customWidth="1"/>
    <col min="5" max="5" width="8.140625" style="6" customWidth="1"/>
    <col min="6" max="6" width="8.85546875" style="6" customWidth="1"/>
    <col min="7" max="7" width="4" style="6" customWidth="1"/>
    <col min="8" max="16384" width="9.140625" style="6"/>
  </cols>
  <sheetData>
    <row r="1" spans="1:14">
      <c r="E1" s="842" t="s">
        <v>579</v>
      </c>
      <c r="F1" s="842"/>
    </row>
    <row r="2" spans="1:14">
      <c r="B2" s="51"/>
      <c r="E2" s="843">
        <v>41783</v>
      </c>
      <c r="F2" s="843"/>
    </row>
    <row r="3" spans="1:14" ht="18.75">
      <c r="A3" s="636" t="s">
        <v>580</v>
      </c>
      <c r="B3" s="636"/>
      <c r="C3" s="636"/>
      <c r="D3" s="636"/>
      <c r="E3" s="636"/>
      <c r="F3" s="636"/>
      <c r="G3" s="52"/>
      <c r="I3" s="639"/>
      <c r="J3" s="639"/>
      <c r="K3" s="639"/>
      <c r="L3" s="639"/>
      <c r="M3" s="639"/>
      <c r="N3" s="639"/>
    </row>
    <row r="4" spans="1:14" ht="12" customHeight="1">
      <c r="G4" s="53"/>
    </row>
    <row r="5" spans="1:14" ht="16.5" customHeight="1">
      <c r="A5" s="6" t="s">
        <v>3</v>
      </c>
      <c r="C5" s="7" t="str">
        <f>'COVER '!E26</f>
        <v>: Teknik Mesin</v>
      </c>
      <c r="G5" s="53"/>
      <c r="H5" s="7"/>
    </row>
    <row r="6" spans="1:14">
      <c r="A6" s="7" t="s">
        <v>4</v>
      </c>
      <c r="B6" s="8"/>
      <c r="C6" s="7" t="str">
        <f>'COVER '!E27</f>
        <v xml:space="preserve">: Teknik Pemesinan </v>
      </c>
      <c r="E6" s="7"/>
      <c r="F6" s="7"/>
      <c r="H6" s="7"/>
      <c r="I6" s="844"/>
      <c r="J6" s="844"/>
      <c r="K6" s="844"/>
      <c r="L6" s="844"/>
      <c r="M6" s="844"/>
      <c r="N6" s="844"/>
    </row>
    <row r="7" spans="1:14">
      <c r="A7" s="6" t="s">
        <v>5</v>
      </c>
      <c r="B7" s="8"/>
      <c r="C7" s="7" t="str">
        <f>'COVER '!E28</f>
        <v>: Mata Pelajaran Pilihan (CAM)</v>
      </c>
      <c r="E7" s="8"/>
      <c r="F7" s="8"/>
      <c r="H7" s="7"/>
      <c r="I7" s="852"/>
      <c r="J7" s="852"/>
      <c r="K7" s="852"/>
      <c r="L7" s="852"/>
      <c r="M7" s="852"/>
      <c r="N7" s="852"/>
    </row>
    <row r="8" spans="1:14">
      <c r="A8" s="7" t="s">
        <v>6</v>
      </c>
      <c r="B8" s="8"/>
      <c r="C8" s="7" t="str">
        <f>'COVER '!E29</f>
        <v>: F</v>
      </c>
      <c r="E8" s="8"/>
      <c r="F8" s="8"/>
      <c r="H8" s="7"/>
      <c r="I8" s="63"/>
      <c r="J8" s="63"/>
      <c r="K8" s="63"/>
      <c r="L8" s="63"/>
      <c r="M8" s="63"/>
      <c r="N8" s="63"/>
    </row>
    <row r="9" spans="1:14" ht="17.25" customHeight="1">
      <c r="A9" s="6" t="s">
        <v>7</v>
      </c>
      <c r="B9" s="8"/>
      <c r="C9" s="6" t="str">
        <f>'COVER '!E30</f>
        <v>: XI TM3</v>
      </c>
      <c r="E9" s="54"/>
      <c r="F9" s="54"/>
      <c r="H9" s="7"/>
      <c r="I9" s="844"/>
      <c r="J9" s="844"/>
      <c r="K9" s="844"/>
      <c r="L9" s="844"/>
      <c r="M9" s="844"/>
      <c r="N9" s="844"/>
    </row>
    <row r="10" spans="1:14" ht="17.25" customHeight="1">
      <c r="A10" s="6" t="s">
        <v>8</v>
      </c>
      <c r="C10" s="6" t="str">
        <f>'COVER '!E31</f>
        <v>: Gasal</v>
      </c>
      <c r="G10" s="8"/>
      <c r="H10" s="7"/>
    </row>
    <row r="11" spans="1:14" ht="12" customHeight="1" thickBot="1">
      <c r="A11" s="6" t="s">
        <v>10</v>
      </c>
      <c r="C11" s="6" t="str">
        <f>'COVER '!E32</f>
        <v>: 2025/2026</v>
      </c>
      <c r="G11" s="8"/>
      <c r="H11" s="7"/>
    </row>
    <row r="12" spans="1:14">
      <c r="A12" s="845" t="s">
        <v>153</v>
      </c>
      <c r="B12" s="848" t="s">
        <v>581</v>
      </c>
      <c r="C12" s="850" t="s">
        <v>208</v>
      </c>
      <c r="D12" s="850" t="s">
        <v>183</v>
      </c>
      <c r="E12" s="853" t="s">
        <v>209</v>
      </c>
      <c r="F12" s="854"/>
      <c r="G12" s="8"/>
      <c r="I12" s="617"/>
      <c r="J12" s="617"/>
      <c r="K12" s="847"/>
      <c r="L12" s="847"/>
      <c r="M12" s="617"/>
      <c r="N12" s="617"/>
    </row>
    <row r="13" spans="1:14" ht="21.75" thickBot="1">
      <c r="A13" s="846"/>
      <c r="B13" s="849"/>
      <c r="C13" s="851"/>
      <c r="D13" s="851"/>
      <c r="E13" s="428" t="s">
        <v>210</v>
      </c>
      <c r="F13" s="429" t="s">
        <v>211</v>
      </c>
      <c r="G13" s="7"/>
      <c r="I13" s="617"/>
      <c r="J13" s="617"/>
      <c r="K13" s="847"/>
      <c r="L13" s="847"/>
      <c r="M13" s="65"/>
      <c r="N13" s="65"/>
    </row>
    <row r="14" spans="1:14" ht="23.45" customHeight="1">
      <c r="A14" s="357">
        <v>1</v>
      </c>
      <c r="B14" s="427" t="s">
        <v>967</v>
      </c>
      <c r="C14" s="430" t="s">
        <v>966</v>
      </c>
      <c r="D14" s="58">
        <v>20</v>
      </c>
      <c r="E14" s="58">
        <v>20</v>
      </c>
      <c r="F14" s="357">
        <v>0</v>
      </c>
    </row>
    <row r="15" spans="1:14" s="7" customFormat="1" ht="31.5" customHeight="1">
      <c r="A15" s="59"/>
      <c r="B15" s="60" t="s">
        <v>187</v>
      </c>
      <c r="C15" s="60"/>
      <c r="D15" s="61">
        <f>SUM(D14:D14)</f>
        <v>20</v>
      </c>
      <c r="E15" s="61">
        <f>SUM(E14:E14)</f>
        <v>20</v>
      </c>
      <c r="F15" s="358">
        <f>F14</f>
        <v>0</v>
      </c>
    </row>
    <row r="16" spans="1:14" ht="12" customHeight="1"/>
    <row r="17" spans="2:7">
      <c r="C17" s="361" t="s">
        <v>961</v>
      </c>
    </row>
    <row r="18" spans="2:7">
      <c r="B18" s="6" t="s">
        <v>171</v>
      </c>
    </row>
    <row r="19" spans="2:7">
      <c r="B19" s="7" t="s">
        <v>388</v>
      </c>
      <c r="C19" s="6" t="s">
        <v>178</v>
      </c>
    </row>
    <row r="20" spans="2:7">
      <c r="B20" s="7"/>
    </row>
    <row r="21" spans="2:7">
      <c r="B21" s="7"/>
      <c r="C21" s="8"/>
    </row>
    <row r="22" spans="2:7">
      <c r="B22" s="7"/>
    </row>
    <row r="23" spans="2:7">
      <c r="B23" s="9"/>
      <c r="C23" s="9"/>
    </row>
    <row r="24" spans="2:7">
      <c r="B24" s="7" t="s">
        <v>291</v>
      </c>
      <c r="C24" s="7" t="s">
        <v>291</v>
      </c>
    </row>
    <row r="26" spans="2:7">
      <c r="B26" s="10" t="s">
        <v>172</v>
      </c>
      <c r="C26" s="10" t="s">
        <v>229</v>
      </c>
      <c r="E26" s="11"/>
      <c r="G26" s="7"/>
    </row>
    <row r="27" spans="2:7">
      <c r="B27" s="10"/>
      <c r="C27" s="10"/>
      <c r="E27" s="11"/>
      <c r="G27" s="7"/>
    </row>
    <row r="28" spans="2:7">
      <c r="B28" s="10"/>
      <c r="C28" s="10"/>
      <c r="E28" s="11"/>
      <c r="G28" s="7"/>
    </row>
    <row r="29" spans="2:7">
      <c r="B29" s="7"/>
      <c r="C29" s="7"/>
      <c r="E29" s="7"/>
      <c r="G29" s="7"/>
    </row>
    <row r="30" spans="2:7">
      <c r="B30" s="10" t="s">
        <v>582</v>
      </c>
      <c r="C30" s="12" t="s">
        <v>279</v>
      </c>
      <c r="E30" s="11"/>
      <c r="G30" s="7"/>
    </row>
    <row r="31" spans="2:7">
      <c r="B31" s="10" t="s">
        <v>280</v>
      </c>
      <c r="C31" s="12" t="s">
        <v>281</v>
      </c>
      <c r="E31" s="11"/>
      <c r="G31" s="7"/>
    </row>
  </sheetData>
  <mergeCells count="17">
    <mergeCell ref="I7:N7"/>
    <mergeCell ref="I9:N9"/>
    <mergeCell ref="E12:F12"/>
    <mergeCell ref="M12:N12"/>
    <mergeCell ref="A12:A13"/>
    <mergeCell ref="I12:I13"/>
    <mergeCell ref="J12:J13"/>
    <mergeCell ref="K12:K13"/>
    <mergeCell ref="L12:L13"/>
    <mergeCell ref="B12:B13"/>
    <mergeCell ref="C12:C13"/>
    <mergeCell ref="D12:D13"/>
    <mergeCell ref="E1:F1"/>
    <mergeCell ref="E2:F2"/>
    <mergeCell ref="A3:F3"/>
    <mergeCell ref="I3:N3"/>
    <mergeCell ref="I6:N6"/>
  </mergeCells>
  <pageMargins left="0.70866141732283505" right="0.70866141732283505" top="0.43307086614173201" bottom="0.43307086614173201" header="0.31496062992126" footer="0.31496062992126"/>
  <pageSetup paperSize="5" scale="95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36"/>
  <sheetViews>
    <sheetView topLeftCell="A12" workbookViewId="0">
      <selection activeCell="L22" sqref="L22"/>
    </sheetView>
  </sheetViews>
  <sheetFormatPr defaultColWidth="9" defaultRowHeight="15"/>
  <cols>
    <col min="1" max="1" width="4.140625" customWidth="1"/>
    <col min="2" max="2" width="11.140625" customWidth="1"/>
    <col min="3" max="3" width="5.28515625" style="1" customWidth="1"/>
    <col min="4" max="4" width="6.85546875" customWidth="1"/>
    <col min="5" max="5" width="6" customWidth="1"/>
    <col min="6" max="6" width="6.28515625" customWidth="1"/>
    <col min="7" max="7" width="5.28515625" customWidth="1"/>
    <col min="8" max="8" width="7" customWidth="1"/>
    <col min="9" max="9" width="5.42578125" customWidth="1"/>
    <col min="10" max="11" width="5.28515625" customWidth="1"/>
    <col min="12" max="12" width="8.7109375" customWidth="1"/>
    <col min="13" max="13" width="8.42578125" customWidth="1"/>
    <col min="14" max="14" width="12.7109375" customWidth="1"/>
  </cols>
  <sheetData>
    <row r="1" spans="1:14">
      <c r="M1" s="842" t="s">
        <v>256</v>
      </c>
      <c r="N1" s="842"/>
    </row>
    <row r="2" spans="1:14">
      <c r="M2" s="843">
        <v>43636</v>
      </c>
      <c r="N2" s="843"/>
    </row>
    <row r="3" spans="1:14" ht="21">
      <c r="A3" s="855" t="s">
        <v>583</v>
      </c>
      <c r="B3" s="855"/>
      <c r="C3" s="855"/>
      <c r="D3" s="855"/>
      <c r="E3" s="855"/>
      <c r="F3" s="855"/>
      <c r="G3" s="855"/>
      <c r="H3" s="855"/>
      <c r="I3" s="855"/>
      <c r="J3" s="855"/>
      <c r="K3" s="855"/>
      <c r="L3" s="855"/>
      <c r="M3" s="855"/>
      <c r="N3" s="855"/>
    </row>
    <row r="4" spans="1:14" ht="21">
      <c r="A4" s="856" t="s">
        <v>584</v>
      </c>
      <c r="B4" s="856"/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  <c r="N4" s="856"/>
    </row>
    <row r="5" spans="1:14" s="45" customFormat="1" ht="15.75">
      <c r="A5" s="860" t="s">
        <v>205</v>
      </c>
      <c r="B5" s="862" t="s">
        <v>585</v>
      </c>
      <c r="C5" s="864" t="s">
        <v>586</v>
      </c>
      <c r="D5" s="857" t="s">
        <v>587</v>
      </c>
      <c r="E5" s="858"/>
      <c r="F5" s="858"/>
      <c r="G5" s="859"/>
      <c r="H5" s="857" t="s">
        <v>588</v>
      </c>
      <c r="I5" s="858"/>
      <c r="J5" s="858"/>
      <c r="K5" s="859"/>
      <c r="L5" s="862" t="s">
        <v>589</v>
      </c>
      <c r="M5" s="862" t="s">
        <v>590</v>
      </c>
      <c r="N5" s="866" t="s">
        <v>591</v>
      </c>
    </row>
    <row r="6" spans="1:14" ht="30">
      <c r="A6" s="861"/>
      <c r="B6" s="863"/>
      <c r="C6" s="865"/>
      <c r="D6" s="46" t="s">
        <v>592</v>
      </c>
      <c r="E6" s="47" t="s">
        <v>593</v>
      </c>
      <c r="F6" s="46" t="s">
        <v>594</v>
      </c>
      <c r="G6" s="46" t="s">
        <v>270</v>
      </c>
      <c r="H6" s="46" t="s">
        <v>592</v>
      </c>
      <c r="I6" s="47" t="s">
        <v>593</v>
      </c>
      <c r="J6" s="46" t="s">
        <v>594</v>
      </c>
      <c r="K6" s="46" t="s">
        <v>270</v>
      </c>
      <c r="L6" s="863"/>
      <c r="M6" s="863"/>
      <c r="N6" s="867"/>
    </row>
    <row r="7" spans="1:14">
      <c r="A7" s="48">
        <v>1</v>
      </c>
      <c r="B7" s="49" t="s">
        <v>595</v>
      </c>
      <c r="C7" s="48">
        <v>1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1:14">
      <c r="A8" s="4"/>
      <c r="B8" s="39"/>
      <c r="C8" s="4">
        <v>2</v>
      </c>
      <c r="D8" s="39"/>
      <c r="E8" s="39"/>
      <c r="F8" s="39"/>
      <c r="G8" s="50"/>
      <c r="H8" s="39"/>
      <c r="I8" s="39"/>
      <c r="J8" s="39"/>
      <c r="K8" s="39"/>
      <c r="L8" s="39"/>
      <c r="M8" s="39"/>
      <c r="N8" s="39"/>
    </row>
    <row r="9" spans="1:14">
      <c r="A9" s="4"/>
      <c r="B9" s="39"/>
      <c r="C9" s="4">
        <v>3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4">
      <c r="A10" s="4"/>
      <c r="B10" s="39"/>
      <c r="C10" s="4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</row>
    <row r="11" spans="1:14">
      <c r="A11" s="4">
        <v>2</v>
      </c>
      <c r="B11" s="39" t="s">
        <v>596</v>
      </c>
      <c r="C11" s="4">
        <v>1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2" spans="1:14">
      <c r="A12" s="4"/>
      <c r="B12" s="39"/>
      <c r="C12" s="4">
        <v>2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1:14">
      <c r="A13" s="4"/>
      <c r="B13" s="39"/>
      <c r="C13" s="4">
        <v>3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>
      <c r="A14" s="4"/>
      <c r="B14" s="39"/>
      <c r="C14" s="4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  <row r="15" spans="1:14">
      <c r="A15" s="4">
        <v>3</v>
      </c>
      <c r="B15" s="39" t="s">
        <v>597</v>
      </c>
      <c r="C15" s="4">
        <v>1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>
      <c r="A16" s="4"/>
      <c r="B16" s="39"/>
      <c r="C16" s="4">
        <v>2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1:15">
      <c r="A17" s="4"/>
      <c r="B17" s="39"/>
      <c r="C17" s="4">
        <v>1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8" spans="1:15">
      <c r="A18" s="4"/>
      <c r="B18" s="39"/>
      <c r="C18" s="4">
        <v>2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</row>
    <row r="19" spans="1:15">
      <c r="A19" s="4"/>
      <c r="B19" s="4" t="s">
        <v>598</v>
      </c>
      <c r="C19" s="4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</row>
    <row r="22" spans="1:15">
      <c r="L22" s="6" t="s">
        <v>599</v>
      </c>
      <c r="M22" s="6"/>
      <c r="N22" s="6"/>
      <c r="O22" s="6"/>
    </row>
    <row r="23" spans="1:15">
      <c r="B23" s="6" t="s">
        <v>171</v>
      </c>
      <c r="L23" s="6"/>
      <c r="M23" s="6"/>
      <c r="N23" s="6"/>
      <c r="O23" s="6"/>
    </row>
    <row r="24" spans="1:15">
      <c r="B24" s="7" t="s">
        <v>388</v>
      </c>
      <c r="L24" s="6" t="s">
        <v>178</v>
      </c>
      <c r="M24" s="6"/>
      <c r="N24" s="6"/>
      <c r="O24" s="6"/>
    </row>
    <row r="25" spans="1:15">
      <c r="B25" s="7"/>
      <c r="L25" s="6"/>
      <c r="M25" s="6"/>
      <c r="N25" s="6"/>
      <c r="O25" s="6"/>
    </row>
    <row r="26" spans="1:15">
      <c r="B26" s="7"/>
      <c r="L26" s="8"/>
      <c r="M26" s="6"/>
      <c r="N26" s="6"/>
      <c r="O26" s="6"/>
    </row>
    <row r="27" spans="1:15">
      <c r="B27" s="7"/>
      <c r="L27" s="6"/>
      <c r="M27" s="6"/>
      <c r="N27" s="6"/>
      <c r="O27" s="6"/>
    </row>
    <row r="28" spans="1:15">
      <c r="B28" s="9"/>
      <c r="L28" s="9"/>
      <c r="M28" s="6"/>
      <c r="N28" s="6"/>
      <c r="O28" s="6"/>
    </row>
    <row r="29" spans="1:15">
      <c r="B29" s="7" t="s">
        <v>291</v>
      </c>
      <c r="L29" s="7" t="s">
        <v>291</v>
      </c>
      <c r="M29" s="6"/>
      <c r="N29" s="6"/>
      <c r="O29" s="6"/>
    </row>
    <row r="30" spans="1:15">
      <c r="B30" s="6"/>
      <c r="L30" s="6"/>
      <c r="M30" s="6"/>
      <c r="N30" s="6"/>
      <c r="O30" s="6"/>
    </row>
    <row r="31" spans="1:15">
      <c r="B31" s="10" t="s">
        <v>172</v>
      </c>
      <c r="L31" s="10" t="s">
        <v>229</v>
      </c>
      <c r="M31" s="6"/>
      <c r="N31" s="11"/>
      <c r="O31" s="6"/>
    </row>
    <row r="32" spans="1:15">
      <c r="B32" s="10"/>
      <c r="L32" s="10"/>
      <c r="M32" s="6"/>
      <c r="N32" s="11"/>
      <c r="O32" s="6"/>
    </row>
    <row r="33" spans="2:15">
      <c r="B33" s="10"/>
      <c r="L33" s="10"/>
      <c r="M33" s="6"/>
      <c r="N33" s="11"/>
      <c r="O33" s="6"/>
    </row>
    <row r="34" spans="2:15">
      <c r="B34" s="7"/>
      <c r="L34" s="7"/>
      <c r="M34" s="6"/>
      <c r="N34" s="7"/>
      <c r="O34" s="6"/>
    </row>
    <row r="35" spans="2:15">
      <c r="B35" s="10" t="s">
        <v>582</v>
      </c>
      <c r="L35" s="12" t="s">
        <v>279</v>
      </c>
      <c r="M35" s="6"/>
      <c r="N35" s="11"/>
      <c r="O35" s="6"/>
    </row>
    <row r="36" spans="2:15">
      <c r="B36" s="10" t="s">
        <v>280</v>
      </c>
      <c r="L36" s="12" t="s">
        <v>281</v>
      </c>
      <c r="M36" s="6"/>
      <c r="N36" s="11"/>
      <c r="O36" s="6"/>
    </row>
  </sheetData>
  <mergeCells count="12">
    <mergeCell ref="M1:N1"/>
    <mergeCell ref="M2:N2"/>
    <mergeCell ref="A3:N3"/>
    <mergeCell ref="A4:N4"/>
    <mergeCell ref="D5:G5"/>
    <mergeCell ref="H5:K5"/>
    <mergeCell ref="A5:A6"/>
    <mergeCell ref="B5:B6"/>
    <mergeCell ref="C5:C6"/>
    <mergeCell ref="L5:L6"/>
    <mergeCell ref="M5:M6"/>
    <mergeCell ref="N5:N6"/>
  </mergeCells>
  <pageMargins left="0.511811023622047" right="0.31496062992126" top="0.55118110236220497" bottom="1.33858267716535" header="0.31496062992126" footer="0.31496062992126"/>
  <pageSetup paperSize="5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55"/>
  <sheetViews>
    <sheetView workbookViewId="0">
      <selection activeCell="A6" sqref="A6:A12"/>
    </sheetView>
  </sheetViews>
  <sheetFormatPr defaultColWidth="9" defaultRowHeight="15"/>
  <cols>
    <col min="1" max="1" width="4.85546875" customWidth="1"/>
    <col min="15" max="15" width="12.140625" customWidth="1"/>
  </cols>
  <sheetData>
    <row r="1" spans="1:12">
      <c r="K1" s="842" t="s">
        <v>600</v>
      </c>
      <c r="L1" s="842"/>
    </row>
    <row r="2" spans="1:12">
      <c r="K2" s="843">
        <v>45117</v>
      </c>
      <c r="L2" s="843"/>
    </row>
    <row r="4" spans="1:12">
      <c r="A4" s="868" t="s">
        <v>601</v>
      </c>
      <c r="B4" s="868"/>
      <c r="C4" s="868"/>
      <c r="D4" s="868"/>
      <c r="E4" s="868"/>
      <c r="F4" s="868"/>
      <c r="G4" s="868"/>
      <c r="H4" s="868"/>
      <c r="I4" s="868"/>
      <c r="J4" s="868"/>
      <c r="K4" s="868"/>
    </row>
    <row r="5" spans="1:12">
      <c r="A5" s="869" t="s">
        <v>960</v>
      </c>
      <c r="B5" s="868"/>
      <c r="C5" s="868"/>
      <c r="D5" s="868"/>
      <c r="E5" s="868"/>
      <c r="F5" s="868"/>
      <c r="G5" s="868"/>
      <c r="H5" s="868"/>
      <c r="I5" s="868"/>
      <c r="J5" s="868"/>
      <c r="K5" s="868"/>
    </row>
    <row r="6" spans="1:12">
      <c r="A6" s="6" t="s">
        <v>3</v>
      </c>
      <c r="B6" s="407"/>
      <c r="C6" s="14"/>
      <c r="D6" t="str">
        <f>'COVER '!E26</f>
        <v>: Teknik Mesin</v>
      </c>
    </row>
    <row r="7" spans="1:12">
      <c r="A7" s="7" t="s">
        <v>4</v>
      </c>
      <c r="B7" s="407"/>
      <c r="C7" s="14"/>
      <c r="D7" t="str">
        <f>'COVER '!E27</f>
        <v xml:space="preserve">: Teknik Pemesinan </v>
      </c>
    </row>
    <row r="8" spans="1:12">
      <c r="A8" s="6" t="s">
        <v>5</v>
      </c>
      <c r="B8" s="407"/>
      <c r="D8" t="str">
        <f>'COVER '!E28</f>
        <v>: Mata Pelajaran Pilihan (CAM)</v>
      </c>
      <c r="E8" s="14"/>
    </row>
    <row r="9" spans="1:12">
      <c r="A9" s="7" t="s">
        <v>6</v>
      </c>
      <c r="B9" s="407"/>
      <c r="D9" t="str">
        <f>'COVER '!E29</f>
        <v>: F</v>
      </c>
      <c r="E9" s="14"/>
    </row>
    <row r="10" spans="1:12">
      <c r="A10" s="6" t="s">
        <v>7</v>
      </c>
      <c r="B10" s="408"/>
      <c r="D10" t="str">
        <f>'COVER '!E30</f>
        <v>: XI TM3</v>
      </c>
    </row>
    <row r="11" spans="1:12">
      <c r="A11" s="6" t="s">
        <v>8</v>
      </c>
      <c r="B11" s="408"/>
      <c r="D11" t="str">
        <f>'COVER '!E31</f>
        <v>: Gasal</v>
      </c>
    </row>
    <row r="12" spans="1:12">
      <c r="A12" s="6" t="s">
        <v>10</v>
      </c>
      <c r="D12" t="str">
        <f>'COVER '!E32</f>
        <v>: 2025/2026</v>
      </c>
    </row>
    <row r="14" spans="1:12" ht="28.5" customHeight="1">
      <c r="A14" s="871" t="s">
        <v>205</v>
      </c>
      <c r="B14" s="873" t="s">
        <v>311</v>
      </c>
      <c r="C14" s="5" t="s">
        <v>603</v>
      </c>
      <c r="D14" s="5" t="s">
        <v>604</v>
      </c>
      <c r="E14" s="5" t="s">
        <v>605</v>
      </c>
      <c r="F14" s="5" t="s">
        <v>606</v>
      </c>
      <c r="G14" s="5" t="s">
        <v>607</v>
      </c>
      <c r="H14" s="5" t="s">
        <v>608</v>
      </c>
      <c r="I14" s="5" t="s">
        <v>609</v>
      </c>
      <c r="J14" s="5" t="s">
        <v>610</v>
      </c>
      <c r="K14" s="5" t="s">
        <v>611</v>
      </c>
      <c r="L14" s="5" t="s">
        <v>612</v>
      </c>
    </row>
    <row r="15" spans="1:12" ht="30.75" customHeight="1">
      <c r="A15" s="871"/>
      <c r="B15" s="873"/>
      <c r="C15" s="5" t="s">
        <v>613</v>
      </c>
      <c r="D15" s="5" t="s">
        <v>614</v>
      </c>
      <c r="E15" s="5" t="s">
        <v>615</v>
      </c>
      <c r="F15" s="5" t="s">
        <v>616</v>
      </c>
      <c r="G15" s="5" t="s">
        <v>617</v>
      </c>
      <c r="H15" s="40" t="s">
        <v>618</v>
      </c>
      <c r="I15" s="40" t="s">
        <v>619</v>
      </c>
      <c r="J15" s="5" t="s">
        <v>620</v>
      </c>
      <c r="K15" s="5" t="s">
        <v>621</v>
      </c>
      <c r="L15" s="40" t="s">
        <v>622</v>
      </c>
    </row>
    <row r="16" spans="1:12">
      <c r="A16" s="871">
        <v>1</v>
      </c>
      <c r="B16" s="41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5">
      <c r="A17" s="871"/>
      <c r="B17" s="42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5">
      <c r="A18" s="871">
        <v>2</v>
      </c>
      <c r="B18" s="41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5">
      <c r="A19" s="871"/>
      <c r="B19" s="42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5">
      <c r="A20" s="871">
        <v>3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5">
      <c r="A21" s="871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5" ht="16.5" customHeight="1">
      <c r="A22" s="871">
        <v>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O22" s="14" t="s">
        <v>100</v>
      </c>
    </row>
    <row r="23" spans="1:15">
      <c r="A23" s="871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5">
      <c r="A24" s="871">
        <v>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5">
      <c r="A25" s="871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spans="1:15">
      <c r="A26" s="871">
        <v>6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1:15">
      <c r="A27" s="871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5">
      <c r="A28" s="871">
        <v>7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5">
      <c r="A29" s="871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5">
      <c r="A30" s="872" t="s">
        <v>623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pans="1:15">
      <c r="A31" s="872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5">
      <c r="A32" s="1"/>
    </row>
    <row r="33" spans="1:11">
      <c r="A33" s="870" t="s">
        <v>100</v>
      </c>
      <c r="B33" s="870"/>
      <c r="C33" s="870"/>
    </row>
    <row r="34" spans="1:11">
      <c r="A34" s="43" t="s">
        <v>624</v>
      </c>
      <c r="F34" s="43" t="s">
        <v>625</v>
      </c>
    </row>
    <row r="35" spans="1:11">
      <c r="A35" s="30" t="s">
        <v>626</v>
      </c>
      <c r="F35" s="30" t="s">
        <v>627</v>
      </c>
    </row>
    <row r="36" spans="1:11">
      <c r="A36" s="30" t="s">
        <v>628</v>
      </c>
      <c r="F36" s="30" t="s">
        <v>629</v>
      </c>
    </row>
    <row r="37" spans="1:11">
      <c r="A37" s="30" t="s">
        <v>630</v>
      </c>
      <c r="F37" s="30" t="s">
        <v>631</v>
      </c>
    </row>
    <row r="38" spans="1:11">
      <c r="A38" s="30" t="s">
        <v>632</v>
      </c>
      <c r="F38" s="30" t="s">
        <v>633</v>
      </c>
    </row>
    <row r="39" spans="1:11">
      <c r="A39" s="30" t="s">
        <v>634</v>
      </c>
    </row>
    <row r="41" spans="1:11">
      <c r="I41" s="361" t="s">
        <v>961</v>
      </c>
      <c r="J41" s="6"/>
      <c r="K41" s="6"/>
    </row>
    <row r="42" spans="1:11">
      <c r="B42" s="6" t="s">
        <v>171</v>
      </c>
      <c r="C42" s="1"/>
      <c r="I42" s="6"/>
      <c r="J42" s="6"/>
      <c r="K42" s="6"/>
    </row>
    <row r="43" spans="1:11">
      <c r="B43" s="362" t="s">
        <v>188</v>
      </c>
      <c r="C43" s="1"/>
      <c r="I43" s="6" t="s">
        <v>178</v>
      </c>
      <c r="J43" s="6"/>
      <c r="K43" s="6"/>
    </row>
    <row r="44" spans="1:11">
      <c r="B44" s="7"/>
      <c r="C44" s="1"/>
      <c r="I44" s="6"/>
      <c r="J44" s="6"/>
      <c r="K44" s="6"/>
    </row>
    <row r="45" spans="1:11">
      <c r="B45" s="7"/>
      <c r="C45" s="1"/>
      <c r="I45" s="8"/>
      <c r="J45" s="6"/>
      <c r="K45" s="6"/>
    </row>
    <row r="46" spans="1:11">
      <c r="B46" s="7"/>
      <c r="C46" s="1"/>
      <c r="I46" s="6"/>
      <c r="J46" s="6"/>
      <c r="K46" s="6"/>
    </row>
    <row r="47" spans="1:11">
      <c r="B47" s="9" t="str">
        <f>'Prhtngn Mingg Ef(3)'!B87</f>
        <v>Drs. M. Hasannuddin</v>
      </c>
      <c r="C47" s="1"/>
      <c r="I47" s="9" t="str">
        <f>'Prhtngn Mingg Ef(3)'!G87</f>
        <v>Hermawan Rochmadi, S. Pd.</v>
      </c>
      <c r="J47" s="6"/>
      <c r="K47" s="6"/>
    </row>
    <row r="48" spans="1:11">
      <c r="B48" s="7" t="str">
        <f>'Prhtngn Mingg Ef(3)'!B88</f>
        <v>NIP. 19670621 199412 1 003</v>
      </c>
      <c r="C48" s="1"/>
      <c r="I48" s="7" t="str">
        <f>'Prhtngn Mingg Ef(3)'!G88</f>
        <v>NIP. 19920317 201903 1 009</v>
      </c>
      <c r="J48" s="6"/>
      <c r="K48" s="6"/>
    </row>
    <row r="49" spans="2:11">
      <c r="B49" s="6"/>
      <c r="C49" s="1"/>
      <c r="I49" s="6"/>
      <c r="J49" s="6"/>
      <c r="K49" s="6"/>
    </row>
    <row r="50" spans="2:11">
      <c r="B50" s="10" t="s">
        <v>172</v>
      </c>
      <c r="C50" s="1"/>
      <c r="I50" s="10" t="s">
        <v>229</v>
      </c>
      <c r="J50" s="6"/>
      <c r="K50" s="11"/>
    </row>
    <row r="51" spans="2:11">
      <c r="B51" s="10"/>
      <c r="C51" s="1"/>
      <c r="I51" s="10"/>
      <c r="J51" s="6"/>
      <c r="K51" s="11"/>
    </row>
    <row r="52" spans="2:11">
      <c r="B52" s="10"/>
      <c r="C52" s="1"/>
      <c r="I52" s="10"/>
      <c r="J52" s="6"/>
      <c r="K52" s="11"/>
    </row>
    <row r="53" spans="2:11">
      <c r="B53" s="7"/>
      <c r="C53" s="1"/>
      <c r="I53" s="7"/>
      <c r="J53" s="6"/>
      <c r="K53" s="7"/>
    </row>
    <row r="54" spans="2:11">
      <c r="B54" s="10" t="str">
        <f>'Prhtngn Mingg Ef(3)'!B95</f>
        <v>WIDADA, S.Pd., M.Pd.</v>
      </c>
      <c r="C54" s="1"/>
      <c r="I54" s="12" t="str">
        <f>'Prhtngn Mingg Ef(3)'!G95</f>
        <v>GUNAWAN, S.Pd., M.M.</v>
      </c>
      <c r="J54" s="6"/>
      <c r="K54" s="11"/>
    </row>
    <row r="55" spans="2:11">
      <c r="B55" s="10" t="str">
        <f>'Prhtngn Mingg Ef(3)'!B96</f>
        <v>NIP. 19690212 200012 1 002</v>
      </c>
      <c r="C55" s="1"/>
      <c r="I55" s="12" t="str">
        <f>'Prhtngn Mingg Ef(3)'!G96</f>
        <v>NIP. 19711213 200501 1 004</v>
      </c>
      <c r="J55" s="6"/>
      <c r="K55" s="11"/>
    </row>
  </sheetData>
  <mergeCells count="15">
    <mergeCell ref="K1:L1"/>
    <mergeCell ref="K2:L2"/>
    <mergeCell ref="A4:K4"/>
    <mergeCell ref="A5:K5"/>
    <mergeCell ref="A33:C3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B14:B15"/>
  </mergeCells>
  <pageMargins left="0.511811023622047" right="0.31496062992126" top="0.74803149606299202" bottom="1.33858267716535" header="0.31496062992126" footer="0.31496062992126"/>
  <pageSetup paperSize="5" scale="90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51"/>
  <sheetViews>
    <sheetView workbookViewId="0">
      <selection activeCell="A5" sqref="A5:B5"/>
    </sheetView>
  </sheetViews>
  <sheetFormatPr defaultColWidth="9" defaultRowHeight="15"/>
  <cols>
    <col min="1" max="1" width="4.140625" customWidth="1"/>
    <col min="2" max="2" width="16.42578125" customWidth="1"/>
    <col min="3" max="3" width="7" customWidth="1"/>
    <col min="4" max="4" width="3.42578125" customWidth="1"/>
    <col min="5" max="5" width="2.28515625" customWidth="1"/>
    <col min="6" max="6" width="4.140625" customWidth="1"/>
    <col min="7" max="7" width="2.85546875" customWidth="1"/>
    <col min="8" max="8" width="2.28515625" customWidth="1"/>
    <col min="9" max="9" width="3.7109375" customWidth="1"/>
    <col min="10" max="10" width="3.140625" customWidth="1"/>
    <col min="11" max="11" width="2.140625" customWidth="1"/>
    <col min="12" max="12" width="4.42578125" customWidth="1"/>
    <col min="13" max="13" width="3.5703125" customWidth="1"/>
    <col min="14" max="14" width="2.85546875" customWidth="1"/>
    <col min="15" max="15" width="4" customWidth="1"/>
    <col min="16" max="16" width="3" customWidth="1"/>
    <col min="17" max="17" width="2.140625" customWidth="1"/>
    <col min="18" max="18" width="4" customWidth="1"/>
    <col min="19" max="19" width="3.5703125" customWidth="1"/>
    <col min="20" max="20" width="2.42578125" customWidth="1"/>
    <col min="21" max="21" width="4.28515625" customWidth="1"/>
    <col min="22" max="22" width="3.140625" customWidth="1"/>
    <col min="23" max="23" width="2.42578125" customWidth="1"/>
    <col min="24" max="24" width="3.7109375" customWidth="1"/>
    <col min="25" max="25" width="5" customWidth="1"/>
    <col min="26" max="26" width="3" customWidth="1"/>
    <col min="27" max="27" width="5.28515625" customWidth="1"/>
    <col min="28" max="28" width="3.42578125" customWidth="1"/>
  </cols>
  <sheetData>
    <row r="1" spans="1:35">
      <c r="Y1" s="746" t="s">
        <v>635</v>
      </c>
      <c r="Z1" s="874"/>
      <c r="AA1" s="874"/>
      <c r="AB1" s="747"/>
    </row>
    <row r="2" spans="1:35">
      <c r="Y2" s="843">
        <v>43636</v>
      </c>
      <c r="Z2" s="843"/>
      <c r="AA2" s="843"/>
      <c r="AB2" s="843"/>
    </row>
    <row r="3" spans="1:35">
      <c r="A3" s="875" t="s">
        <v>636</v>
      </c>
      <c r="B3" s="875"/>
      <c r="C3" s="875"/>
      <c r="D3" s="875"/>
      <c r="E3" s="875"/>
      <c r="F3" s="875"/>
      <c r="G3" s="875"/>
      <c r="H3" s="875"/>
      <c r="I3" s="875"/>
      <c r="J3" s="875"/>
      <c r="K3" s="875"/>
      <c r="L3" s="875"/>
      <c r="M3" s="875"/>
      <c r="N3" s="875"/>
      <c r="O3" s="875"/>
      <c r="P3" s="875"/>
      <c r="Q3" s="875"/>
      <c r="R3" s="875"/>
      <c r="S3" s="875"/>
      <c r="T3" s="875"/>
      <c r="U3" s="875"/>
      <c r="V3" s="875"/>
      <c r="W3" s="875"/>
      <c r="X3" s="875"/>
      <c r="Y3" s="875"/>
      <c r="Z3" s="875"/>
      <c r="AA3" s="875"/>
      <c r="AB3" s="875"/>
    </row>
    <row r="4" spans="1:35">
      <c r="A4" s="870" t="s">
        <v>3</v>
      </c>
      <c r="B4" s="870"/>
      <c r="C4" s="2" t="s">
        <v>13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35">
      <c r="A5" s="870" t="s">
        <v>5</v>
      </c>
      <c r="B5" s="870"/>
      <c r="C5" s="2" t="s">
        <v>13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35">
      <c r="A6" s="870" t="s">
        <v>602</v>
      </c>
      <c r="B6" s="870"/>
      <c r="C6" s="2" t="s">
        <v>13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35">
      <c r="A7" s="876" t="s">
        <v>8</v>
      </c>
      <c r="B7" s="876"/>
      <c r="C7" s="2" t="s">
        <v>13</v>
      </c>
    </row>
    <row r="8" spans="1:35">
      <c r="A8" s="883" t="s">
        <v>192</v>
      </c>
      <c r="B8" s="883" t="s">
        <v>547</v>
      </c>
      <c r="C8" s="36"/>
      <c r="D8" s="877" t="s">
        <v>637</v>
      </c>
      <c r="E8" s="878"/>
      <c r="F8" s="879"/>
      <c r="G8" s="877" t="s">
        <v>604</v>
      </c>
      <c r="H8" s="878"/>
      <c r="I8" s="879"/>
      <c r="J8" s="877" t="s">
        <v>605</v>
      </c>
      <c r="K8" s="878"/>
      <c r="L8" s="879"/>
      <c r="M8" s="877" t="s">
        <v>606</v>
      </c>
      <c r="N8" s="878"/>
      <c r="O8" s="879"/>
      <c r="P8" s="877" t="s">
        <v>638</v>
      </c>
      <c r="Q8" s="878"/>
      <c r="R8" s="879"/>
      <c r="S8" s="877" t="s">
        <v>639</v>
      </c>
      <c r="T8" s="878"/>
      <c r="U8" s="879"/>
      <c r="V8" s="877" t="s">
        <v>640</v>
      </c>
      <c r="W8" s="878"/>
      <c r="X8" s="879"/>
      <c r="Y8" s="36"/>
      <c r="Z8" s="36"/>
      <c r="AA8" s="883" t="s">
        <v>641</v>
      </c>
      <c r="AB8" s="36"/>
      <c r="AG8" s="870"/>
      <c r="AH8" s="870"/>
      <c r="AI8" s="14"/>
    </row>
    <row r="9" spans="1:35" ht="30">
      <c r="A9" s="884"/>
      <c r="B9" s="884"/>
      <c r="C9" s="37" t="s">
        <v>382</v>
      </c>
      <c r="D9" s="880" t="s">
        <v>642</v>
      </c>
      <c r="E9" s="881"/>
      <c r="F9" s="882"/>
      <c r="G9" s="880" t="s">
        <v>643</v>
      </c>
      <c r="H9" s="881"/>
      <c r="I9" s="882"/>
      <c r="J9" s="880" t="s">
        <v>644</v>
      </c>
      <c r="K9" s="881"/>
      <c r="L9" s="882"/>
      <c r="M9" s="880" t="s">
        <v>645</v>
      </c>
      <c r="N9" s="881"/>
      <c r="O9" s="882"/>
      <c r="P9" s="880" t="s">
        <v>646</v>
      </c>
      <c r="Q9" s="881"/>
      <c r="R9" s="882"/>
      <c r="S9" s="880"/>
      <c r="T9" s="881"/>
      <c r="U9" s="882"/>
      <c r="V9" s="880" t="s">
        <v>647</v>
      </c>
      <c r="W9" s="881"/>
      <c r="X9" s="882"/>
      <c r="Y9" s="37" t="s">
        <v>648</v>
      </c>
      <c r="Z9" s="37" t="s">
        <v>649</v>
      </c>
      <c r="AA9" s="884"/>
      <c r="AB9" s="37" t="s">
        <v>650</v>
      </c>
      <c r="AG9" s="870"/>
      <c r="AH9" s="870"/>
      <c r="AI9" s="14"/>
    </row>
    <row r="10" spans="1:35">
      <c r="A10" s="885"/>
      <c r="B10" s="885"/>
      <c r="C10" s="34"/>
      <c r="D10" s="28" t="s">
        <v>43</v>
      </c>
      <c r="E10" s="28" t="s">
        <v>195</v>
      </c>
      <c r="F10" s="28" t="s">
        <v>314</v>
      </c>
      <c r="G10" s="28" t="s">
        <v>43</v>
      </c>
      <c r="H10" s="28" t="s">
        <v>195</v>
      </c>
      <c r="I10" s="28" t="s">
        <v>314</v>
      </c>
      <c r="J10" s="28" t="s">
        <v>43</v>
      </c>
      <c r="K10" s="28" t="s">
        <v>195</v>
      </c>
      <c r="L10" s="28" t="s">
        <v>314</v>
      </c>
      <c r="M10" s="28" t="s">
        <v>43</v>
      </c>
      <c r="N10" s="28" t="s">
        <v>195</v>
      </c>
      <c r="O10" s="28" t="s">
        <v>314</v>
      </c>
      <c r="P10" s="28" t="s">
        <v>43</v>
      </c>
      <c r="Q10" s="28" t="s">
        <v>195</v>
      </c>
      <c r="R10" s="28" t="s">
        <v>314</v>
      </c>
      <c r="S10" s="28" t="s">
        <v>43</v>
      </c>
      <c r="T10" s="28" t="s">
        <v>195</v>
      </c>
      <c r="U10" s="28" t="s">
        <v>314</v>
      </c>
      <c r="V10" s="28" t="s">
        <v>43</v>
      </c>
      <c r="W10" s="28" t="s">
        <v>195</v>
      </c>
      <c r="X10" s="28" t="s">
        <v>314</v>
      </c>
      <c r="Y10" s="34"/>
      <c r="Z10" s="34"/>
      <c r="AA10" s="885"/>
      <c r="AB10" s="34"/>
      <c r="AG10" s="870"/>
      <c r="AH10" s="870"/>
    </row>
    <row r="11" spans="1:35">
      <c r="A11" s="883">
        <v>1</v>
      </c>
      <c r="B11" s="883" t="s">
        <v>651</v>
      </c>
      <c r="C11" s="29">
        <v>0.125694444444444</v>
      </c>
      <c r="D11" s="28">
        <v>90</v>
      </c>
      <c r="E11" s="28">
        <v>2</v>
      </c>
      <c r="F11" s="28">
        <v>180</v>
      </c>
      <c r="G11" s="28">
        <v>80</v>
      </c>
      <c r="H11" s="28">
        <v>1</v>
      </c>
      <c r="I11" s="28">
        <v>80</v>
      </c>
      <c r="J11" s="28"/>
      <c r="K11" s="28"/>
      <c r="L11" s="28"/>
      <c r="M11" s="28">
        <v>80</v>
      </c>
      <c r="N11" s="28">
        <v>3</v>
      </c>
      <c r="O11" s="28">
        <v>240</v>
      </c>
      <c r="P11" s="28"/>
      <c r="Q11" s="28"/>
      <c r="R11" s="28"/>
      <c r="S11" s="28"/>
      <c r="T11" s="28"/>
      <c r="U11" s="28"/>
      <c r="V11" s="28"/>
      <c r="W11" s="28"/>
      <c r="X11" s="28"/>
      <c r="Y11" s="28">
        <v>500</v>
      </c>
      <c r="Z11" s="28">
        <v>6</v>
      </c>
      <c r="AA11" s="28">
        <v>83</v>
      </c>
      <c r="AB11" s="28">
        <v>74</v>
      </c>
      <c r="AG11" s="876"/>
      <c r="AH11" s="876"/>
    </row>
    <row r="12" spans="1:35">
      <c r="A12" s="884"/>
      <c r="B12" s="884"/>
      <c r="C12" s="29">
        <v>0.12638888888888899</v>
      </c>
      <c r="D12" s="28">
        <v>70</v>
      </c>
      <c r="E12" s="28">
        <v>2</v>
      </c>
      <c r="F12" s="28">
        <v>140</v>
      </c>
      <c r="G12" s="28"/>
      <c r="H12" s="28"/>
      <c r="I12" s="28"/>
      <c r="J12" s="28"/>
      <c r="K12" s="28"/>
      <c r="L12" s="28"/>
      <c r="M12" s="28">
        <v>80</v>
      </c>
      <c r="N12" s="28">
        <v>3</v>
      </c>
      <c r="O12" s="28">
        <v>240</v>
      </c>
      <c r="P12" s="28"/>
      <c r="Q12" s="28"/>
      <c r="R12" s="28"/>
      <c r="S12" s="28"/>
      <c r="T12" s="28"/>
      <c r="U12" s="28"/>
      <c r="V12" s="28"/>
      <c r="W12" s="28"/>
      <c r="X12" s="28"/>
      <c r="Y12" s="28">
        <v>380</v>
      </c>
      <c r="Z12" s="28">
        <v>5</v>
      </c>
      <c r="AA12" s="28">
        <v>76</v>
      </c>
      <c r="AB12" s="28"/>
    </row>
    <row r="13" spans="1:35">
      <c r="A13" s="884"/>
      <c r="B13" s="884"/>
      <c r="C13" s="29">
        <v>0.12708333333333299</v>
      </c>
      <c r="D13" s="28"/>
      <c r="E13" s="28"/>
      <c r="F13" s="28"/>
      <c r="G13" s="28">
        <v>70</v>
      </c>
      <c r="H13" s="28">
        <v>1</v>
      </c>
      <c r="I13" s="28">
        <v>70</v>
      </c>
      <c r="J13" s="28">
        <v>80</v>
      </c>
      <c r="K13" s="28">
        <v>2</v>
      </c>
      <c r="L13" s="28">
        <v>160</v>
      </c>
      <c r="M13" s="28">
        <v>80</v>
      </c>
      <c r="N13" s="28">
        <v>3</v>
      </c>
      <c r="O13" s="28">
        <v>240</v>
      </c>
      <c r="P13" s="28"/>
      <c r="Q13" s="28"/>
      <c r="R13" s="28"/>
      <c r="S13" s="28"/>
      <c r="T13" s="28"/>
      <c r="U13" s="28"/>
      <c r="V13" s="28"/>
      <c r="W13" s="28"/>
      <c r="X13" s="28"/>
      <c r="Y13" s="28">
        <v>470</v>
      </c>
      <c r="Z13" s="28">
        <v>6</v>
      </c>
      <c r="AA13" s="28">
        <v>78</v>
      </c>
      <c r="AB13" s="28"/>
    </row>
    <row r="14" spans="1:35">
      <c r="A14" s="884"/>
      <c r="B14" s="884"/>
      <c r="C14" s="29">
        <v>0.12777777777777799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>
        <v>85</v>
      </c>
      <c r="Q14" s="28">
        <v>1</v>
      </c>
      <c r="R14" s="28">
        <v>85</v>
      </c>
      <c r="S14" s="28">
        <v>60</v>
      </c>
      <c r="T14" s="28">
        <v>2</v>
      </c>
      <c r="U14" s="28">
        <v>120</v>
      </c>
      <c r="V14" s="28">
        <v>60</v>
      </c>
      <c r="W14" s="28">
        <v>3</v>
      </c>
      <c r="X14" s="28">
        <v>180</v>
      </c>
      <c r="Y14" s="28">
        <v>385</v>
      </c>
      <c r="Z14" s="28">
        <v>6</v>
      </c>
      <c r="AA14" s="28">
        <v>64</v>
      </c>
      <c r="AB14" s="28"/>
    </row>
    <row r="15" spans="1:35">
      <c r="A15" s="885"/>
      <c r="B15" s="885"/>
      <c r="C15" s="29">
        <v>0.12847222222222199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>
        <v>70</v>
      </c>
      <c r="T15" s="28">
        <v>2</v>
      </c>
      <c r="U15" s="28">
        <v>140</v>
      </c>
      <c r="V15" s="28">
        <v>70</v>
      </c>
      <c r="W15" s="28">
        <v>3</v>
      </c>
      <c r="X15" s="28">
        <v>210</v>
      </c>
      <c r="Y15" s="28">
        <v>350</v>
      </c>
      <c r="Z15" s="28">
        <v>5</v>
      </c>
      <c r="AA15" s="28">
        <v>70</v>
      </c>
      <c r="AB15" s="28"/>
    </row>
    <row r="16" spans="1:35">
      <c r="A16" s="883">
        <v>2</v>
      </c>
      <c r="B16" s="883" t="s">
        <v>652</v>
      </c>
      <c r="C16" s="29">
        <v>0.125694444444444</v>
      </c>
      <c r="D16" s="28">
        <v>80</v>
      </c>
      <c r="E16" s="28">
        <v>2</v>
      </c>
      <c r="F16" s="28">
        <v>160</v>
      </c>
      <c r="G16" s="28">
        <v>86</v>
      </c>
      <c r="H16" s="28">
        <v>1</v>
      </c>
      <c r="I16" s="28">
        <v>86</v>
      </c>
      <c r="J16" s="28"/>
      <c r="K16" s="28"/>
      <c r="L16" s="28"/>
      <c r="M16" s="28">
        <v>80</v>
      </c>
      <c r="N16" s="28">
        <v>3</v>
      </c>
      <c r="O16" s="28">
        <v>240</v>
      </c>
      <c r="P16" s="28"/>
      <c r="Q16" s="28"/>
      <c r="R16" s="28"/>
      <c r="S16" s="28"/>
      <c r="T16" s="28"/>
      <c r="U16" s="28"/>
      <c r="V16" s="28"/>
      <c r="W16" s="28"/>
      <c r="X16" s="28"/>
      <c r="Y16" s="28">
        <v>486</v>
      </c>
      <c r="Z16" s="28">
        <v>6</v>
      </c>
      <c r="AA16" s="28">
        <v>81</v>
      </c>
      <c r="AB16" s="28">
        <v>80</v>
      </c>
    </row>
    <row r="17" spans="1:28">
      <c r="A17" s="884"/>
      <c r="B17" s="884"/>
      <c r="C17" s="29">
        <v>0.12638888888888899</v>
      </c>
      <c r="D17" s="28">
        <v>80</v>
      </c>
      <c r="E17" s="28">
        <v>2</v>
      </c>
      <c r="F17" s="28">
        <v>160</v>
      </c>
      <c r="G17" s="28"/>
      <c r="H17" s="28"/>
      <c r="I17" s="28"/>
      <c r="J17" s="28"/>
      <c r="K17" s="28"/>
      <c r="L17" s="28"/>
      <c r="M17" s="28">
        <v>80</v>
      </c>
      <c r="N17" s="28">
        <v>3</v>
      </c>
      <c r="O17" s="28">
        <v>240</v>
      </c>
      <c r="P17" s="28"/>
      <c r="Q17" s="28"/>
      <c r="R17" s="28"/>
      <c r="S17" s="28"/>
      <c r="T17" s="28"/>
      <c r="U17" s="28"/>
      <c r="V17" s="28"/>
      <c r="W17" s="28"/>
      <c r="X17" s="28"/>
      <c r="Y17" s="28">
        <v>400</v>
      </c>
      <c r="Z17" s="28">
        <v>5</v>
      </c>
      <c r="AA17" s="28">
        <v>80</v>
      </c>
      <c r="AB17" s="28"/>
    </row>
    <row r="18" spans="1:28">
      <c r="A18" s="884"/>
      <c r="B18" s="884"/>
      <c r="C18" s="29">
        <v>0.12708333333333299</v>
      </c>
      <c r="D18" s="28"/>
      <c r="E18" s="28"/>
      <c r="F18" s="28"/>
      <c r="G18" s="28">
        <v>85</v>
      </c>
      <c r="H18" s="28">
        <v>1</v>
      </c>
      <c r="I18" s="28">
        <v>85</v>
      </c>
      <c r="J18" s="28">
        <v>80</v>
      </c>
      <c r="K18" s="28">
        <v>2</v>
      </c>
      <c r="L18" s="28">
        <v>160</v>
      </c>
      <c r="M18" s="28">
        <v>80</v>
      </c>
      <c r="N18" s="28">
        <v>3</v>
      </c>
      <c r="O18" s="28">
        <v>240</v>
      </c>
      <c r="P18" s="28"/>
      <c r="Q18" s="28"/>
      <c r="R18" s="28"/>
      <c r="S18" s="28"/>
      <c r="T18" s="28"/>
      <c r="U18" s="28"/>
      <c r="V18" s="28"/>
      <c r="W18" s="28"/>
      <c r="X18" s="28"/>
      <c r="Y18" s="28">
        <v>485</v>
      </c>
      <c r="Z18" s="28">
        <v>6</v>
      </c>
      <c r="AA18" s="28">
        <v>81</v>
      </c>
      <c r="AB18" s="28"/>
    </row>
    <row r="19" spans="1:28">
      <c r="A19" s="884"/>
      <c r="B19" s="884"/>
      <c r="C19" s="29">
        <v>0.12777777777777799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>
        <v>85</v>
      </c>
      <c r="Q19" s="28">
        <v>1</v>
      </c>
      <c r="R19" s="28">
        <v>85</v>
      </c>
      <c r="S19" s="28">
        <v>85</v>
      </c>
      <c r="T19" s="28">
        <v>2</v>
      </c>
      <c r="U19" s="28">
        <v>170</v>
      </c>
      <c r="V19" s="28">
        <v>80</v>
      </c>
      <c r="W19" s="28">
        <v>3</v>
      </c>
      <c r="X19" s="28">
        <v>240</v>
      </c>
      <c r="Y19" s="28">
        <v>495</v>
      </c>
      <c r="Z19" s="28">
        <v>6</v>
      </c>
      <c r="AA19" s="28">
        <v>83</v>
      </c>
      <c r="AB19" s="28"/>
    </row>
    <row r="20" spans="1:28">
      <c r="A20" s="885"/>
      <c r="B20" s="885"/>
      <c r="C20" s="29">
        <v>0.12847222222222199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>
        <v>70</v>
      </c>
      <c r="T20" s="28">
        <v>2</v>
      </c>
      <c r="U20" s="28">
        <v>140</v>
      </c>
      <c r="V20" s="28">
        <v>80</v>
      </c>
      <c r="W20" s="28">
        <v>3</v>
      </c>
      <c r="X20" s="28">
        <v>240</v>
      </c>
      <c r="Y20" s="28">
        <v>380</v>
      </c>
      <c r="Z20" s="28">
        <v>5</v>
      </c>
      <c r="AA20" s="28">
        <v>76</v>
      </c>
      <c r="AB20" s="28"/>
    </row>
    <row r="21" spans="1:28">
      <c r="A21" s="883">
        <v>3</v>
      </c>
      <c r="B21" s="883" t="s">
        <v>653</v>
      </c>
      <c r="C21" s="29">
        <v>0.125694444444444</v>
      </c>
      <c r="D21" s="28">
        <v>90</v>
      </c>
      <c r="E21" s="28">
        <v>2</v>
      </c>
      <c r="F21" s="28">
        <v>180</v>
      </c>
      <c r="G21" s="28">
        <v>80</v>
      </c>
      <c r="H21" s="28">
        <v>1</v>
      </c>
      <c r="I21" s="28">
        <v>80</v>
      </c>
      <c r="J21" s="28"/>
      <c r="K21" s="28"/>
      <c r="L21" s="28"/>
      <c r="M21" s="28">
        <v>80</v>
      </c>
      <c r="N21" s="28">
        <v>3</v>
      </c>
      <c r="O21" s="28">
        <v>240</v>
      </c>
      <c r="P21" s="28"/>
      <c r="Q21" s="28"/>
      <c r="R21" s="28"/>
      <c r="S21" s="28"/>
      <c r="T21" s="28"/>
      <c r="U21" s="28"/>
      <c r="V21" s="28"/>
      <c r="W21" s="28"/>
      <c r="X21" s="28"/>
      <c r="Y21" s="28">
        <v>500</v>
      </c>
      <c r="Z21" s="28">
        <v>6</v>
      </c>
      <c r="AA21" s="28">
        <v>83</v>
      </c>
      <c r="AB21" s="28">
        <v>82</v>
      </c>
    </row>
    <row r="22" spans="1:28">
      <c r="A22" s="884"/>
      <c r="B22" s="884"/>
      <c r="C22" s="29">
        <v>0.12638888888888899</v>
      </c>
      <c r="D22" s="28">
        <v>90</v>
      </c>
      <c r="E22" s="28">
        <v>2</v>
      </c>
      <c r="F22" s="28">
        <v>180</v>
      </c>
      <c r="G22" s="28"/>
      <c r="H22" s="28"/>
      <c r="I22" s="28"/>
      <c r="J22" s="28"/>
      <c r="K22" s="28"/>
      <c r="L22" s="28"/>
      <c r="M22" s="28">
        <v>80</v>
      </c>
      <c r="N22" s="28">
        <v>3</v>
      </c>
      <c r="O22" s="28">
        <v>240</v>
      </c>
      <c r="P22" s="28"/>
      <c r="Q22" s="28"/>
      <c r="R22" s="28"/>
      <c r="S22" s="28"/>
      <c r="T22" s="28"/>
      <c r="U22" s="28"/>
      <c r="V22" s="28"/>
      <c r="W22" s="28"/>
      <c r="X22" s="28"/>
      <c r="Y22" s="28">
        <v>420</v>
      </c>
      <c r="Z22" s="28">
        <v>5</v>
      </c>
      <c r="AA22" s="28">
        <v>84</v>
      </c>
      <c r="AB22" s="28"/>
    </row>
    <row r="23" spans="1:28">
      <c r="A23" s="884"/>
      <c r="B23" s="884"/>
      <c r="C23" s="29">
        <v>0.12708333333333299</v>
      </c>
      <c r="D23" s="28"/>
      <c r="E23" s="28"/>
      <c r="F23" s="28"/>
      <c r="G23" s="28">
        <v>80</v>
      </c>
      <c r="H23" s="28">
        <v>1</v>
      </c>
      <c r="I23" s="28">
        <v>80</v>
      </c>
      <c r="J23" s="28">
        <v>75</v>
      </c>
      <c r="K23" s="28">
        <v>2</v>
      </c>
      <c r="L23" s="28">
        <v>150</v>
      </c>
      <c r="M23" s="28">
        <v>80</v>
      </c>
      <c r="N23" s="28">
        <v>3</v>
      </c>
      <c r="O23" s="28">
        <v>240</v>
      </c>
      <c r="P23" s="28"/>
      <c r="Q23" s="28"/>
      <c r="R23" s="28"/>
      <c r="S23" s="28"/>
      <c r="T23" s="28"/>
      <c r="U23" s="28"/>
      <c r="V23" s="28"/>
      <c r="W23" s="28"/>
      <c r="X23" s="28"/>
      <c r="Y23" s="28">
        <v>470</v>
      </c>
      <c r="Z23" s="28">
        <v>6</v>
      </c>
      <c r="AA23" s="28">
        <v>78</v>
      </c>
      <c r="AB23" s="28"/>
    </row>
    <row r="24" spans="1:28">
      <c r="A24" s="884"/>
      <c r="B24" s="884"/>
      <c r="C24" s="29">
        <v>0.12777777777777799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>
        <v>85</v>
      </c>
      <c r="Q24" s="28">
        <v>1</v>
      </c>
      <c r="R24" s="28">
        <v>85</v>
      </c>
      <c r="S24" s="28">
        <v>80</v>
      </c>
      <c r="T24" s="28">
        <v>2</v>
      </c>
      <c r="U24" s="28">
        <v>160</v>
      </c>
      <c r="V24" s="28">
        <v>85</v>
      </c>
      <c r="W24" s="28">
        <v>3</v>
      </c>
      <c r="X24" s="28">
        <v>255</v>
      </c>
      <c r="Y24" s="28">
        <v>500</v>
      </c>
      <c r="Z24" s="28">
        <v>6</v>
      </c>
      <c r="AA24" s="28">
        <v>83</v>
      </c>
      <c r="AB24" s="28"/>
    </row>
    <row r="25" spans="1:28">
      <c r="A25" s="884"/>
      <c r="B25" s="884"/>
      <c r="C25" s="38">
        <v>0.12847222222222199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>
        <v>80</v>
      </c>
      <c r="T25" s="37">
        <v>2</v>
      </c>
      <c r="U25" s="37">
        <v>160</v>
      </c>
      <c r="V25" s="37">
        <v>80</v>
      </c>
      <c r="W25" s="37">
        <v>3</v>
      </c>
      <c r="X25" s="37">
        <v>240</v>
      </c>
      <c r="Y25" s="37">
        <v>400</v>
      </c>
      <c r="Z25" s="37">
        <v>5</v>
      </c>
      <c r="AA25" s="37">
        <v>80</v>
      </c>
      <c r="AB25" s="37"/>
    </row>
    <row r="26" spans="1:28">
      <c r="A26" s="39" t="s">
        <v>598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8" spans="1:28">
      <c r="A28" s="870" t="s">
        <v>100</v>
      </c>
      <c r="B28" s="870"/>
    </row>
    <row r="29" spans="1:28">
      <c r="A29" s="30" t="s">
        <v>654</v>
      </c>
      <c r="C29" s="30" t="s">
        <v>655</v>
      </c>
    </row>
    <row r="30" spans="1:28">
      <c r="A30" s="30" t="s">
        <v>656</v>
      </c>
      <c r="C30" s="30" t="s">
        <v>657</v>
      </c>
    </row>
    <row r="31" spans="1:28">
      <c r="A31" s="30" t="s">
        <v>658</v>
      </c>
      <c r="C31" s="30" t="s">
        <v>659</v>
      </c>
    </row>
    <row r="32" spans="1:28">
      <c r="C32" s="30" t="s">
        <v>660</v>
      </c>
    </row>
    <row r="37" spans="1:21">
      <c r="S37" s="6" t="s">
        <v>599</v>
      </c>
      <c r="T37" s="6"/>
      <c r="U37" s="6"/>
    </row>
    <row r="38" spans="1:21">
      <c r="A38" s="6" t="s">
        <v>171</v>
      </c>
      <c r="B38" s="1"/>
      <c r="S38" s="6"/>
      <c r="T38" s="6"/>
      <c r="U38" s="6"/>
    </row>
    <row r="39" spans="1:21">
      <c r="A39" s="7" t="s">
        <v>388</v>
      </c>
      <c r="B39" s="1"/>
      <c r="S39" s="6" t="s">
        <v>178</v>
      </c>
      <c r="T39" s="6"/>
      <c r="U39" s="6"/>
    </row>
    <row r="40" spans="1:21">
      <c r="A40" s="7"/>
      <c r="B40" s="1"/>
      <c r="S40" s="6"/>
      <c r="T40" s="6"/>
      <c r="U40" s="6"/>
    </row>
    <row r="41" spans="1:21">
      <c r="A41" s="7"/>
      <c r="B41" s="1"/>
      <c r="S41" s="8"/>
      <c r="T41" s="6"/>
      <c r="U41" s="6"/>
    </row>
    <row r="42" spans="1:21">
      <c r="A42" s="7"/>
      <c r="B42" s="1"/>
      <c r="S42" s="6"/>
      <c r="T42" s="6"/>
      <c r="U42" s="6"/>
    </row>
    <row r="43" spans="1:21">
      <c r="A43" s="9"/>
      <c r="B43" s="1"/>
      <c r="S43" s="9"/>
      <c r="T43" s="6"/>
      <c r="U43" s="6"/>
    </row>
    <row r="44" spans="1:21">
      <c r="A44" s="7" t="s">
        <v>291</v>
      </c>
      <c r="B44" s="1"/>
      <c r="S44" s="7" t="s">
        <v>291</v>
      </c>
      <c r="T44" s="6"/>
      <c r="U44" s="6"/>
    </row>
    <row r="45" spans="1:21">
      <c r="A45" s="6"/>
      <c r="B45" s="1"/>
      <c r="S45" s="6"/>
      <c r="T45" s="6"/>
      <c r="U45" s="6"/>
    </row>
    <row r="46" spans="1:21">
      <c r="A46" s="10" t="s">
        <v>172</v>
      </c>
      <c r="B46" s="1"/>
      <c r="S46" s="10" t="s">
        <v>229</v>
      </c>
      <c r="T46" s="6"/>
      <c r="U46" s="11"/>
    </row>
    <row r="47" spans="1:21">
      <c r="A47" s="10"/>
      <c r="B47" s="1"/>
      <c r="S47" s="10"/>
      <c r="T47" s="6"/>
      <c r="U47" s="11"/>
    </row>
    <row r="48" spans="1:21">
      <c r="A48" s="10"/>
      <c r="B48" s="1"/>
      <c r="S48" s="10"/>
      <c r="T48" s="6"/>
      <c r="U48" s="11"/>
    </row>
    <row r="49" spans="1:21">
      <c r="A49" s="7"/>
      <c r="B49" s="1"/>
      <c r="S49" s="7"/>
      <c r="T49" s="6"/>
      <c r="U49" s="7"/>
    </row>
    <row r="50" spans="1:21">
      <c r="A50" s="10" t="s">
        <v>582</v>
      </c>
      <c r="B50" s="1"/>
      <c r="S50" s="12" t="s">
        <v>279</v>
      </c>
      <c r="T50" s="6"/>
      <c r="U50" s="11"/>
    </row>
    <row r="51" spans="1:21">
      <c r="A51" s="10" t="s">
        <v>280</v>
      </c>
      <c r="B51" s="1"/>
      <c r="S51" s="12" t="s">
        <v>281</v>
      </c>
      <c r="T51" s="6"/>
      <c r="U51" s="11"/>
    </row>
  </sheetData>
  <mergeCells count="34">
    <mergeCell ref="AG10:AH10"/>
    <mergeCell ref="AG11:AH11"/>
    <mergeCell ref="A28:B28"/>
    <mergeCell ref="A8:A10"/>
    <mergeCell ref="A11:A15"/>
    <mergeCell ref="A16:A20"/>
    <mergeCell ref="A21:A25"/>
    <mergeCell ref="B8:B10"/>
    <mergeCell ref="B11:B15"/>
    <mergeCell ref="B16:B20"/>
    <mergeCell ref="B21:B25"/>
    <mergeCell ref="AA8:AA10"/>
    <mergeCell ref="S8:U9"/>
    <mergeCell ref="M8:O8"/>
    <mergeCell ref="P8:R8"/>
    <mergeCell ref="V8:X8"/>
    <mergeCell ref="AG8:AH8"/>
    <mergeCell ref="D9:F9"/>
    <mergeCell ref="G9:I9"/>
    <mergeCell ref="J9:L9"/>
    <mergeCell ref="M9:O9"/>
    <mergeCell ref="P9:R9"/>
    <mergeCell ref="V9:X9"/>
    <mergeCell ref="AG9:AH9"/>
    <mergeCell ref="A6:B6"/>
    <mergeCell ref="A7:B7"/>
    <mergeCell ref="D8:F8"/>
    <mergeCell ref="G8:I8"/>
    <mergeCell ref="J8:L8"/>
    <mergeCell ref="Y1:AB1"/>
    <mergeCell ref="Y2:AB2"/>
    <mergeCell ref="A3:AB3"/>
    <mergeCell ref="A4:B4"/>
    <mergeCell ref="A5:B5"/>
  </mergeCells>
  <pageMargins left="0.31496062992126" right="0.31496062992126" top="0.74803149606299202" bottom="1.33858267716535" header="0.31496062992126" footer="0.31496062992126"/>
  <pageSetup paperSize="5" scale="90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56"/>
  <sheetViews>
    <sheetView workbookViewId="0">
      <selection activeCell="A5" sqref="A5:B5"/>
    </sheetView>
  </sheetViews>
  <sheetFormatPr defaultColWidth="9" defaultRowHeight="15"/>
  <cols>
    <col min="1" max="1" width="4" customWidth="1"/>
    <col min="2" max="2" width="27.42578125" customWidth="1"/>
    <col min="3" max="3" width="8.42578125" customWidth="1"/>
    <col min="4" max="4" width="3.28515625" customWidth="1"/>
    <col min="5" max="5" width="2.42578125" customWidth="1"/>
    <col min="6" max="6" width="3.5703125" customWidth="1"/>
    <col min="7" max="7" width="3" customWidth="1"/>
    <col min="8" max="8" width="2.28515625" customWidth="1"/>
    <col min="9" max="9" width="3.42578125" customWidth="1"/>
    <col min="10" max="10" width="3.85546875" customWidth="1"/>
    <col min="11" max="11" width="2.42578125" customWidth="1"/>
    <col min="12" max="12" width="3.5703125" customWidth="1"/>
    <col min="13" max="13" width="3.28515625" customWidth="1"/>
    <col min="14" max="14" width="2.140625" customWidth="1"/>
    <col min="15" max="15" width="3.85546875" customWidth="1"/>
    <col min="16" max="16" width="3.7109375" customWidth="1"/>
    <col min="17" max="17" width="2.140625" customWidth="1"/>
    <col min="18" max="18" width="3.85546875" customWidth="1"/>
    <col min="19" max="19" width="2.85546875" customWidth="1"/>
    <col min="20" max="20" width="2.28515625" customWidth="1"/>
    <col min="21" max="21" width="3.42578125" customWidth="1"/>
    <col min="22" max="22" width="3.7109375" customWidth="1"/>
    <col min="23" max="23" width="1.85546875" customWidth="1"/>
    <col min="24" max="24" width="3.42578125" customWidth="1"/>
    <col min="25" max="25" width="4.42578125" customWidth="1"/>
    <col min="26" max="26" width="3.42578125" customWidth="1"/>
    <col min="27" max="27" width="4.140625" customWidth="1"/>
    <col min="28" max="28" width="5.28515625" customWidth="1"/>
  </cols>
  <sheetData>
    <row r="1" spans="1:28">
      <c r="Y1" s="746" t="s">
        <v>661</v>
      </c>
      <c r="Z1" s="874"/>
      <c r="AA1" s="874"/>
      <c r="AB1" s="747"/>
    </row>
    <row r="2" spans="1:28">
      <c r="Y2" s="843">
        <v>43636</v>
      </c>
      <c r="Z2" s="843"/>
      <c r="AA2" s="843"/>
      <c r="AB2" s="843"/>
    </row>
    <row r="3" spans="1:28">
      <c r="A3" s="875" t="s">
        <v>662</v>
      </c>
      <c r="B3" s="875"/>
      <c r="C3" s="875"/>
      <c r="D3" s="875"/>
      <c r="E3" s="875"/>
      <c r="F3" s="875"/>
      <c r="G3" s="875"/>
      <c r="H3" s="875"/>
      <c r="I3" s="875"/>
      <c r="J3" s="875"/>
      <c r="K3" s="875"/>
      <c r="L3" s="875"/>
      <c r="M3" s="875"/>
      <c r="N3" s="875"/>
      <c r="O3" s="875"/>
      <c r="P3" s="875"/>
      <c r="Q3" s="875"/>
      <c r="R3" s="875"/>
      <c r="S3" s="875"/>
      <c r="T3" s="875"/>
      <c r="U3" s="875"/>
      <c r="V3" s="875"/>
      <c r="W3" s="875"/>
      <c r="X3" s="875"/>
      <c r="Y3" s="875"/>
      <c r="Z3" s="875"/>
      <c r="AA3" s="875"/>
      <c r="AB3" s="875"/>
    </row>
    <row r="4" spans="1:28">
      <c r="A4" s="870" t="s">
        <v>3</v>
      </c>
      <c r="B4" s="870"/>
      <c r="C4" s="2" t="s">
        <v>13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>
      <c r="A5" s="870" t="s">
        <v>5</v>
      </c>
      <c r="B5" s="870"/>
      <c r="C5" s="2" t="s">
        <v>13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>
      <c r="A6" s="870" t="s">
        <v>602</v>
      </c>
      <c r="B6" s="870"/>
      <c r="C6" s="2" t="s">
        <v>13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>
      <c r="A7" s="876" t="s">
        <v>8</v>
      </c>
      <c r="B7" s="876"/>
      <c r="C7" s="2" t="s">
        <v>13</v>
      </c>
    </row>
    <row r="8" spans="1:28" ht="15" customHeight="1">
      <c r="A8" s="883" t="s">
        <v>192</v>
      </c>
      <c r="B8" s="883" t="s">
        <v>547</v>
      </c>
      <c r="C8" s="883" t="s">
        <v>382</v>
      </c>
      <c r="D8" s="886" t="s">
        <v>608</v>
      </c>
      <c r="E8" s="887"/>
      <c r="F8" s="888"/>
      <c r="G8" s="886" t="s">
        <v>609</v>
      </c>
      <c r="H8" s="887"/>
      <c r="I8" s="888"/>
      <c r="J8" s="889" t="s">
        <v>663</v>
      </c>
      <c r="K8" s="890"/>
      <c r="L8" s="891"/>
      <c r="M8" s="886" t="s">
        <v>610</v>
      </c>
      <c r="N8" s="887"/>
      <c r="O8" s="888"/>
      <c r="P8" s="889" t="s">
        <v>663</v>
      </c>
      <c r="Q8" s="890"/>
      <c r="R8" s="891"/>
      <c r="S8" s="886" t="s">
        <v>664</v>
      </c>
      <c r="T8" s="887"/>
      <c r="U8" s="888"/>
      <c r="V8" s="889" t="s">
        <v>663</v>
      </c>
      <c r="W8" s="890"/>
      <c r="X8" s="891"/>
      <c r="Y8" s="32"/>
      <c r="Z8" s="32"/>
      <c r="AA8" s="883" t="s">
        <v>641</v>
      </c>
      <c r="AB8" s="32"/>
    </row>
    <row r="9" spans="1:28" ht="15.75" customHeight="1">
      <c r="A9" s="884"/>
      <c r="B9" s="884"/>
      <c r="C9" s="884"/>
      <c r="D9" s="895" t="s">
        <v>665</v>
      </c>
      <c r="E9" s="896"/>
      <c r="F9" s="897"/>
      <c r="G9" s="895" t="s">
        <v>666</v>
      </c>
      <c r="H9" s="896"/>
      <c r="I9" s="897"/>
      <c r="J9" s="892" t="s">
        <v>667</v>
      </c>
      <c r="K9" s="893"/>
      <c r="L9" s="894"/>
      <c r="M9" s="895" t="s">
        <v>668</v>
      </c>
      <c r="N9" s="896"/>
      <c r="O9" s="897"/>
      <c r="P9" s="892" t="s">
        <v>668</v>
      </c>
      <c r="Q9" s="893"/>
      <c r="R9" s="894"/>
      <c r="S9" s="895" t="s">
        <v>669</v>
      </c>
      <c r="T9" s="896"/>
      <c r="U9" s="897"/>
      <c r="V9" s="892" t="s">
        <v>669</v>
      </c>
      <c r="W9" s="893"/>
      <c r="X9" s="894"/>
      <c r="Y9" s="33" t="s">
        <v>648</v>
      </c>
      <c r="Z9" s="33" t="s">
        <v>649</v>
      </c>
      <c r="AA9" s="884"/>
      <c r="AB9" s="33" t="s">
        <v>650</v>
      </c>
    </row>
    <row r="10" spans="1:28" ht="30">
      <c r="A10" s="885"/>
      <c r="B10" s="885"/>
      <c r="C10" s="885"/>
      <c r="D10" s="28" t="s">
        <v>43</v>
      </c>
      <c r="E10" s="28" t="s">
        <v>195</v>
      </c>
      <c r="F10" s="28" t="s">
        <v>314</v>
      </c>
      <c r="G10" s="28" t="s">
        <v>43</v>
      </c>
      <c r="H10" s="28" t="s">
        <v>195</v>
      </c>
      <c r="I10" s="28" t="s">
        <v>314</v>
      </c>
      <c r="J10" s="28" t="s">
        <v>205</v>
      </c>
      <c r="K10" s="28" t="s">
        <v>195</v>
      </c>
      <c r="L10" s="28" t="s">
        <v>314</v>
      </c>
      <c r="M10" s="28" t="s">
        <v>43</v>
      </c>
      <c r="N10" s="28" t="s">
        <v>195</v>
      </c>
      <c r="O10" s="28" t="s">
        <v>314</v>
      </c>
      <c r="P10" s="28" t="s">
        <v>205</v>
      </c>
      <c r="Q10" s="28" t="s">
        <v>195</v>
      </c>
      <c r="R10" s="28" t="s">
        <v>314</v>
      </c>
      <c r="S10" s="28" t="s">
        <v>43</v>
      </c>
      <c r="T10" s="28" t="s">
        <v>195</v>
      </c>
      <c r="U10" s="28" t="s">
        <v>314</v>
      </c>
      <c r="V10" s="28" t="s">
        <v>205</v>
      </c>
      <c r="W10" s="28" t="s">
        <v>195</v>
      </c>
      <c r="X10" s="28" t="s">
        <v>314</v>
      </c>
      <c r="Y10" s="34"/>
      <c r="Z10" s="34"/>
      <c r="AA10" s="885"/>
      <c r="AB10" s="34"/>
    </row>
    <row r="11" spans="1:28">
      <c r="A11" s="883">
        <v>1</v>
      </c>
      <c r="B11" s="883" t="s">
        <v>651</v>
      </c>
      <c r="C11" s="29">
        <v>0.125694444444444</v>
      </c>
      <c r="D11" s="28">
        <v>80</v>
      </c>
      <c r="E11" s="28">
        <v>1</v>
      </c>
      <c r="F11" s="28">
        <v>80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>
        <v>80</v>
      </c>
      <c r="Z11" s="28">
        <v>1</v>
      </c>
      <c r="AA11" s="28">
        <v>80</v>
      </c>
      <c r="AB11" s="28">
        <v>82</v>
      </c>
    </row>
    <row r="12" spans="1:28">
      <c r="A12" s="884"/>
      <c r="B12" s="884"/>
      <c r="C12" s="29">
        <v>0.12638888888888899</v>
      </c>
      <c r="D12" s="28"/>
      <c r="E12" s="28"/>
      <c r="F12" s="28"/>
      <c r="G12" s="28">
        <v>80</v>
      </c>
      <c r="H12" s="28">
        <v>1</v>
      </c>
      <c r="I12" s="28">
        <v>80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>
        <v>80</v>
      </c>
      <c r="Z12" s="28">
        <v>1</v>
      </c>
      <c r="AA12" s="28">
        <v>80</v>
      </c>
      <c r="AB12" s="28"/>
    </row>
    <row r="13" spans="1:28">
      <c r="A13" s="884"/>
      <c r="B13" s="884"/>
      <c r="C13" s="29">
        <v>0.12708333333333299</v>
      </c>
      <c r="D13" s="28"/>
      <c r="E13" s="28"/>
      <c r="F13" s="28"/>
      <c r="G13" s="28"/>
      <c r="H13" s="28"/>
      <c r="I13" s="28"/>
      <c r="J13" s="28">
        <v>80</v>
      </c>
      <c r="K13" s="28">
        <v>1</v>
      </c>
      <c r="L13" s="28">
        <v>80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>
        <v>80</v>
      </c>
      <c r="Z13" s="28">
        <v>1</v>
      </c>
      <c r="AA13" s="28">
        <v>80</v>
      </c>
      <c r="AB13" s="28"/>
    </row>
    <row r="14" spans="1:28">
      <c r="A14" s="884"/>
      <c r="B14" s="884"/>
      <c r="C14" s="29">
        <v>0.12777777777777799</v>
      </c>
      <c r="D14" s="28"/>
      <c r="E14" s="28"/>
      <c r="F14" s="28"/>
      <c r="G14" s="28"/>
      <c r="H14" s="28"/>
      <c r="I14" s="28"/>
      <c r="J14" s="28"/>
      <c r="K14" s="28"/>
      <c r="L14" s="28"/>
      <c r="M14" s="28">
        <v>80</v>
      </c>
      <c r="N14" s="28">
        <v>2</v>
      </c>
      <c r="O14" s="28">
        <v>160</v>
      </c>
      <c r="P14" s="28">
        <v>80</v>
      </c>
      <c r="Q14" s="28">
        <v>2</v>
      </c>
      <c r="R14" s="28">
        <v>160</v>
      </c>
      <c r="S14" s="28"/>
      <c r="T14" s="28"/>
      <c r="U14" s="28"/>
      <c r="V14" s="28"/>
      <c r="W14" s="28"/>
      <c r="X14" s="28"/>
      <c r="Y14" s="28">
        <v>80</v>
      </c>
      <c r="Z14" s="28">
        <v>2</v>
      </c>
      <c r="AA14" s="28">
        <v>160</v>
      </c>
      <c r="AB14" s="28"/>
    </row>
    <row r="15" spans="1:28">
      <c r="A15" s="885"/>
      <c r="B15" s="885"/>
      <c r="C15" s="29">
        <v>0.12847222222222199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31"/>
      <c r="S15" s="28">
        <v>90</v>
      </c>
      <c r="T15" s="28">
        <v>1</v>
      </c>
      <c r="U15" s="28">
        <v>90</v>
      </c>
      <c r="V15" s="28">
        <v>90</v>
      </c>
      <c r="W15" s="28">
        <v>1</v>
      </c>
      <c r="X15" s="28">
        <v>90</v>
      </c>
      <c r="Y15" s="28">
        <v>90</v>
      </c>
      <c r="Z15" s="28">
        <v>1</v>
      </c>
      <c r="AA15" s="28">
        <v>90</v>
      </c>
      <c r="AB15" s="28"/>
    </row>
    <row r="16" spans="1:28">
      <c r="A16" s="883">
        <v>2</v>
      </c>
      <c r="B16" s="883" t="s">
        <v>652</v>
      </c>
      <c r="C16" s="29">
        <v>0.125694444444444</v>
      </c>
      <c r="D16" s="28">
        <v>80</v>
      </c>
      <c r="E16" s="28">
        <v>1</v>
      </c>
      <c r="F16" s="28">
        <v>80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>
        <v>80</v>
      </c>
      <c r="Z16" s="28">
        <v>1</v>
      </c>
      <c r="AA16" s="28">
        <v>80</v>
      </c>
      <c r="AB16" s="28">
        <v>78</v>
      </c>
    </row>
    <row r="17" spans="1:28">
      <c r="A17" s="884"/>
      <c r="B17" s="884"/>
      <c r="C17" s="29">
        <v>0.12638888888888899</v>
      </c>
      <c r="D17" s="28"/>
      <c r="E17" s="28"/>
      <c r="F17" s="28"/>
      <c r="G17" s="28">
        <v>80</v>
      </c>
      <c r="H17" s="28">
        <v>1</v>
      </c>
      <c r="I17" s="28">
        <v>80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>
        <v>80</v>
      </c>
      <c r="Z17" s="28">
        <v>1</v>
      </c>
      <c r="AA17" s="28">
        <v>80</v>
      </c>
      <c r="AB17" s="28"/>
    </row>
    <row r="18" spans="1:28">
      <c r="A18" s="884"/>
      <c r="B18" s="884"/>
      <c r="C18" s="29">
        <v>0.12708333333333299</v>
      </c>
      <c r="D18" s="28"/>
      <c r="E18" s="28"/>
      <c r="F18" s="28"/>
      <c r="G18" s="28"/>
      <c r="H18" s="28"/>
      <c r="I18" s="28"/>
      <c r="J18" s="28">
        <v>80</v>
      </c>
      <c r="K18" s="28">
        <v>1</v>
      </c>
      <c r="L18" s="28">
        <v>80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>
        <v>80</v>
      </c>
      <c r="Z18" s="28">
        <v>1</v>
      </c>
      <c r="AA18" s="28">
        <v>80</v>
      </c>
      <c r="AB18" s="28"/>
    </row>
    <row r="19" spans="1:28">
      <c r="A19" s="884"/>
      <c r="B19" s="884"/>
      <c r="C19" s="29">
        <v>0.12777777777777799</v>
      </c>
      <c r="D19" s="28"/>
      <c r="E19" s="28"/>
      <c r="F19" s="28"/>
      <c r="G19" s="28"/>
      <c r="H19" s="28"/>
      <c r="I19" s="28"/>
      <c r="J19" s="28"/>
      <c r="K19" s="28"/>
      <c r="L19" s="28"/>
      <c r="M19" s="28">
        <v>80</v>
      </c>
      <c r="N19" s="28">
        <v>2</v>
      </c>
      <c r="O19" s="28">
        <v>160</v>
      </c>
      <c r="P19" s="28">
        <v>75</v>
      </c>
      <c r="Q19" s="28">
        <v>2</v>
      </c>
      <c r="R19" s="28">
        <v>150</v>
      </c>
      <c r="S19" s="28"/>
      <c r="T19" s="28"/>
      <c r="U19" s="28"/>
      <c r="V19" s="28"/>
      <c r="W19" s="28"/>
      <c r="X19" s="28"/>
      <c r="Y19" s="28">
        <v>75</v>
      </c>
      <c r="Z19" s="28">
        <v>2</v>
      </c>
      <c r="AA19" s="28">
        <v>150</v>
      </c>
      <c r="AB19" s="28"/>
    </row>
    <row r="20" spans="1:28">
      <c r="A20" s="885"/>
      <c r="B20" s="885"/>
      <c r="C20" s="29">
        <v>0.12847222222222199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31"/>
      <c r="S20" s="28">
        <v>80</v>
      </c>
      <c r="T20" s="28">
        <v>1</v>
      </c>
      <c r="U20" s="28">
        <v>80</v>
      </c>
      <c r="V20" s="28">
        <v>80</v>
      </c>
      <c r="W20" s="28">
        <v>1</v>
      </c>
      <c r="X20" s="28">
        <v>80</v>
      </c>
      <c r="Y20" s="28">
        <v>80</v>
      </c>
      <c r="Z20" s="28">
        <v>1</v>
      </c>
      <c r="AA20" s="28">
        <v>80</v>
      </c>
      <c r="AB20" s="28"/>
    </row>
    <row r="21" spans="1:28">
      <c r="A21" s="883">
        <v>3</v>
      </c>
      <c r="B21" s="883" t="s">
        <v>653</v>
      </c>
      <c r="C21" s="29">
        <v>0.125694444444444</v>
      </c>
      <c r="D21" s="28">
        <v>85</v>
      </c>
      <c r="E21" s="28">
        <v>1</v>
      </c>
      <c r="F21" s="28">
        <v>85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>
        <v>85</v>
      </c>
      <c r="Z21" s="28">
        <v>1</v>
      </c>
      <c r="AA21" s="28">
        <v>85</v>
      </c>
      <c r="AB21" s="28">
        <v>84</v>
      </c>
    </row>
    <row r="22" spans="1:28">
      <c r="A22" s="884"/>
      <c r="B22" s="884"/>
      <c r="C22" s="29">
        <v>0.12638888888888899</v>
      </c>
      <c r="D22" s="28"/>
      <c r="E22" s="28"/>
      <c r="F22" s="28"/>
      <c r="G22" s="28">
        <v>80</v>
      </c>
      <c r="H22" s="28">
        <v>1</v>
      </c>
      <c r="I22" s="28">
        <v>80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>
        <v>80</v>
      </c>
      <c r="Z22" s="28">
        <v>1</v>
      </c>
      <c r="AA22" s="28">
        <v>80</v>
      </c>
      <c r="AB22" s="28"/>
    </row>
    <row r="23" spans="1:28">
      <c r="A23" s="884"/>
      <c r="B23" s="884"/>
      <c r="C23" s="29">
        <v>0.12708333333333299</v>
      </c>
      <c r="D23" s="28"/>
      <c r="E23" s="28"/>
      <c r="F23" s="28"/>
      <c r="G23" s="28"/>
      <c r="H23" s="28"/>
      <c r="I23" s="28"/>
      <c r="J23" s="28">
        <v>90</v>
      </c>
      <c r="K23" s="28">
        <v>1</v>
      </c>
      <c r="L23" s="28">
        <v>90</v>
      </c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>
        <v>90</v>
      </c>
      <c r="Z23" s="28">
        <v>1</v>
      </c>
      <c r="AA23" s="28">
        <v>90</v>
      </c>
      <c r="AB23" s="28"/>
    </row>
    <row r="24" spans="1:28">
      <c r="A24" s="884"/>
      <c r="B24" s="884"/>
      <c r="C24" s="29">
        <v>0.12777777777777799</v>
      </c>
      <c r="D24" s="28"/>
      <c r="E24" s="28"/>
      <c r="F24" s="28"/>
      <c r="G24" s="28"/>
      <c r="H24" s="28"/>
      <c r="I24" s="28"/>
      <c r="J24" s="28"/>
      <c r="K24" s="28"/>
      <c r="L24" s="28"/>
      <c r="M24" s="28">
        <v>80</v>
      </c>
      <c r="N24" s="28">
        <v>2</v>
      </c>
      <c r="O24" s="28">
        <v>160</v>
      </c>
      <c r="P24" s="28">
        <v>80</v>
      </c>
      <c r="Q24" s="28">
        <v>2</v>
      </c>
      <c r="R24" s="28">
        <v>160</v>
      </c>
      <c r="S24" s="28"/>
      <c r="T24" s="28"/>
      <c r="U24" s="28"/>
      <c r="V24" s="28"/>
      <c r="W24" s="28"/>
      <c r="X24" s="28"/>
      <c r="Y24" s="28">
        <v>80</v>
      </c>
      <c r="Z24" s="28">
        <v>2</v>
      </c>
      <c r="AA24" s="28">
        <v>160</v>
      </c>
      <c r="AB24" s="28"/>
    </row>
    <row r="25" spans="1:28">
      <c r="A25" s="885"/>
      <c r="B25" s="885"/>
      <c r="C25" s="29">
        <v>0.12847222222222199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31"/>
      <c r="S25" s="28">
        <v>90</v>
      </c>
      <c r="T25" s="28">
        <v>1</v>
      </c>
      <c r="U25" s="28">
        <v>90</v>
      </c>
      <c r="V25" s="28">
        <v>90</v>
      </c>
      <c r="W25" s="28">
        <v>1</v>
      </c>
      <c r="X25" s="28">
        <v>90</v>
      </c>
      <c r="Y25" s="28">
        <v>90</v>
      </c>
      <c r="Z25" s="28">
        <v>1</v>
      </c>
      <c r="AA25" s="28">
        <v>90</v>
      </c>
      <c r="AB25" s="28"/>
    </row>
    <row r="27" spans="1:28">
      <c r="A27" s="870" t="s">
        <v>100</v>
      </c>
      <c r="B27" s="870"/>
    </row>
    <row r="28" spans="1:28">
      <c r="A28" s="30" t="s">
        <v>654</v>
      </c>
      <c r="C28" s="30" t="s">
        <v>655</v>
      </c>
    </row>
    <row r="29" spans="1:28">
      <c r="A29" s="30" t="s">
        <v>656</v>
      </c>
      <c r="C29" s="30" t="s">
        <v>657</v>
      </c>
    </row>
    <row r="30" spans="1:28">
      <c r="A30" s="30" t="s">
        <v>658</v>
      </c>
      <c r="C30" s="30" t="s">
        <v>659</v>
      </c>
    </row>
    <row r="31" spans="1:28">
      <c r="C31" s="30" t="s">
        <v>660</v>
      </c>
    </row>
    <row r="36" spans="1:28">
      <c r="S36" s="6" t="s">
        <v>599</v>
      </c>
      <c r="T36" s="6"/>
      <c r="U36" s="6"/>
    </row>
    <row r="37" spans="1:28">
      <c r="A37" s="6" t="s">
        <v>171</v>
      </c>
      <c r="B37" s="1"/>
      <c r="S37" s="6"/>
      <c r="T37" s="6"/>
      <c r="U37" s="6"/>
    </row>
    <row r="38" spans="1:28">
      <c r="A38" s="7" t="s">
        <v>388</v>
      </c>
      <c r="B38" s="1"/>
      <c r="S38" s="6" t="s">
        <v>178</v>
      </c>
      <c r="T38" s="6"/>
      <c r="U38" s="6"/>
      <c r="AB38" s="35"/>
    </row>
    <row r="39" spans="1:28">
      <c r="A39" s="7"/>
      <c r="B39" s="1"/>
      <c r="S39" s="6"/>
      <c r="T39" s="6"/>
      <c r="U39" s="6"/>
    </row>
    <row r="40" spans="1:28">
      <c r="A40" s="7"/>
      <c r="B40" s="1"/>
      <c r="S40" s="8"/>
      <c r="T40" s="6"/>
      <c r="U40" s="6"/>
    </row>
    <row r="41" spans="1:28">
      <c r="A41" s="7"/>
      <c r="B41" s="1"/>
      <c r="S41" s="6"/>
      <c r="T41" s="6"/>
      <c r="U41" s="6"/>
    </row>
    <row r="42" spans="1:28">
      <c r="A42" s="9"/>
      <c r="B42" s="1"/>
      <c r="S42" s="9"/>
      <c r="T42" s="6"/>
      <c r="U42" s="6"/>
    </row>
    <row r="43" spans="1:28">
      <c r="A43" s="7" t="s">
        <v>291</v>
      </c>
      <c r="B43" s="1"/>
      <c r="S43" s="7" t="s">
        <v>291</v>
      </c>
      <c r="T43" s="6"/>
      <c r="U43" s="6"/>
    </row>
    <row r="44" spans="1:28">
      <c r="A44" s="6"/>
      <c r="B44" s="1"/>
      <c r="S44" s="6"/>
      <c r="T44" s="6"/>
      <c r="U44" s="6"/>
    </row>
    <row r="45" spans="1:28">
      <c r="A45" s="10" t="s">
        <v>172</v>
      </c>
      <c r="B45" s="1"/>
      <c r="S45" s="10" t="s">
        <v>229</v>
      </c>
      <c r="T45" s="6"/>
      <c r="U45" s="11"/>
    </row>
    <row r="46" spans="1:28">
      <c r="A46" s="10"/>
      <c r="B46" s="1"/>
      <c r="S46" s="10"/>
      <c r="T46" s="6"/>
      <c r="U46" s="11"/>
    </row>
    <row r="47" spans="1:28">
      <c r="A47" s="10"/>
      <c r="B47" s="1"/>
      <c r="S47" s="10"/>
      <c r="T47" s="6"/>
      <c r="U47" s="11"/>
    </row>
    <row r="48" spans="1:28">
      <c r="A48" s="7"/>
      <c r="B48" s="1"/>
      <c r="S48" s="7"/>
      <c r="T48" s="6"/>
      <c r="U48" s="7"/>
    </row>
    <row r="49" spans="1:21">
      <c r="A49" s="10" t="s">
        <v>582</v>
      </c>
      <c r="B49" s="1"/>
      <c r="S49" s="12" t="s">
        <v>279</v>
      </c>
      <c r="T49" s="6"/>
      <c r="U49" s="11"/>
    </row>
    <row r="50" spans="1:21">
      <c r="A50" s="10" t="s">
        <v>280</v>
      </c>
      <c r="B50" s="1"/>
      <c r="S50" s="12" t="s">
        <v>281</v>
      </c>
      <c r="T50" s="6"/>
      <c r="U50" s="11"/>
    </row>
    <row r="54" spans="1:21">
      <c r="B54" t="s">
        <v>670</v>
      </c>
    </row>
    <row r="55" spans="1:21">
      <c r="B55" t="s">
        <v>671</v>
      </c>
      <c r="C55" t="s">
        <v>672</v>
      </c>
    </row>
    <row r="56" spans="1:21">
      <c r="B56" t="s">
        <v>673</v>
      </c>
      <c r="C56" t="s">
        <v>674</v>
      </c>
    </row>
  </sheetData>
  <mergeCells count="32">
    <mergeCell ref="A27:B27"/>
    <mergeCell ref="A8:A10"/>
    <mergeCell ref="A11:A15"/>
    <mergeCell ref="A16:A20"/>
    <mergeCell ref="A21:A25"/>
    <mergeCell ref="B8:B10"/>
    <mergeCell ref="B11:B15"/>
    <mergeCell ref="B16:B20"/>
    <mergeCell ref="B21:B25"/>
    <mergeCell ref="M9:O9"/>
    <mergeCell ref="P9:R9"/>
    <mergeCell ref="S9:U9"/>
    <mergeCell ref="V9:X9"/>
    <mergeCell ref="AA8:AA10"/>
    <mergeCell ref="M8:O8"/>
    <mergeCell ref="P8:R8"/>
    <mergeCell ref="S8:U8"/>
    <mergeCell ref="V8:X8"/>
    <mergeCell ref="A6:B6"/>
    <mergeCell ref="A7:B7"/>
    <mergeCell ref="D8:F8"/>
    <mergeCell ref="G8:I8"/>
    <mergeCell ref="J8:L8"/>
    <mergeCell ref="C8:C10"/>
    <mergeCell ref="J9:L9"/>
    <mergeCell ref="D9:F9"/>
    <mergeCell ref="G9:I9"/>
    <mergeCell ref="Y1:AB1"/>
    <mergeCell ref="Y2:AB2"/>
    <mergeCell ref="A3:AB3"/>
    <mergeCell ref="A4:B4"/>
    <mergeCell ref="A5:B5"/>
  </mergeCells>
  <pageMargins left="0.31496062992126" right="0.31496062992126" top="0.35433070866141703" bottom="1.33858267716535" header="0.31496062992126" footer="0.31496062992126"/>
  <pageSetup paperSize="5" scale="80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73"/>
  <sheetViews>
    <sheetView workbookViewId="0">
      <selection activeCell="L7" sqref="L7"/>
    </sheetView>
  </sheetViews>
  <sheetFormatPr defaultColWidth="9" defaultRowHeight="15"/>
  <cols>
    <col min="1" max="1" width="6.140625" customWidth="1"/>
    <col min="2" max="2" width="44.85546875" customWidth="1"/>
    <col min="3" max="3" width="64.140625" customWidth="1"/>
    <col min="4" max="4" width="3.28515625" customWidth="1"/>
    <col min="5" max="5" width="3.42578125" customWidth="1"/>
    <col min="6" max="7" width="3.140625" customWidth="1"/>
    <col min="8" max="8" width="2.85546875" customWidth="1"/>
    <col min="9" max="9" width="3.7109375" customWidth="1"/>
  </cols>
  <sheetData>
    <row r="1" spans="1:10">
      <c r="G1" s="746" t="s">
        <v>675</v>
      </c>
      <c r="H1" s="874"/>
      <c r="I1" s="874"/>
      <c r="J1" s="747"/>
    </row>
    <row r="2" spans="1:10">
      <c r="G2" s="843">
        <v>45117</v>
      </c>
      <c r="H2" s="843"/>
      <c r="I2" s="843"/>
      <c r="J2" s="843"/>
    </row>
    <row r="4" spans="1:10">
      <c r="A4" s="898" t="s">
        <v>676</v>
      </c>
      <c r="B4" s="898"/>
      <c r="C4" s="898"/>
      <c r="D4" s="898"/>
      <c r="E4" s="898"/>
      <c r="F4" s="898"/>
      <c r="G4" s="898"/>
      <c r="H4" s="898"/>
      <c r="I4" s="898"/>
      <c r="J4" s="898"/>
    </row>
    <row r="5" spans="1:10">
      <c r="A5" s="870" t="s">
        <v>677</v>
      </c>
      <c r="B5" s="870"/>
      <c r="C5" s="409" t="s">
        <v>962</v>
      </c>
      <c r="D5" s="14"/>
      <c r="E5" s="13"/>
      <c r="F5" s="13"/>
      <c r="G5" s="13"/>
      <c r="H5" s="13"/>
      <c r="I5" s="13"/>
      <c r="J5" s="13"/>
    </row>
    <row r="6" spans="1:10">
      <c r="A6" s="899" t="s">
        <v>4</v>
      </c>
      <c r="B6" s="870"/>
      <c r="C6" s="2" t="str">
        <f>'COVER '!E27</f>
        <v xml:space="preserve">: Teknik Pemesinan </v>
      </c>
      <c r="D6" s="13"/>
      <c r="E6" s="13"/>
      <c r="F6" s="13"/>
      <c r="G6" s="13"/>
      <c r="H6" s="13"/>
      <c r="I6" s="13"/>
      <c r="J6" s="13"/>
    </row>
    <row r="7" spans="1:10">
      <c r="A7" s="870" t="s">
        <v>5</v>
      </c>
      <c r="B7" s="870"/>
      <c r="C7" s="2" t="str">
        <f>'COVER '!E28</f>
        <v>: Mata Pelajaran Pilihan (CAM)</v>
      </c>
      <c r="D7" s="13"/>
      <c r="E7" s="13"/>
      <c r="F7" s="13"/>
      <c r="G7" s="13"/>
      <c r="H7" s="13"/>
      <c r="I7" s="13"/>
      <c r="J7" s="13"/>
    </row>
    <row r="8" spans="1:10">
      <c r="A8" s="870" t="s">
        <v>602</v>
      </c>
      <c r="B8" s="870"/>
      <c r="C8" s="2" t="str">
        <f>'COVER '!E30</f>
        <v>: XI TM3</v>
      </c>
    </row>
    <row r="9" spans="1:10">
      <c r="A9" s="876" t="s">
        <v>8</v>
      </c>
      <c r="B9" s="876"/>
      <c r="C9" s="2" t="str">
        <f>'COVER '!E31</f>
        <v>: Gasal</v>
      </c>
    </row>
    <row r="10" spans="1:10">
      <c r="A10" t="s">
        <v>471</v>
      </c>
      <c r="C10" s="2" t="s">
        <v>13</v>
      </c>
    </row>
    <row r="11" spans="1:10" ht="21" customHeight="1">
      <c r="A11" s="25" t="s">
        <v>205</v>
      </c>
      <c r="B11" s="26" t="s">
        <v>678</v>
      </c>
      <c r="C11" s="26" t="s">
        <v>679</v>
      </c>
      <c r="D11" s="900" t="s">
        <v>680</v>
      </c>
      <c r="E11" s="901"/>
      <c r="F11" s="901"/>
      <c r="G11" s="901"/>
      <c r="H11" s="901"/>
      <c r="I11" s="901"/>
      <c r="J11" s="902"/>
    </row>
    <row r="12" spans="1:10">
      <c r="A12" s="17" t="s">
        <v>45</v>
      </c>
      <c r="B12" s="18" t="s">
        <v>681</v>
      </c>
      <c r="C12" s="19"/>
      <c r="D12" s="17">
        <v>1</v>
      </c>
      <c r="E12" s="17">
        <v>2</v>
      </c>
      <c r="F12" s="17">
        <v>3</v>
      </c>
      <c r="G12" s="17">
        <v>4</v>
      </c>
      <c r="H12" s="17">
        <v>5</v>
      </c>
      <c r="I12" s="17">
        <v>6</v>
      </c>
      <c r="J12" s="17" t="s">
        <v>598</v>
      </c>
    </row>
    <row r="13" spans="1:10" ht="15.75" customHeight="1">
      <c r="A13" s="903"/>
      <c r="B13" s="904" t="s">
        <v>682</v>
      </c>
      <c r="C13" s="22" t="s">
        <v>683</v>
      </c>
      <c r="D13" s="905"/>
      <c r="E13" s="905"/>
      <c r="F13" s="905"/>
      <c r="G13" s="905"/>
      <c r="H13" s="905"/>
      <c r="I13" s="905"/>
      <c r="J13" s="905"/>
    </row>
    <row r="14" spans="1:10" ht="16.5" customHeight="1">
      <c r="A14" s="903"/>
      <c r="B14" s="904"/>
      <c r="C14" s="22" t="s">
        <v>684</v>
      </c>
      <c r="D14" s="905"/>
      <c r="E14" s="905"/>
      <c r="F14" s="905"/>
      <c r="G14" s="905"/>
      <c r="H14" s="905"/>
      <c r="I14" s="905"/>
      <c r="J14" s="905"/>
    </row>
    <row r="15" spans="1:10" ht="31.5" customHeight="1">
      <c r="A15" s="903"/>
      <c r="B15" s="904" t="s">
        <v>685</v>
      </c>
      <c r="C15" s="22" t="s">
        <v>686</v>
      </c>
      <c r="D15" s="905"/>
      <c r="E15" s="905"/>
      <c r="F15" s="905"/>
      <c r="G15" s="905"/>
      <c r="H15" s="905"/>
      <c r="I15" s="905"/>
      <c r="J15" s="905"/>
    </row>
    <row r="16" spans="1:10" ht="24.75" customHeight="1">
      <c r="A16" s="903"/>
      <c r="B16" s="904"/>
      <c r="C16" s="22" t="s">
        <v>687</v>
      </c>
      <c r="D16" s="905"/>
      <c r="E16" s="905"/>
      <c r="F16" s="905"/>
      <c r="G16" s="905"/>
      <c r="H16" s="905"/>
      <c r="I16" s="905"/>
      <c r="J16" s="905"/>
    </row>
    <row r="17" spans="1:10" ht="15" customHeight="1">
      <c r="A17" s="903"/>
      <c r="B17" s="905" t="s">
        <v>688</v>
      </c>
      <c r="C17" s="22" t="s">
        <v>689</v>
      </c>
      <c r="D17" s="905"/>
      <c r="E17" s="905"/>
      <c r="F17" s="905"/>
      <c r="G17" s="905"/>
      <c r="H17" s="905"/>
      <c r="I17" s="905"/>
      <c r="J17" s="905"/>
    </row>
    <row r="18" spans="1:10" ht="17.25" customHeight="1">
      <c r="A18" s="903"/>
      <c r="B18" s="905"/>
      <c r="C18" s="22" t="s">
        <v>690</v>
      </c>
      <c r="D18" s="905"/>
      <c r="E18" s="905"/>
      <c r="F18" s="905"/>
      <c r="G18" s="905"/>
      <c r="H18" s="905"/>
      <c r="I18" s="905"/>
      <c r="J18" s="905"/>
    </row>
    <row r="19" spans="1:10" ht="18" customHeight="1">
      <c r="A19" s="903"/>
      <c r="B19" s="905"/>
      <c r="C19" s="22" t="s">
        <v>691</v>
      </c>
      <c r="D19" s="905"/>
      <c r="E19" s="905"/>
      <c r="F19" s="905"/>
      <c r="G19" s="905"/>
      <c r="H19" s="905"/>
      <c r="I19" s="905"/>
      <c r="J19" s="905"/>
    </row>
    <row r="20" spans="1:10" ht="12.75" customHeight="1">
      <c r="A20" s="903"/>
      <c r="B20" s="905" t="s">
        <v>692</v>
      </c>
      <c r="C20" s="22" t="s">
        <v>693</v>
      </c>
      <c r="D20" s="905"/>
      <c r="E20" s="905"/>
      <c r="F20" s="905"/>
      <c r="G20" s="905"/>
      <c r="H20" s="905"/>
      <c r="I20" s="905"/>
      <c r="J20" s="905"/>
    </row>
    <row r="21" spans="1:10" ht="19.5" customHeight="1">
      <c r="A21" s="903"/>
      <c r="B21" s="905"/>
      <c r="C21" s="22" t="s">
        <v>694</v>
      </c>
      <c r="D21" s="905"/>
      <c r="E21" s="905"/>
      <c r="F21" s="905"/>
      <c r="G21" s="905"/>
      <c r="H21" s="905"/>
      <c r="I21" s="905"/>
      <c r="J21" s="905"/>
    </row>
    <row r="22" spans="1:10" ht="16.5" customHeight="1">
      <c r="A22" s="20" t="s">
        <v>695</v>
      </c>
      <c r="B22" s="22" t="s">
        <v>696</v>
      </c>
      <c r="C22" s="22"/>
      <c r="D22" s="22"/>
      <c r="E22" s="22"/>
      <c r="F22" s="22"/>
      <c r="G22" s="22"/>
      <c r="H22" s="22"/>
      <c r="I22" s="22"/>
      <c r="J22" s="22"/>
    </row>
    <row r="23" spans="1:10" ht="18" customHeight="1">
      <c r="A23" s="903"/>
      <c r="B23" s="905" t="s">
        <v>697</v>
      </c>
      <c r="C23" s="22" t="s">
        <v>698</v>
      </c>
      <c r="D23" s="905"/>
      <c r="E23" s="905"/>
      <c r="F23" s="905"/>
      <c r="G23" s="905"/>
      <c r="H23" s="905"/>
      <c r="I23" s="905"/>
      <c r="J23" s="905"/>
    </row>
    <row r="24" spans="1:10" ht="14.25" customHeight="1">
      <c r="A24" s="903"/>
      <c r="B24" s="905"/>
      <c r="C24" s="22" t="s">
        <v>699</v>
      </c>
      <c r="D24" s="905"/>
      <c r="E24" s="905"/>
      <c r="F24" s="905"/>
      <c r="G24" s="905"/>
      <c r="H24" s="905"/>
      <c r="I24" s="905"/>
      <c r="J24" s="905"/>
    </row>
    <row r="25" spans="1:10" ht="18" customHeight="1">
      <c r="A25" s="903"/>
      <c r="B25" s="905"/>
      <c r="C25" s="22" t="s">
        <v>700</v>
      </c>
      <c r="D25" s="905"/>
      <c r="E25" s="905"/>
      <c r="F25" s="905"/>
      <c r="G25" s="905"/>
      <c r="H25" s="905"/>
      <c r="I25" s="905"/>
      <c r="J25" s="905"/>
    </row>
    <row r="26" spans="1:10" ht="27.75" customHeight="1">
      <c r="A26" s="903"/>
      <c r="B26" s="905" t="s">
        <v>701</v>
      </c>
      <c r="C26" s="22" t="s">
        <v>702</v>
      </c>
      <c r="D26" s="905"/>
      <c r="E26" s="905"/>
      <c r="F26" s="905"/>
      <c r="G26" s="905"/>
      <c r="H26" s="905"/>
      <c r="I26" s="905"/>
      <c r="J26" s="905"/>
    </row>
    <row r="27" spans="1:10" ht="28.5" customHeight="1">
      <c r="A27" s="903"/>
      <c r="B27" s="905"/>
      <c r="C27" s="22" t="s">
        <v>703</v>
      </c>
      <c r="D27" s="905"/>
      <c r="E27" s="905"/>
      <c r="F27" s="905"/>
      <c r="G27" s="905"/>
      <c r="H27" s="905"/>
      <c r="I27" s="905"/>
      <c r="J27" s="905"/>
    </row>
    <row r="28" spans="1:10" ht="27" customHeight="1">
      <c r="A28" s="903"/>
      <c r="B28" s="905" t="s">
        <v>704</v>
      </c>
      <c r="C28" s="22" t="s">
        <v>705</v>
      </c>
      <c r="D28" s="905"/>
      <c r="E28" s="905"/>
      <c r="F28" s="905"/>
      <c r="G28" s="905"/>
      <c r="H28" s="905"/>
      <c r="I28" s="905"/>
      <c r="J28" s="905"/>
    </row>
    <row r="29" spans="1:10" ht="19.5" customHeight="1">
      <c r="A29" s="903"/>
      <c r="B29" s="905"/>
      <c r="C29" s="22" t="s">
        <v>706</v>
      </c>
      <c r="D29" s="905"/>
      <c r="E29" s="905"/>
      <c r="F29" s="905"/>
      <c r="G29" s="905"/>
      <c r="H29" s="905"/>
      <c r="I29" s="905"/>
      <c r="J29" s="905"/>
    </row>
    <row r="30" spans="1:10" ht="24" customHeight="1">
      <c r="A30" s="903"/>
      <c r="B30" s="905" t="s">
        <v>707</v>
      </c>
      <c r="C30" s="22" t="s">
        <v>708</v>
      </c>
      <c r="D30" s="905"/>
      <c r="E30" s="905"/>
      <c r="F30" s="905"/>
      <c r="G30" s="905"/>
      <c r="H30" s="905"/>
      <c r="I30" s="905"/>
      <c r="J30" s="905"/>
    </row>
    <row r="31" spans="1:10" ht="21" customHeight="1">
      <c r="A31" s="903"/>
      <c r="B31" s="905"/>
      <c r="C31" s="22" t="s">
        <v>709</v>
      </c>
      <c r="D31" s="905"/>
      <c r="E31" s="905"/>
      <c r="F31" s="905"/>
      <c r="G31" s="905"/>
      <c r="H31" s="905"/>
      <c r="I31" s="905"/>
      <c r="J31" s="905"/>
    </row>
    <row r="32" spans="1:10" ht="19.5" customHeight="1">
      <c r="A32" s="903"/>
      <c r="B32" s="905" t="s">
        <v>710</v>
      </c>
      <c r="C32" s="22" t="s">
        <v>711</v>
      </c>
      <c r="D32" s="905"/>
      <c r="E32" s="905"/>
      <c r="F32" s="905"/>
      <c r="G32" s="905"/>
      <c r="H32" s="905"/>
      <c r="I32" s="905"/>
      <c r="J32" s="905"/>
    </row>
    <row r="33" spans="1:10" ht="17.25" customHeight="1">
      <c r="A33" s="903"/>
      <c r="B33" s="905"/>
      <c r="C33" s="22" t="s">
        <v>712</v>
      </c>
      <c r="D33" s="905"/>
      <c r="E33" s="905"/>
      <c r="F33" s="905"/>
      <c r="G33" s="905"/>
      <c r="H33" s="905"/>
      <c r="I33" s="905"/>
      <c r="J33" s="905"/>
    </row>
    <row r="34" spans="1:10" ht="27.75" customHeight="1">
      <c r="A34" s="903"/>
      <c r="B34" s="905" t="s">
        <v>713</v>
      </c>
      <c r="C34" s="22" t="s">
        <v>714</v>
      </c>
      <c r="D34" s="905"/>
      <c r="E34" s="905"/>
      <c r="F34" s="905"/>
      <c r="G34" s="905"/>
      <c r="H34" s="905"/>
      <c r="I34" s="905"/>
      <c r="J34" s="905"/>
    </row>
    <row r="35" spans="1:10" ht="72.75" hidden="1" customHeight="1">
      <c r="A35" s="903"/>
      <c r="B35" s="905"/>
      <c r="C35" s="22" t="s">
        <v>715</v>
      </c>
      <c r="D35" s="905"/>
      <c r="E35" s="905"/>
      <c r="F35" s="905"/>
      <c r="G35" s="905"/>
      <c r="H35" s="905"/>
      <c r="I35" s="905"/>
      <c r="J35" s="905"/>
    </row>
    <row r="36" spans="1:10" ht="15" customHeight="1">
      <c r="A36" s="903"/>
      <c r="B36" s="905"/>
      <c r="C36" s="22"/>
      <c r="D36" s="905"/>
      <c r="E36" s="905"/>
      <c r="F36" s="905"/>
      <c r="G36" s="905"/>
      <c r="H36" s="905"/>
      <c r="I36" s="905"/>
      <c r="J36" s="905"/>
    </row>
    <row r="37" spans="1:10" ht="22.5" customHeight="1">
      <c r="A37" s="903"/>
      <c r="B37" s="905" t="s">
        <v>716</v>
      </c>
      <c r="C37" s="22" t="s">
        <v>717</v>
      </c>
      <c r="D37" s="905"/>
      <c r="E37" s="905"/>
      <c r="F37" s="905"/>
      <c r="G37" s="905"/>
      <c r="H37" s="905"/>
      <c r="I37" s="905"/>
      <c r="J37" s="905"/>
    </row>
    <row r="38" spans="1:10" ht="45" customHeight="1">
      <c r="A38" s="903"/>
      <c r="B38" s="905"/>
      <c r="C38" s="22" t="s">
        <v>718</v>
      </c>
      <c r="D38" s="905"/>
      <c r="E38" s="905"/>
      <c r="F38" s="905"/>
      <c r="G38" s="905"/>
      <c r="H38" s="905"/>
      <c r="I38" s="905"/>
      <c r="J38" s="905"/>
    </row>
    <row r="39" spans="1:10" ht="48.75" customHeight="1">
      <c r="A39" s="903"/>
      <c r="B39" s="905"/>
      <c r="C39" s="22" t="s">
        <v>719</v>
      </c>
      <c r="D39" s="905"/>
      <c r="E39" s="905"/>
      <c r="F39" s="905"/>
      <c r="G39" s="905"/>
      <c r="H39" s="905"/>
      <c r="I39" s="905"/>
      <c r="J39" s="905"/>
    </row>
    <row r="40" spans="1:10" ht="18" customHeight="1">
      <c r="A40" s="903"/>
      <c r="B40" s="905" t="s">
        <v>720</v>
      </c>
      <c r="C40" s="22" t="s">
        <v>721</v>
      </c>
      <c r="D40" s="905"/>
      <c r="E40" s="905"/>
      <c r="F40" s="905"/>
      <c r="G40" s="905"/>
      <c r="H40" s="905"/>
      <c r="I40" s="905"/>
      <c r="J40" s="905"/>
    </row>
    <row r="41" spans="1:10" ht="36" customHeight="1">
      <c r="A41" s="903"/>
      <c r="B41" s="905"/>
      <c r="C41" s="22" t="s">
        <v>722</v>
      </c>
      <c r="D41" s="905"/>
      <c r="E41" s="905"/>
      <c r="F41" s="905"/>
      <c r="G41" s="905"/>
      <c r="H41" s="905"/>
      <c r="I41" s="905"/>
      <c r="J41" s="905"/>
    </row>
    <row r="42" spans="1:10" ht="30" customHeight="1">
      <c r="A42" s="903"/>
      <c r="B42" s="905"/>
      <c r="C42" s="22" t="s">
        <v>723</v>
      </c>
      <c r="D42" s="905"/>
      <c r="E42" s="905"/>
      <c r="F42" s="905"/>
      <c r="G42" s="905"/>
      <c r="H42" s="905"/>
      <c r="I42" s="905"/>
      <c r="J42" s="905"/>
    </row>
    <row r="43" spans="1:10" ht="17.25" customHeight="1">
      <c r="A43" s="903"/>
      <c r="B43" s="905" t="s">
        <v>724</v>
      </c>
      <c r="C43" s="22" t="s">
        <v>725</v>
      </c>
      <c r="D43" s="905"/>
      <c r="E43" s="905"/>
      <c r="F43" s="905"/>
      <c r="G43" s="905"/>
      <c r="H43" s="905"/>
      <c r="I43" s="905"/>
      <c r="J43" s="905"/>
    </row>
    <row r="44" spans="1:10" ht="18" customHeight="1">
      <c r="A44" s="903"/>
      <c r="B44" s="905"/>
      <c r="C44" s="22" t="s">
        <v>726</v>
      </c>
      <c r="D44" s="905"/>
      <c r="E44" s="905"/>
      <c r="F44" s="905"/>
      <c r="G44" s="905"/>
      <c r="H44" s="905"/>
      <c r="I44" s="905"/>
      <c r="J44" s="905"/>
    </row>
    <row r="45" spans="1:10">
      <c r="A45" s="20" t="s">
        <v>727</v>
      </c>
      <c r="B45" s="22" t="s">
        <v>728</v>
      </c>
      <c r="C45" s="22"/>
      <c r="D45" s="22"/>
      <c r="E45" s="22"/>
      <c r="F45" s="22"/>
      <c r="G45" s="22"/>
      <c r="H45" s="22"/>
      <c r="I45" s="22"/>
      <c r="J45" s="22"/>
    </row>
    <row r="46" spans="1:10" ht="30.75" customHeight="1">
      <c r="A46" s="903"/>
      <c r="B46" s="905" t="s">
        <v>729</v>
      </c>
      <c r="C46" s="22" t="s">
        <v>730</v>
      </c>
      <c r="D46" s="905"/>
      <c r="E46" s="905"/>
      <c r="F46" s="905"/>
      <c r="G46" s="905"/>
      <c r="H46" s="905"/>
      <c r="I46" s="905"/>
      <c r="J46" s="905"/>
    </row>
    <row r="47" spans="1:10" ht="37.5" customHeight="1">
      <c r="A47" s="903"/>
      <c r="B47" s="905"/>
      <c r="C47" s="22" t="s">
        <v>731</v>
      </c>
      <c r="D47" s="905"/>
      <c r="E47" s="905"/>
      <c r="F47" s="905"/>
      <c r="G47" s="905"/>
      <c r="H47" s="905"/>
      <c r="I47" s="905"/>
      <c r="J47" s="905"/>
    </row>
    <row r="48" spans="1:10" ht="20.25" customHeight="1">
      <c r="A48" s="903"/>
      <c r="B48" s="905" t="s">
        <v>732</v>
      </c>
      <c r="C48" s="22" t="s">
        <v>733</v>
      </c>
      <c r="D48" s="905"/>
      <c r="E48" s="905"/>
      <c r="F48" s="905"/>
      <c r="G48" s="905"/>
      <c r="H48" s="905"/>
      <c r="I48" s="905"/>
      <c r="J48" s="905"/>
    </row>
    <row r="49" spans="1:10" ht="24" customHeight="1">
      <c r="A49" s="903"/>
      <c r="B49" s="905"/>
      <c r="C49" s="22" t="s">
        <v>734</v>
      </c>
      <c r="D49" s="905"/>
      <c r="E49" s="905"/>
      <c r="F49" s="905"/>
      <c r="G49" s="905"/>
      <c r="H49" s="905"/>
      <c r="I49" s="905"/>
      <c r="J49" s="905"/>
    </row>
    <row r="50" spans="1:10" ht="23.25" customHeight="1">
      <c r="A50" s="903"/>
      <c r="B50" s="905"/>
      <c r="C50" s="22" t="s">
        <v>735</v>
      </c>
      <c r="D50" s="905"/>
      <c r="E50" s="905"/>
      <c r="F50" s="905"/>
      <c r="G50" s="905"/>
      <c r="H50" s="905"/>
      <c r="I50" s="905"/>
      <c r="J50" s="905"/>
    </row>
    <row r="51" spans="1:10" ht="18.75" customHeight="1">
      <c r="A51" s="903"/>
      <c r="B51" s="905" t="s">
        <v>736</v>
      </c>
      <c r="C51" s="22" t="s">
        <v>737</v>
      </c>
      <c r="D51" s="905"/>
      <c r="E51" s="905"/>
      <c r="F51" s="905"/>
      <c r="G51" s="905"/>
      <c r="H51" s="905"/>
      <c r="I51" s="905"/>
      <c r="J51" s="905"/>
    </row>
    <row r="52" spans="1:10" ht="18.75" customHeight="1">
      <c r="A52" s="903"/>
      <c r="B52" s="905"/>
      <c r="C52" s="22" t="s">
        <v>738</v>
      </c>
      <c r="D52" s="905"/>
      <c r="E52" s="905"/>
      <c r="F52" s="905"/>
      <c r="G52" s="905"/>
      <c r="H52" s="905"/>
      <c r="I52" s="905"/>
      <c r="J52" s="905"/>
    </row>
    <row r="53" spans="1:10" ht="15.75" customHeight="1">
      <c r="A53" s="903"/>
      <c r="B53" s="905" t="s">
        <v>739</v>
      </c>
      <c r="C53" s="22" t="s">
        <v>740</v>
      </c>
      <c r="D53" s="905"/>
      <c r="E53" s="905"/>
      <c r="F53" s="905"/>
      <c r="G53" s="905"/>
      <c r="H53" s="905"/>
      <c r="I53" s="905"/>
      <c r="J53" s="905"/>
    </row>
    <row r="54" spans="1:10" ht="21.75" customHeight="1">
      <c r="A54" s="903"/>
      <c r="B54" s="905"/>
      <c r="C54" s="22" t="s">
        <v>741</v>
      </c>
      <c r="D54" s="905"/>
      <c r="E54" s="905"/>
      <c r="F54" s="905"/>
      <c r="G54" s="905"/>
      <c r="H54" s="905"/>
      <c r="I54" s="905"/>
      <c r="J54" s="905"/>
    </row>
    <row r="59" spans="1:10">
      <c r="B59" s="6" t="s">
        <v>171</v>
      </c>
      <c r="C59" s="1"/>
      <c r="D59" s="361" t="s">
        <v>961</v>
      </c>
      <c r="E59" s="6"/>
      <c r="F59" s="6"/>
    </row>
    <row r="60" spans="1:10">
      <c r="B60" s="362" t="s">
        <v>188</v>
      </c>
      <c r="C60" s="1"/>
      <c r="D60" s="6"/>
      <c r="E60" s="6"/>
      <c r="F60" s="6"/>
    </row>
    <row r="61" spans="1:10">
      <c r="B61" s="7"/>
      <c r="C61" s="1"/>
      <c r="D61" s="6" t="s">
        <v>178</v>
      </c>
      <c r="E61" s="6"/>
      <c r="F61" s="6"/>
    </row>
    <row r="62" spans="1:10">
      <c r="B62" s="7"/>
      <c r="C62" s="1"/>
      <c r="D62" s="6"/>
      <c r="E62" s="6"/>
      <c r="F62" s="6"/>
    </row>
    <row r="63" spans="1:10">
      <c r="B63" s="7"/>
      <c r="C63" s="1"/>
      <c r="D63" s="8"/>
      <c r="E63" s="6"/>
      <c r="F63" s="6"/>
    </row>
    <row r="64" spans="1:10">
      <c r="B64" s="9" t="str">
        <f>'Prhtngn Mingg Ef(3)'!B87</f>
        <v>Drs. M. Hasannuddin</v>
      </c>
      <c r="C64" s="1"/>
      <c r="D64" s="6"/>
      <c r="E64" s="6"/>
      <c r="F64" s="6"/>
    </row>
    <row r="65" spans="2:6">
      <c r="B65" s="7" t="str">
        <f>'Prhtngn Mingg Ef(3)'!B88</f>
        <v>NIP. 19670621 199412 1 003</v>
      </c>
      <c r="C65" s="1"/>
      <c r="D65" s="9" t="str">
        <f>'Prhtngn Mingg Ef(3)'!G87</f>
        <v>Hermawan Rochmadi, S. Pd.</v>
      </c>
      <c r="E65" s="6"/>
      <c r="F65" s="6"/>
    </row>
    <row r="66" spans="2:6">
      <c r="B66" s="6"/>
      <c r="C66" s="1"/>
      <c r="D66" s="7" t="str">
        <f>'Prhtngn Mingg Ef(3)'!G88</f>
        <v>NIP. 19920317 201903 1 009</v>
      </c>
      <c r="E66" s="6"/>
      <c r="F66" s="6"/>
    </row>
    <row r="67" spans="2:6">
      <c r="B67" s="10" t="s">
        <v>172</v>
      </c>
      <c r="C67" s="1"/>
      <c r="D67" s="6"/>
      <c r="E67" s="6"/>
      <c r="F67" s="6"/>
    </row>
    <row r="68" spans="2:6">
      <c r="B68" s="10"/>
      <c r="C68" s="1"/>
      <c r="D68" s="10" t="s">
        <v>229</v>
      </c>
      <c r="E68" s="6"/>
      <c r="F68" s="11"/>
    </row>
    <row r="69" spans="2:6">
      <c r="B69" s="10"/>
      <c r="C69" s="1"/>
      <c r="D69" s="10"/>
      <c r="E69" s="6"/>
      <c r="F69" s="11"/>
    </row>
    <row r="70" spans="2:6">
      <c r="B70" s="7"/>
      <c r="C70" s="1"/>
      <c r="D70" s="10"/>
      <c r="E70" s="6"/>
      <c r="F70" s="11"/>
    </row>
    <row r="71" spans="2:6">
      <c r="B71" s="10" t="str">
        <f>'Prhtngn Mingg Ef(3)'!B95</f>
        <v>WIDADA, S.Pd., M.Pd.</v>
      </c>
      <c r="C71" s="1"/>
      <c r="D71" s="7"/>
      <c r="E71" s="6"/>
      <c r="F71" s="7"/>
    </row>
    <row r="72" spans="2:6">
      <c r="B72" s="10" t="str">
        <f>'Prhtngn Mingg Ef(3)'!B96</f>
        <v>NIP. 19690212 200012 1 002</v>
      </c>
      <c r="C72" s="1"/>
      <c r="D72" s="12" t="str">
        <f>'Prhtngn Mingg Ef(3)'!G95</f>
        <v>GUNAWAN, S.Pd., M.M.</v>
      </c>
      <c r="E72" s="6"/>
      <c r="F72" s="11"/>
    </row>
    <row r="73" spans="2:6">
      <c r="D73" s="12" t="str">
        <f>'Prhtngn Mingg Ef(3)'!G96</f>
        <v>NIP. 19711213 200501 1 004</v>
      </c>
      <c r="E73" s="6"/>
      <c r="F73" s="11"/>
    </row>
  </sheetData>
  <mergeCells count="162">
    <mergeCell ref="I53:I54"/>
    <mergeCell ref="J13:J14"/>
    <mergeCell ref="J15:J16"/>
    <mergeCell ref="J17:J19"/>
    <mergeCell ref="J20:J21"/>
    <mergeCell ref="J23:J25"/>
    <mergeCell ref="J26:J27"/>
    <mergeCell ref="J28:J29"/>
    <mergeCell ref="J30:J31"/>
    <mergeCell ref="J32:J33"/>
    <mergeCell ref="J34:J36"/>
    <mergeCell ref="J37:J39"/>
    <mergeCell ref="J40:J42"/>
    <mergeCell ref="J43:J44"/>
    <mergeCell ref="J46:J47"/>
    <mergeCell ref="J48:J50"/>
    <mergeCell ref="J51:J52"/>
    <mergeCell ref="J53:J54"/>
    <mergeCell ref="H34:H36"/>
    <mergeCell ref="H37:H39"/>
    <mergeCell ref="H40:H42"/>
    <mergeCell ref="H43:H44"/>
    <mergeCell ref="H46:H47"/>
    <mergeCell ref="H48:H50"/>
    <mergeCell ref="H51:H52"/>
    <mergeCell ref="H53:H54"/>
    <mergeCell ref="I13:I14"/>
    <mergeCell ref="I15:I16"/>
    <mergeCell ref="I17:I19"/>
    <mergeCell ref="I20:I21"/>
    <mergeCell ref="I23:I25"/>
    <mergeCell ref="I26:I27"/>
    <mergeCell ref="I28:I29"/>
    <mergeCell ref="I30:I31"/>
    <mergeCell ref="I32:I33"/>
    <mergeCell ref="I34:I36"/>
    <mergeCell ref="I37:I39"/>
    <mergeCell ref="I40:I42"/>
    <mergeCell ref="I43:I44"/>
    <mergeCell ref="I46:I47"/>
    <mergeCell ref="I48:I50"/>
    <mergeCell ref="I51:I52"/>
    <mergeCell ref="H13:H14"/>
    <mergeCell ref="H15:H16"/>
    <mergeCell ref="H17:H19"/>
    <mergeCell ref="H20:H21"/>
    <mergeCell ref="H23:H25"/>
    <mergeCell ref="H26:H27"/>
    <mergeCell ref="H28:H29"/>
    <mergeCell ref="H30:H31"/>
    <mergeCell ref="H32:H33"/>
    <mergeCell ref="F53:F54"/>
    <mergeCell ref="G13:G14"/>
    <mergeCell ref="G15:G16"/>
    <mergeCell ref="G17:G19"/>
    <mergeCell ref="G20:G21"/>
    <mergeCell ref="G23:G25"/>
    <mergeCell ref="G26:G27"/>
    <mergeCell ref="G28:G29"/>
    <mergeCell ref="G30:G31"/>
    <mergeCell ref="G32:G33"/>
    <mergeCell ref="G34:G36"/>
    <mergeCell ref="G37:G39"/>
    <mergeCell ref="G40:G42"/>
    <mergeCell ref="G43:G44"/>
    <mergeCell ref="G46:G47"/>
    <mergeCell ref="G48:G50"/>
    <mergeCell ref="G51:G52"/>
    <mergeCell ref="G53:G54"/>
    <mergeCell ref="E34:E36"/>
    <mergeCell ref="E37:E39"/>
    <mergeCell ref="E40:E42"/>
    <mergeCell ref="E43:E44"/>
    <mergeCell ref="E46:E47"/>
    <mergeCell ref="E48:E50"/>
    <mergeCell ref="E51:E52"/>
    <mergeCell ref="E53:E54"/>
    <mergeCell ref="F13:F14"/>
    <mergeCell ref="F15:F16"/>
    <mergeCell ref="F17:F19"/>
    <mergeCell ref="F20:F21"/>
    <mergeCell ref="F23:F25"/>
    <mergeCell ref="F26:F27"/>
    <mergeCell ref="F28:F29"/>
    <mergeCell ref="F30:F31"/>
    <mergeCell ref="F32:F33"/>
    <mergeCell ref="F34:F36"/>
    <mergeCell ref="F37:F39"/>
    <mergeCell ref="F40:F42"/>
    <mergeCell ref="F43:F44"/>
    <mergeCell ref="F46:F47"/>
    <mergeCell ref="F48:F50"/>
    <mergeCell ref="F51:F52"/>
    <mergeCell ref="E13:E14"/>
    <mergeCell ref="E15:E16"/>
    <mergeCell ref="E17:E19"/>
    <mergeCell ref="E20:E21"/>
    <mergeCell ref="E23:E25"/>
    <mergeCell ref="E26:E27"/>
    <mergeCell ref="E28:E29"/>
    <mergeCell ref="E30:E31"/>
    <mergeCell ref="E32:E33"/>
    <mergeCell ref="B53:B54"/>
    <mergeCell ref="D13:D14"/>
    <mergeCell ref="D15:D16"/>
    <mergeCell ref="D17:D19"/>
    <mergeCell ref="D20:D21"/>
    <mergeCell ref="D23:D25"/>
    <mergeCell ref="D26:D27"/>
    <mergeCell ref="D28:D29"/>
    <mergeCell ref="D30:D31"/>
    <mergeCell ref="D32:D33"/>
    <mergeCell ref="D34:D36"/>
    <mergeCell ref="D37:D39"/>
    <mergeCell ref="D40:D42"/>
    <mergeCell ref="D43:D44"/>
    <mergeCell ref="D46:D47"/>
    <mergeCell ref="D48:D50"/>
    <mergeCell ref="D51:D52"/>
    <mergeCell ref="D53:D54"/>
    <mergeCell ref="A34:A36"/>
    <mergeCell ref="A37:A39"/>
    <mergeCell ref="A40:A42"/>
    <mergeCell ref="A43:A44"/>
    <mergeCell ref="A46:A47"/>
    <mergeCell ref="A48:A50"/>
    <mergeCell ref="A51:A52"/>
    <mergeCell ref="A53:A54"/>
    <mergeCell ref="B13:B14"/>
    <mergeCell ref="B15:B16"/>
    <mergeCell ref="B17:B19"/>
    <mergeCell ref="B20:B21"/>
    <mergeCell ref="B23:B25"/>
    <mergeCell ref="B26:B27"/>
    <mergeCell ref="B28:B29"/>
    <mergeCell ref="B30:B31"/>
    <mergeCell ref="B32:B33"/>
    <mergeCell ref="B34:B36"/>
    <mergeCell ref="B37:B39"/>
    <mergeCell ref="B40:B42"/>
    <mergeCell ref="B43:B44"/>
    <mergeCell ref="B46:B47"/>
    <mergeCell ref="B48:B50"/>
    <mergeCell ref="B51:B52"/>
    <mergeCell ref="A13:A14"/>
    <mergeCell ref="A15:A16"/>
    <mergeCell ref="A17:A19"/>
    <mergeCell ref="A20:A21"/>
    <mergeCell ref="A23:A25"/>
    <mergeCell ref="A26:A27"/>
    <mergeCell ref="A28:A29"/>
    <mergeCell ref="A30:A31"/>
    <mergeCell ref="A32:A33"/>
    <mergeCell ref="G1:J1"/>
    <mergeCell ref="G2:J2"/>
    <mergeCell ref="A4:J4"/>
    <mergeCell ref="A5:B5"/>
    <mergeCell ref="A6:B6"/>
    <mergeCell ref="A7:B7"/>
    <mergeCell ref="A8:B8"/>
    <mergeCell ref="A9:B9"/>
    <mergeCell ref="D11:J11"/>
  </mergeCells>
  <pageMargins left="0.511811023622047" right="0.31496062992126" top="0.55118110236220497" bottom="1.33858267716535" header="0.31496062992126" footer="0.31496062992126"/>
  <pageSetup paperSize="5" scale="9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8"/>
  <sheetViews>
    <sheetView workbookViewId="0">
      <selection activeCell="A4" sqref="A4:B8"/>
    </sheetView>
  </sheetViews>
  <sheetFormatPr defaultColWidth="9" defaultRowHeight="15"/>
  <cols>
    <col min="1" max="1" width="5" customWidth="1"/>
    <col min="2" max="2" width="31.5703125" customWidth="1"/>
    <col min="3" max="3" width="73.85546875" customWidth="1"/>
    <col min="4" max="4" width="5.28515625" customWidth="1"/>
    <col min="5" max="5" width="4.85546875" customWidth="1"/>
    <col min="6" max="6" width="4.28515625" customWidth="1"/>
    <col min="7" max="7" width="4.42578125" customWidth="1"/>
    <col min="8" max="9" width="4.85546875" customWidth="1"/>
  </cols>
  <sheetData>
    <row r="1" spans="1:10">
      <c r="G1" s="746" t="s">
        <v>742</v>
      </c>
      <c r="H1" s="874"/>
      <c r="I1" s="874"/>
      <c r="J1" s="747"/>
    </row>
    <row r="2" spans="1:10">
      <c r="G2" s="843">
        <v>45117</v>
      </c>
      <c r="H2" s="843"/>
      <c r="I2" s="843"/>
      <c r="J2" s="843"/>
    </row>
    <row r="3" spans="1:10">
      <c r="A3" s="898" t="s">
        <v>743</v>
      </c>
      <c r="B3" s="898"/>
      <c r="C3" s="898"/>
      <c r="D3" s="898"/>
      <c r="E3" s="898"/>
      <c r="F3" s="898"/>
      <c r="G3" s="898"/>
      <c r="H3" s="898"/>
      <c r="I3" s="898"/>
      <c r="J3" s="898"/>
    </row>
    <row r="4" spans="1:10">
      <c r="A4" s="870" t="s">
        <v>677</v>
      </c>
      <c r="B4" s="870"/>
      <c r="C4" t="str">
        <f>'Telaah Soal PG (25)'!C5</f>
        <v>: SMKN 3 Yogyakarta</v>
      </c>
      <c r="D4" s="14"/>
      <c r="E4" s="13"/>
      <c r="F4" s="13"/>
      <c r="G4" s="13"/>
      <c r="H4" s="13"/>
      <c r="I4" s="13"/>
      <c r="J4" s="13"/>
    </row>
    <row r="5" spans="1:10">
      <c r="A5" s="899" t="s">
        <v>4</v>
      </c>
      <c r="B5" s="870"/>
      <c r="C5" s="2" t="str">
        <f>'COVER '!E27</f>
        <v xml:space="preserve">: Teknik Pemesinan </v>
      </c>
      <c r="D5" s="13"/>
      <c r="E5" s="13"/>
      <c r="F5" s="13"/>
      <c r="G5" s="13"/>
      <c r="H5" s="13"/>
      <c r="I5" s="13"/>
      <c r="J5" s="13"/>
    </row>
    <row r="6" spans="1:10">
      <c r="A6" s="870" t="s">
        <v>5</v>
      </c>
      <c r="B6" s="870"/>
      <c r="C6" s="2" t="str">
        <f>'COVER '!E28</f>
        <v>: Mata Pelajaran Pilihan (CAM)</v>
      </c>
      <c r="D6" s="13"/>
      <c r="E6" s="13"/>
      <c r="F6" s="13"/>
      <c r="G6" s="13"/>
      <c r="H6" s="13"/>
      <c r="I6" s="13"/>
      <c r="J6" s="13"/>
    </row>
    <row r="7" spans="1:10">
      <c r="A7" s="870" t="s">
        <v>602</v>
      </c>
      <c r="B7" s="870"/>
      <c r="C7" s="2" t="str">
        <f>'COVER '!E30</f>
        <v>: XI TM3</v>
      </c>
    </row>
    <row r="8" spans="1:10">
      <c r="A8" s="876" t="s">
        <v>8</v>
      </c>
      <c r="B8" s="876"/>
      <c r="C8" s="2" t="str">
        <f>'COVER '!E31</f>
        <v>: Gasal</v>
      </c>
    </row>
    <row r="9" spans="1:10">
      <c r="A9" t="s">
        <v>471</v>
      </c>
      <c r="C9" s="2" t="str">
        <f>'Telaah Soal PG (25)'!C10</f>
        <v>:</v>
      </c>
    </row>
    <row r="10" spans="1:10" ht="22.5" customHeight="1">
      <c r="A10" s="15" t="s">
        <v>205</v>
      </c>
      <c r="B10" s="16" t="s">
        <v>678</v>
      </c>
      <c r="C10" s="16" t="s">
        <v>679</v>
      </c>
      <c r="D10" s="906" t="s">
        <v>680</v>
      </c>
      <c r="E10" s="907"/>
      <c r="F10" s="907"/>
      <c r="G10" s="907"/>
      <c r="H10" s="907"/>
      <c r="I10" s="907"/>
      <c r="J10" s="908"/>
    </row>
    <row r="11" spans="1:10">
      <c r="A11" s="17" t="s">
        <v>45</v>
      </c>
      <c r="B11" s="18" t="s">
        <v>681</v>
      </c>
      <c r="C11" s="19"/>
      <c r="D11" s="17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 t="s">
        <v>598</v>
      </c>
    </row>
    <row r="12" spans="1:10" ht="21" customHeight="1">
      <c r="A12" s="903"/>
      <c r="B12" s="909" t="s">
        <v>744</v>
      </c>
      <c r="C12" s="22" t="s">
        <v>683</v>
      </c>
      <c r="D12" s="905"/>
      <c r="E12" s="905"/>
      <c r="F12" s="905"/>
      <c r="G12" s="905"/>
      <c r="H12" s="905"/>
      <c r="I12" s="905"/>
      <c r="J12" s="905"/>
    </row>
    <row r="13" spans="1:10" ht="16.5" customHeight="1">
      <c r="A13" s="903"/>
      <c r="B13" s="909"/>
      <c r="C13" s="22" t="s">
        <v>684</v>
      </c>
      <c r="D13" s="905"/>
      <c r="E13" s="905"/>
      <c r="F13" s="905"/>
      <c r="G13" s="905"/>
      <c r="H13" s="905"/>
      <c r="I13" s="905"/>
      <c r="J13" s="905"/>
    </row>
    <row r="14" spans="1:10" ht="30.75" customHeight="1">
      <c r="A14" s="903"/>
      <c r="B14" s="910" t="s">
        <v>745</v>
      </c>
      <c r="C14" s="22" t="s">
        <v>686</v>
      </c>
      <c r="D14" s="905"/>
      <c r="E14" s="905"/>
      <c r="F14" s="905"/>
      <c r="G14" s="905"/>
      <c r="H14" s="905"/>
      <c r="I14" s="905"/>
      <c r="J14" s="905"/>
    </row>
    <row r="15" spans="1:10" ht="32.25" customHeight="1">
      <c r="A15" s="903"/>
      <c r="B15" s="910"/>
      <c r="C15" s="22" t="s">
        <v>687</v>
      </c>
      <c r="D15" s="905"/>
      <c r="E15" s="905"/>
      <c r="F15" s="905"/>
      <c r="G15" s="905"/>
      <c r="H15" s="905"/>
      <c r="I15" s="905"/>
      <c r="J15" s="905"/>
    </row>
    <row r="16" spans="1:10" ht="18" customHeight="1">
      <c r="A16" s="903"/>
      <c r="B16" s="909" t="s">
        <v>746</v>
      </c>
      <c r="C16" s="22" t="s">
        <v>689</v>
      </c>
      <c r="D16" s="905"/>
      <c r="E16" s="905"/>
      <c r="F16" s="905"/>
      <c r="G16" s="905"/>
      <c r="H16" s="905"/>
      <c r="I16" s="905"/>
      <c r="J16" s="905"/>
    </row>
    <row r="17" spans="1:10" ht="16.5" customHeight="1">
      <c r="A17" s="903"/>
      <c r="B17" s="909"/>
      <c r="C17" s="22" t="s">
        <v>690</v>
      </c>
      <c r="D17" s="905"/>
      <c r="E17" s="905"/>
      <c r="F17" s="905"/>
      <c r="G17" s="905"/>
      <c r="H17" s="905"/>
      <c r="I17" s="905"/>
      <c r="J17" s="905"/>
    </row>
    <row r="18" spans="1:10" ht="18" customHeight="1">
      <c r="A18" s="903"/>
      <c r="B18" s="909"/>
      <c r="C18" s="22" t="s">
        <v>691</v>
      </c>
      <c r="D18" s="905"/>
      <c r="E18" s="905"/>
      <c r="F18" s="905"/>
      <c r="G18" s="905"/>
      <c r="H18" s="905"/>
      <c r="I18" s="905"/>
      <c r="J18" s="905"/>
    </row>
    <row r="19" spans="1:10" ht="20.25" customHeight="1">
      <c r="A19" s="903"/>
      <c r="B19" s="909" t="s">
        <v>747</v>
      </c>
      <c r="C19" s="22" t="s">
        <v>693</v>
      </c>
      <c r="D19" s="905"/>
      <c r="E19" s="905"/>
      <c r="F19" s="905"/>
      <c r="G19" s="905"/>
      <c r="H19" s="905"/>
      <c r="I19" s="905"/>
      <c r="J19" s="905"/>
    </row>
    <row r="20" spans="1:10" ht="22.5" customHeight="1">
      <c r="A20" s="903"/>
      <c r="B20" s="909"/>
      <c r="C20" s="22" t="s">
        <v>694</v>
      </c>
      <c r="D20" s="905"/>
      <c r="E20" s="905"/>
      <c r="F20" s="905"/>
      <c r="G20" s="905"/>
      <c r="H20" s="905"/>
      <c r="I20" s="905"/>
      <c r="J20" s="905"/>
    </row>
    <row r="21" spans="1:10" ht="24" customHeight="1">
      <c r="A21" s="23" t="s">
        <v>695</v>
      </c>
      <c r="B21" s="24" t="s">
        <v>696</v>
      </c>
      <c r="C21" s="24"/>
      <c r="D21" s="24"/>
      <c r="E21" s="24"/>
      <c r="F21" s="24"/>
      <c r="G21" s="24"/>
      <c r="H21" s="24"/>
      <c r="I21" s="24"/>
      <c r="J21" s="24"/>
    </row>
    <row r="22" spans="1:10" ht="19.5" customHeight="1">
      <c r="A22" s="903"/>
      <c r="B22" s="911" t="s">
        <v>748</v>
      </c>
      <c r="C22" s="22" t="s">
        <v>749</v>
      </c>
      <c r="D22" s="905"/>
      <c r="E22" s="905"/>
      <c r="F22" s="905"/>
      <c r="G22" s="905"/>
      <c r="H22" s="905"/>
      <c r="I22" s="905"/>
      <c r="J22" s="905"/>
    </row>
    <row r="23" spans="1:10" ht="13.5" customHeight="1">
      <c r="A23" s="903"/>
      <c r="B23" s="911"/>
      <c r="C23" s="22" t="s">
        <v>750</v>
      </c>
      <c r="D23" s="905"/>
      <c r="E23" s="905"/>
      <c r="F23" s="905"/>
      <c r="G23" s="905"/>
      <c r="H23" s="905"/>
      <c r="I23" s="905"/>
      <c r="J23" s="905"/>
    </row>
    <row r="24" spans="1:10" ht="36" customHeight="1">
      <c r="A24" s="903"/>
      <c r="B24" s="909" t="s">
        <v>751</v>
      </c>
      <c r="C24" s="21" t="s">
        <v>752</v>
      </c>
      <c r="D24" s="905"/>
      <c r="E24" s="905"/>
      <c r="F24" s="905"/>
      <c r="G24" s="905"/>
      <c r="H24" s="905"/>
      <c r="I24" s="905"/>
      <c r="J24" s="905"/>
    </row>
    <row r="25" spans="1:10" ht="33" customHeight="1">
      <c r="A25" s="903"/>
      <c r="B25" s="909"/>
      <c r="C25" s="21" t="s">
        <v>753</v>
      </c>
      <c r="D25" s="905"/>
      <c r="E25" s="905"/>
      <c r="F25" s="905"/>
      <c r="G25" s="905"/>
      <c r="H25" s="905"/>
      <c r="I25" s="905"/>
      <c r="J25" s="905"/>
    </row>
    <row r="26" spans="1:10" ht="19.5" customHeight="1">
      <c r="A26" s="903"/>
      <c r="B26" s="911" t="s">
        <v>754</v>
      </c>
      <c r="C26" s="21" t="s">
        <v>755</v>
      </c>
      <c r="D26" s="905"/>
      <c r="E26" s="905"/>
      <c r="F26" s="905"/>
      <c r="G26" s="905"/>
      <c r="H26" s="905"/>
      <c r="I26" s="905"/>
      <c r="J26" s="905"/>
    </row>
    <row r="27" spans="1:10" ht="24.75" customHeight="1">
      <c r="A27" s="903"/>
      <c r="B27" s="911"/>
      <c r="C27" s="21" t="s">
        <v>756</v>
      </c>
      <c r="D27" s="905"/>
      <c r="E27" s="905"/>
      <c r="F27" s="905"/>
      <c r="G27" s="905"/>
      <c r="H27" s="905"/>
      <c r="I27" s="905"/>
      <c r="J27" s="905"/>
    </row>
    <row r="28" spans="1:10">
      <c r="A28" s="903"/>
      <c r="B28" s="911" t="s">
        <v>757</v>
      </c>
      <c r="C28" s="21" t="s">
        <v>758</v>
      </c>
      <c r="D28" s="905"/>
      <c r="E28" s="905"/>
      <c r="F28" s="905"/>
      <c r="G28" s="905"/>
      <c r="H28" s="905"/>
      <c r="I28" s="905"/>
      <c r="J28" s="905"/>
    </row>
    <row r="29" spans="1:10">
      <c r="A29" s="903"/>
      <c r="B29" s="911"/>
      <c r="C29" s="21" t="s">
        <v>759</v>
      </c>
      <c r="D29" s="905"/>
      <c r="E29" s="905"/>
      <c r="F29" s="905"/>
      <c r="G29" s="905"/>
      <c r="H29" s="905"/>
      <c r="I29" s="905"/>
      <c r="J29" s="905"/>
    </row>
    <row r="30" spans="1:10">
      <c r="A30" s="23" t="s">
        <v>727</v>
      </c>
      <c r="B30" s="24" t="s">
        <v>728</v>
      </c>
      <c r="C30" s="24"/>
      <c r="D30" s="24"/>
      <c r="E30" s="24"/>
      <c r="F30" s="24"/>
      <c r="G30" s="24"/>
      <c r="H30" s="24"/>
      <c r="I30" s="24"/>
      <c r="J30" s="24"/>
    </row>
    <row r="31" spans="1:10" ht="16.5" customHeight="1">
      <c r="A31" s="903"/>
      <c r="B31" s="911" t="s">
        <v>760</v>
      </c>
      <c r="C31" s="21" t="s">
        <v>761</v>
      </c>
      <c r="D31" s="905"/>
      <c r="E31" s="905"/>
      <c r="F31" s="905"/>
      <c r="G31" s="905"/>
      <c r="H31" s="905"/>
      <c r="I31" s="905"/>
      <c r="J31" s="905"/>
    </row>
    <row r="32" spans="1:10" ht="18.75" customHeight="1">
      <c r="A32" s="903"/>
      <c r="B32" s="911"/>
      <c r="C32" s="21" t="s">
        <v>762</v>
      </c>
      <c r="D32" s="905"/>
      <c r="E32" s="905"/>
      <c r="F32" s="905"/>
      <c r="G32" s="905"/>
      <c r="H32" s="905"/>
      <c r="I32" s="905"/>
      <c r="J32" s="905"/>
    </row>
    <row r="33" spans="1:10" ht="23.25" customHeight="1">
      <c r="A33" s="903"/>
      <c r="B33" s="909" t="s">
        <v>763</v>
      </c>
      <c r="C33" s="22" t="s">
        <v>733</v>
      </c>
      <c r="D33" s="905"/>
      <c r="E33" s="905"/>
      <c r="F33" s="905"/>
      <c r="G33" s="905"/>
      <c r="H33" s="905"/>
      <c r="I33" s="905"/>
      <c r="J33" s="905"/>
    </row>
    <row r="34" spans="1:10" ht="21.75" customHeight="1">
      <c r="A34" s="903"/>
      <c r="B34" s="909"/>
      <c r="C34" s="22" t="s">
        <v>764</v>
      </c>
      <c r="D34" s="905"/>
      <c r="E34" s="905"/>
      <c r="F34" s="905"/>
      <c r="G34" s="905"/>
      <c r="H34" s="905"/>
      <c r="I34" s="905"/>
      <c r="J34" s="905"/>
    </row>
    <row r="35" spans="1:10" ht="16.5" customHeight="1">
      <c r="A35" s="903"/>
      <c r="B35" s="909"/>
      <c r="C35" s="22" t="s">
        <v>765</v>
      </c>
      <c r="D35" s="905"/>
      <c r="E35" s="905"/>
      <c r="F35" s="905"/>
      <c r="G35" s="905"/>
      <c r="H35" s="905"/>
      <c r="I35" s="905"/>
      <c r="J35" s="905"/>
    </row>
    <row r="36" spans="1:10" ht="26.25" customHeight="1">
      <c r="A36" s="903"/>
      <c r="B36" s="911" t="s">
        <v>766</v>
      </c>
      <c r="C36" s="21" t="s">
        <v>767</v>
      </c>
      <c r="D36" s="905"/>
      <c r="E36" s="905"/>
      <c r="F36" s="905"/>
      <c r="G36" s="905"/>
      <c r="H36" s="905"/>
      <c r="I36" s="905"/>
      <c r="J36" s="905"/>
    </row>
    <row r="37" spans="1:10" ht="33.75" customHeight="1">
      <c r="A37" s="903"/>
      <c r="B37" s="911"/>
      <c r="C37" s="21" t="s">
        <v>768</v>
      </c>
      <c r="D37" s="905"/>
      <c r="E37" s="905"/>
      <c r="F37" s="905"/>
      <c r="G37" s="905"/>
      <c r="H37" s="905"/>
      <c r="I37" s="905"/>
      <c r="J37" s="905"/>
    </row>
    <row r="38" spans="1:10" ht="18.75" customHeight="1">
      <c r="A38" s="903"/>
      <c r="B38" s="911" t="s">
        <v>769</v>
      </c>
      <c r="C38" s="21" t="s">
        <v>770</v>
      </c>
      <c r="D38" s="905"/>
      <c r="E38" s="905"/>
      <c r="F38" s="905"/>
      <c r="G38" s="905"/>
      <c r="H38" s="905"/>
      <c r="I38" s="905"/>
      <c r="J38" s="905"/>
    </row>
    <row r="39" spans="1:10" ht="27.75" customHeight="1">
      <c r="A39" s="903"/>
      <c r="B39" s="911"/>
      <c r="C39" s="21" t="s">
        <v>771</v>
      </c>
      <c r="D39" s="905"/>
      <c r="E39" s="905"/>
      <c r="F39" s="905"/>
      <c r="G39" s="905"/>
      <c r="H39" s="905"/>
      <c r="I39" s="905"/>
      <c r="J39" s="905"/>
    </row>
    <row r="40" spans="1:10" ht="20.25" customHeight="1">
      <c r="A40" s="903"/>
      <c r="B40" s="911" t="s">
        <v>772</v>
      </c>
      <c r="C40" s="21" t="s">
        <v>773</v>
      </c>
      <c r="D40" s="905"/>
      <c r="E40" s="905"/>
      <c r="F40" s="905"/>
      <c r="G40" s="905"/>
      <c r="H40" s="905"/>
      <c r="I40" s="905"/>
      <c r="J40" s="905"/>
    </row>
    <row r="41" spans="1:10" ht="20.25" customHeight="1">
      <c r="A41" s="903"/>
      <c r="B41" s="911"/>
      <c r="C41" s="21" t="s">
        <v>774</v>
      </c>
      <c r="D41" s="905"/>
      <c r="E41" s="905"/>
      <c r="F41" s="905"/>
      <c r="G41" s="905"/>
      <c r="H41" s="905"/>
      <c r="I41" s="905"/>
      <c r="J41" s="905"/>
    </row>
    <row r="44" spans="1:10">
      <c r="D44" s="6" t="s">
        <v>599</v>
      </c>
      <c r="E44" s="6"/>
      <c r="F44" s="6"/>
    </row>
    <row r="45" spans="1:10">
      <c r="B45" s="6" t="s">
        <v>171</v>
      </c>
      <c r="D45" s="6"/>
      <c r="E45" s="6"/>
      <c r="F45" s="6"/>
    </row>
    <row r="46" spans="1:10">
      <c r="B46" s="7" t="s">
        <v>388</v>
      </c>
      <c r="D46" s="6" t="s">
        <v>178</v>
      </c>
      <c r="E46" s="6"/>
      <c r="F46" s="6"/>
    </row>
    <row r="47" spans="1:10">
      <c r="B47" s="7"/>
      <c r="D47" s="6"/>
      <c r="E47" s="6"/>
      <c r="F47" s="6"/>
    </row>
    <row r="48" spans="1:10">
      <c r="B48" s="7"/>
      <c r="D48" s="8"/>
      <c r="E48" s="6"/>
      <c r="F48" s="6"/>
    </row>
    <row r="49" spans="2:6">
      <c r="B49" s="7"/>
      <c r="D49" s="6"/>
      <c r="E49" s="6"/>
      <c r="F49" s="6"/>
    </row>
    <row r="50" spans="2:6">
      <c r="B50" s="9"/>
      <c r="D50" s="9"/>
      <c r="E50" s="6"/>
      <c r="F50" s="6"/>
    </row>
    <row r="51" spans="2:6">
      <c r="B51" s="7" t="s">
        <v>291</v>
      </c>
      <c r="D51" s="7" t="s">
        <v>291</v>
      </c>
      <c r="E51" s="6"/>
      <c r="F51" s="6"/>
    </row>
    <row r="52" spans="2:6">
      <c r="B52" s="6"/>
      <c r="D52" s="6"/>
      <c r="E52" s="6"/>
      <c r="F52" s="6"/>
    </row>
    <row r="53" spans="2:6">
      <c r="B53" s="10" t="s">
        <v>172</v>
      </c>
      <c r="D53" s="10" t="s">
        <v>229</v>
      </c>
      <c r="E53" s="6"/>
      <c r="F53" s="11"/>
    </row>
    <row r="54" spans="2:6">
      <c r="B54" s="10"/>
      <c r="D54" s="10"/>
      <c r="E54" s="6"/>
      <c r="F54" s="11"/>
    </row>
    <row r="55" spans="2:6">
      <c r="B55" s="10"/>
      <c r="D55" s="10"/>
      <c r="E55" s="6"/>
      <c r="F55" s="11"/>
    </row>
    <row r="56" spans="2:6">
      <c r="B56" s="7"/>
      <c r="D56" s="7"/>
      <c r="E56" s="6"/>
      <c r="F56" s="7"/>
    </row>
    <row r="57" spans="2:6">
      <c r="B57" s="10" t="s">
        <v>582</v>
      </c>
      <c r="D57" s="12" t="s">
        <v>279</v>
      </c>
      <c r="E57" s="6"/>
      <c r="F57" s="11"/>
    </row>
    <row r="58" spans="2:6">
      <c r="B58" s="10" t="s">
        <v>280</v>
      </c>
      <c r="D58" s="12" t="s">
        <v>281</v>
      </c>
      <c r="E58" s="6"/>
      <c r="F58" s="11"/>
    </row>
  </sheetData>
  <mergeCells count="126">
    <mergeCell ref="J33:J35"/>
    <mergeCell ref="J36:J37"/>
    <mergeCell ref="J38:J39"/>
    <mergeCell ref="J40:J41"/>
    <mergeCell ref="J12:J13"/>
    <mergeCell ref="J14:J15"/>
    <mergeCell ref="J16:J18"/>
    <mergeCell ref="J19:J20"/>
    <mergeCell ref="J22:J23"/>
    <mergeCell ref="J24:J25"/>
    <mergeCell ref="J26:J27"/>
    <mergeCell ref="J28:J29"/>
    <mergeCell ref="J31:J32"/>
    <mergeCell ref="H33:H35"/>
    <mergeCell ref="H36:H37"/>
    <mergeCell ref="H38:H39"/>
    <mergeCell ref="H40:H41"/>
    <mergeCell ref="I12:I13"/>
    <mergeCell ref="I14:I15"/>
    <mergeCell ref="I16:I18"/>
    <mergeCell ref="I19:I20"/>
    <mergeCell ref="I22:I23"/>
    <mergeCell ref="I24:I25"/>
    <mergeCell ref="I26:I27"/>
    <mergeCell ref="I28:I29"/>
    <mergeCell ref="I31:I32"/>
    <mergeCell ref="I33:I35"/>
    <mergeCell ref="I36:I37"/>
    <mergeCell ref="I38:I39"/>
    <mergeCell ref="I40:I41"/>
    <mergeCell ref="H12:H13"/>
    <mergeCell ref="H14:H15"/>
    <mergeCell ref="H16:H18"/>
    <mergeCell ref="H19:H20"/>
    <mergeCell ref="H22:H23"/>
    <mergeCell ref="H24:H25"/>
    <mergeCell ref="H26:H27"/>
    <mergeCell ref="H28:H29"/>
    <mergeCell ref="H31:H32"/>
    <mergeCell ref="F33:F35"/>
    <mergeCell ref="F36:F37"/>
    <mergeCell ref="F38:F39"/>
    <mergeCell ref="F40:F41"/>
    <mergeCell ref="G12:G13"/>
    <mergeCell ref="G14:G15"/>
    <mergeCell ref="G16:G18"/>
    <mergeCell ref="G19:G20"/>
    <mergeCell ref="G22:G23"/>
    <mergeCell ref="G24:G25"/>
    <mergeCell ref="G26:G27"/>
    <mergeCell ref="G28:G29"/>
    <mergeCell ref="G31:G32"/>
    <mergeCell ref="G33:G35"/>
    <mergeCell ref="G36:G37"/>
    <mergeCell ref="G38:G39"/>
    <mergeCell ref="G40:G41"/>
    <mergeCell ref="F12:F13"/>
    <mergeCell ref="F14:F15"/>
    <mergeCell ref="F16:F18"/>
    <mergeCell ref="F19:F20"/>
    <mergeCell ref="F22:F23"/>
    <mergeCell ref="F24:F25"/>
    <mergeCell ref="F26:F27"/>
    <mergeCell ref="F28:F29"/>
    <mergeCell ref="F31:F32"/>
    <mergeCell ref="D33:D35"/>
    <mergeCell ref="D36:D37"/>
    <mergeCell ref="D38:D39"/>
    <mergeCell ref="D40:D41"/>
    <mergeCell ref="E12:E13"/>
    <mergeCell ref="E14:E15"/>
    <mergeCell ref="E16:E18"/>
    <mergeCell ref="E19:E20"/>
    <mergeCell ref="E22:E23"/>
    <mergeCell ref="E24:E25"/>
    <mergeCell ref="E26:E27"/>
    <mergeCell ref="E28:E29"/>
    <mergeCell ref="E31:E32"/>
    <mergeCell ref="E33:E35"/>
    <mergeCell ref="E36:E37"/>
    <mergeCell ref="E38:E39"/>
    <mergeCell ref="E40:E41"/>
    <mergeCell ref="D12:D13"/>
    <mergeCell ref="D14:D15"/>
    <mergeCell ref="D16:D18"/>
    <mergeCell ref="D19:D20"/>
    <mergeCell ref="D22:D23"/>
    <mergeCell ref="D24:D25"/>
    <mergeCell ref="D26:D27"/>
    <mergeCell ref="D28:D29"/>
    <mergeCell ref="D31:D32"/>
    <mergeCell ref="A33:A35"/>
    <mergeCell ref="A36:A37"/>
    <mergeCell ref="A38:A39"/>
    <mergeCell ref="A40:A41"/>
    <mergeCell ref="B12:B13"/>
    <mergeCell ref="B14:B15"/>
    <mergeCell ref="B16:B18"/>
    <mergeCell ref="B19:B20"/>
    <mergeCell ref="B22:B23"/>
    <mergeCell ref="B24:B25"/>
    <mergeCell ref="B26:B27"/>
    <mergeCell ref="B28:B29"/>
    <mergeCell ref="B31:B32"/>
    <mergeCell ref="B33:B35"/>
    <mergeCell ref="B36:B37"/>
    <mergeCell ref="B38:B39"/>
    <mergeCell ref="B40:B41"/>
    <mergeCell ref="A12:A13"/>
    <mergeCell ref="A14:A15"/>
    <mergeCell ref="A16:A18"/>
    <mergeCell ref="A19:A20"/>
    <mergeCell ref="A22:A23"/>
    <mergeCell ref="A24:A25"/>
    <mergeCell ref="A26:A27"/>
    <mergeCell ref="A28:A29"/>
    <mergeCell ref="A31:A32"/>
    <mergeCell ref="G1:J1"/>
    <mergeCell ref="G2:J2"/>
    <mergeCell ref="A3:J3"/>
    <mergeCell ref="A4:B4"/>
    <mergeCell ref="A5:B5"/>
    <mergeCell ref="A6:B6"/>
    <mergeCell ref="A7:B7"/>
    <mergeCell ref="A8:B8"/>
    <mergeCell ref="D10:J10"/>
  </mergeCells>
  <pageMargins left="0.511811023622047" right="0.31496062992126" top="0.55118110236220497" bottom="1.33858267716535" header="0.31496062992126" footer="0.31496062992126"/>
  <pageSetup paperSize="5" scale="90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G32"/>
  <sheetViews>
    <sheetView topLeftCell="A13" workbookViewId="0">
      <selection activeCell="B32" sqref="B32"/>
    </sheetView>
  </sheetViews>
  <sheetFormatPr defaultColWidth="9" defaultRowHeight="15"/>
  <cols>
    <col min="1" max="1" width="5.28515625" customWidth="1"/>
    <col min="2" max="2" width="29.42578125" style="1" customWidth="1"/>
    <col min="3" max="6" width="10" customWidth="1"/>
    <col min="7" max="7" width="18.28515625" customWidth="1"/>
  </cols>
  <sheetData>
    <row r="1" spans="1:7" ht="18.75">
      <c r="A1" s="596" t="s">
        <v>775</v>
      </c>
      <c r="B1" s="596"/>
      <c r="C1" s="596"/>
      <c r="D1" s="596"/>
      <c r="E1" s="596"/>
      <c r="F1" s="596"/>
      <c r="G1" s="596"/>
    </row>
    <row r="4" spans="1:7">
      <c r="A4" s="870" t="s">
        <v>677</v>
      </c>
      <c r="B4" s="870"/>
      <c r="C4" t="str">
        <f>'Telaah Soal Essay (26)'!C4</f>
        <v>: SMKN 3 Yogyakarta</v>
      </c>
    </row>
    <row r="5" spans="1:7">
      <c r="A5" s="899" t="s">
        <v>4</v>
      </c>
      <c r="B5" s="870"/>
      <c r="C5" t="str">
        <f>'Telaah Soal Essay (26)'!C5</f>
        <v xml:space="preserve">: Teknik Pemesinan </v>
      </c>
    </row>
    <row r="6" spans="1:7">
      <c r="A6" s="870" t="s">
        <v>5</v>
      </c>
      <c r="B6" s="870"/>
      <c r="C6" t="str">
        <f>'Telaah Soal Essay (26)'!C6</f>
        <v>: Mata Pelajaran Pilihan (CAM)</v>
      </c>
    </row>
    <row r="7" spans="1:7">
      <c r="A7" s="870" t="s">
        <v>602</v>
      </c>
      <c r="B7" s="870"/>
      <c r="C7" t="str">
        <f>'Telaah Soal Essay (26)'!C7</f>
        <v>: XI TM3</v>
      </c>
    </row>
    <row r="8" spans="1:7">
      <c r="A8" s="876" t="s">
        <v>8</v>
      </c>
      <c r="B8" s="876"/>
      <c r="C8" t="str">
        <f>'Telaah Soal Essay (26)'!C8</f>
        <v>: Gasal</v>
      </c>
    </row>
    <row r="10" spans="1:7">
      <c r="A10" s="915" t="s">
        <v>205</v>
      </c>
      <c r="B10" s="915" t="s">
        <v>776</v>
      </c>
      <c r="C10" s="915" t="s">
        <v>263</v>
      </c>
      <c r="D10" s="915"/>
      <c r="E10" s="915"/>
      <c r="F10" s="915"/>
      <c r="G10" s="912" t="s">
        <v>386</v>
      </c>
    </row>
    <row r="11" spans="1:7">
      <c r="A11" s="915"/>
      <c r="B11" s="915"/>
      <c r="C11" s="915" t="s">
        <v>777</v>
      </c>
      <c r="D11" s="915" t="s">
        <v>778</v>
      </c>
      <c r="E11" s="915"/>
      <c r="F11" s="915"/>
      <c r="G11" s="913"/>
    </row>
    <row r="12" spans="1:7">
      <c r="A12" s="915"/>
      <c r="B12" s="915"/>
      <c r="C12" s="915"/>
      <c r="D12" s="3" t="s">
        <v>779</v>
      </c>
      <c r="E12" s="3" t="s">
        <v>615</v>
      </c>
      <c r="F12" s="3" t="s">
        <v>780</v>
      </c>
      <c r="G12" s="914"/>
    </row>
    <row r="13" spans="1:7" ht="30">
      <c r="A13" s="359">
        <v>1</v>
      </c>
      <c r="B13" s="431" t="s">
        <v>967</v>
      </c>
      <c r="C13" s="5">
        <v>20</v>
      </c>
      <c r="D13" s="5">
        <v>10</v>
      </c>
      <c r="E13" s="5">
        <v>10</v>
      </c>
      <c r="F13" s="5" t="s">
        <v>781</v>
      </c>
      <c r="G13" s="412" t="s">
        <v>980</v>
      </c>
    </row>
    <row r="16" spans="1:7">
      <c r="B16"/>
    </row>
    <row r="17" spans="2:7">
      <c r="B17"/>
      <c r="F17" s="361" t="s">
        <v>961</v>
      </c>
      <c r="G17" s="6"/>
    </row>
    <row r="18" spans="2:7">
      <c r="B18" s="6" t="s">
        <v>171</v>
      </c>
      <c r="F18" s="6"/>
      <c r="G18" s="6"/>
    </row>
    <row r="19" spans="2:7">
      <c r="B19" s="362" t="s">
        <v>188</v>
      </c>
      <c r="F19" s="6" t="s">
        <v>178</v>
      </c>
      <c r="G19" s="6"/>
    </row>
    <row r="20" spans="2:7">
      <c r="B20" s="7"/>
      <c r="F20" s="6"/>
      <c r="G20" s="6"/>
    </row>
    <row r="21" spans="2:7">
      <c r="B21" s="7"/>
      <c r="F21" s="8"/>
      <c r="G21" s="6"/>
    </row>
    <row r="22" spans="2:7">
      <c r="B22" s="7"/>
      <c r="F22" s="6"/>
      <c r="G22" s="6"/>
    </row>
    <row r="23" spans="2:7">
      <c r="B23" s="9" t="str">
        <f>'Prhtngn Mingg Ef(3)'!B87</f>
        <v>Drs. M. Hasannuddin</v>
      </c>
      <c r="F23" s="9" t="str">
        <f>'Prhtngn Mingg Ef(3)'!G87</f>
        <v>Hermawan Rochmadi, S. Pd.</v>
      </c>
      <c r="G23" s="6"/>
    </row>
    <row r="24" spans="2:7">
      <c r="B24" s="7" t="str">
        <f>'Prhtngn Mingg Ef(3)'!B88</f>
        <v>NIP. 19670621 199412 1 003</v>
      </c>
      <c r="F24" s="7" t="str">
        <f>'Prhtngn Mingg Ef(3)'!G88</f>
        <v>NIP. 19920317 201903 1 009</v>
      </c>
      <c r="G24" s="6"/>
    </row>
    <row r="25" spans="2:7">
      <c r="B25" s="6"/>
      <c r="F25" s="6"/>
      <c r="G25" s="6"/>
    </row>
    <row r="26" spans="2:7">
      <c r="B26" s="10" t="s">
        <v>172</v>
      </c>
      <c r="F26" s="10" t="s">
        <v>229</v>
      </c>
      <c r="G26" s="6"/>
    </row>
    <row r="27" spans="2:7">
      <c r="B27" s="10"/>
      <c r="F27" s="10"/>
      <c r="G27" s="6"/>
    </row>
    <row r="28" spans="2:7">
      <c r="B28" s="10"/>
      <c r="F28" s="10"/>
      <c r="G28" s="6"/>
    </row>
    <row r="29" spans="2:7">
      <c r="B29" s="7"/>
      <c r="F29" s="7"/>
      <c r="G29" s="6"/>
    </row>
    <row r="30" spans="2:7">
      <c r="B30" s="10" t="str">
        <f>'Prhtngn Mingg Ef(3)'!B95</f>
        <v>WIDADA, S.Pd., M.Pd.</v>
      </c>
      <c r="F30" s="12" t="str">
        <f>'Prhtngn Mingg Ef(3)'!G95</f>
        <v>GUNAWAN, S.Pd., M.M.</v>
      </c>
      <c r="G30" s="6"/>
    </row>
    <row r="31" spans="2:7">
      <c r="B31" s="10" t="str">
        <f>'Prhtngn Mingg Ef(3)'!B96</f>
        <v>NIP. 19690212 200012 1 002</v>
      </c>
      <c r="F31" s="12" t="str">
        <f>'Prhtngn Mingg Ef(3)'!G96</f>
        <v>NIP. 19711213 200501 1 004</v>
      </c>
      <c r="G31" s="6"/>
    </row>
    <row r="32" spans="2:7">
      <c r="B32"/>
    </row>
  </sheetData>
  <mergeCells count="12">
    <mergeCell ref="G10:G12"/>
    <mergeCell ref="C10:F10"/>
    <mergeCell ref="D11:F11"/>
    <mergeCell ref="A10:A12"/>
    <mergeCell ref="B10:B12"/>
    <mergeCell ref="C11:C12"/>
    <mergeCell ref="A1:G1"/>
    <mergeCell ref="A5:B5"/>
    <mergeCell ref="A6:B6"/>
    <mergeCell ref="A7:B7"/>
    <mergeCell ref="A8:B8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5</vt:i4>
      </vt:variant>
    </vt:vector>
  </HeadingPairs>
  <TitlesOfParts>
    <vt:vector size="42" baseType="lpstr">
      <vt:lpstr>COVER </vt:lpstr>
      <vt:lpstr>Visi,Misi,Tuj&amp;KebjkMutu</vt:lpstr>
      <vt:lpstr>Daftar Isi </vt:lpstr>
      <vt:lpstr>kaldik (1)</vt:lpstr>
      <vt:lpstr>Jadwal (2)</vt:lpstr>
      <vt:lpstr>Prhtngn Mingg Ef(3)</vt:lpstr>
      <vt:lpstr>PROTA (4)</vt:lpstr>
      <vt:lpstr>PROSEM(5)  </vt:lpstr>
      <vt:lpstr>CP (6)</vt:lpstr>
      <vt:lpstr>Analisis Materi (7)</vt:lpstr>
      <vt:lpstr>ATP (8)</vt:lpstr>
      <vt:lpstr>TP (9)</vt:lpstr>
      <vt:lpstr>KKTP (10)</vt:lpstr>
      <vt:lpstr>KKM (8) batal</vt:lpstr>
      <vt:lpstr>MA- LKPD (11)</vt:lpstr>
      <vt:lpstr>Dft Hdr (12)</vt:lpstr>
      <vt:lpstr>Penanganan Pesdik Brmslh (13)</vt:lpstr>
      <vt:lpstr>FORMATIF (14)</vt:lpstr>
      <vt:lpstr>NILAI KETRAMPILAN (12.b)</vt:lpstr>
      <vt:lpstr>Sheet1</vt:lpstr>
      <vt:lpstr>Analisis Kebutuhan Alat(15)</vt:lpstr>
      <vt:lpstr>Buku Pegangan (16)</vt:lpstr>
      <vt:lpstr>Kisi-Kisi (17)</vt:lpstr>
      <vt:lpstr>Anailis Hasil Ulangan (18)</vt:lpstr>
      <vt:lpstr>Anl daya serap Hsl Ev (19)</vt:lpstr>
      <vt:lpstr>Prg. Perb.&amp;pengyn(20)</vt:lpstr>
      <vt:lpstr>Prog. Pengayaan(21)</vt:lpstr>
      <vt:lpstr>Agenda  (22)</vt:lpstr>
      <vt:lpstr>Target&amp;Capaian Kur ( (23)</vt:lpstr>
      <vt:lpstr>AJP (22)</vt:lpstr>
      <vt:lpstr>Analisis SKM (8)</vt:lpstr>
      <vt:lpstr>Rencana Penilaian (24)</vt:lpstr>
      <vt:lpstr>Rekap Nil.Peng.(24)</vt:lpstr>
      <vt:lpstr>Rekap Nil. Ket (25)</vt:lpstr>
      <vt:lpstr>Telaah Soal PG (25)</vt:lpstr>
      <vt:lpstr>Telaah Soal Essay (26)</vt:lpstr>
      <vt:lpstr>Alokasi Waktu (28)</vt:lpstr>
      <vt:lpstr>'Analisis Materi (7)'!Print_Area</vt:lpstr>
      <vt:lpstr>'CP (6)'!Print_Area</vt:lpstr>
      <vt:lpstr>'Jadwal (2)'!Print_Area</vt:lpstr>
      <vt:lpstr>'Prhtngn Mingg Ef(3)'!Print_Area</vt:lpstr>
      <vt:lpstr>'PROSEM(5)  '!Print_Area</vt:lpstr>
    </vt:vector>
  </TitlesOfParts>
  <Company>LiteOS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MoZarD</dc:creator>
  <cp:lastModifiedBy>multimedia_37</cp:lastModifiedBy>
  <cp:lastPrinted>2025-07-28T03:26:13Z</cp:lastPrinted>
  <dcterms:created xsi:type="dcterms:W3CDTF">2008-10-25T13:13:00Z</dcterms:created>
  <dcterms:modified xsi:type="dcterms:W3CDTF">2025-07-28T03:26:16Z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A7B29CE913964F5FB6E2CD3B27268F7E_13</vt:lpwstr>
  </property>
  <property fmtid="{D5CDD505-2E9C-101B-9397-08002B2CF9AE}" pid="3" name="KSOProductBuildVer">
    <vt:lpwstr>1033-12.2.0.21931</vt:lpwstr>
  </property>
</Properties>
</file>